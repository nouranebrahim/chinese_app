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hussien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7" i="1" l="1"/>
  <c r="G67" i="1"/>
  <c r="C67" i="1"/>
  <c r="H65" i="1"/>
  <c r="G65" i="1"/>
  <c r="C65" i="1"/>
  <c r="H63" i="1"/>
  <c r="G63" i="1"/>
  <c r="C63" i="1"/>
  <c r="G61" i="1"/>
  <c r="C61" i="1"/>
  <c r="G58" i="1"/>
  <c r="C58" i="1"/>
  <c r="H55" i="1"/>
  <c r="G55" i="1"/>
  <c r="C55" i="1"/>
  <c r="G53" i="1"/>
  <c r="C53" i="1"/>
  <c r="H51" i="1"/>
  <c r="G51" i="1"/>
  <c r="C51" i="1"/>
  <c r="H49" i="1"/>
  <c r="G49" i="1"/>
  <c r="C49" i="1"/>
  <c r="H47" i="1"/>
  <c r="G47" i="1"/>
  <c r="C47" i="1"/>
  <c r="G45" i="1"/>
  <c r="C45" i="1"/>
  <c r="G42" i="1"/>
  <c r="C42" i="1"/>
  <c r="G39" i="1"/>
  <c r="C39" i="1"/>
  <c r="G36" i="1"/>
  <c r="C36" i="1"/>
  <c r="G33" i="1"/>
  <c r="C33" i="1"/>
  <c r="H31" i="1"/>
  <c r="G31" i="1"/>
  <c r="C31" i="1"/>
  <c r="H29" i="1"/>
  <c r="G29" i="1"/>
  <c r="C29" i="1"/>
  <c r="G27" i="1"/>
  <c r="C27" i="1"/>
  <c r="G24" i="1"/>
  <c r="C24" i="1"/>
  <c r="G20" i="1"/>
  <c r="C20" i="1"/>
  <c r="G18" i="1"/>
  <c r="C18" i="1"/>
  <c r="H16" i="1"/>
  <c r="G16" i="1"/>
  <c r="C16" i="1"/>
  <c r="G14" i="1"/>
  <c r="C14" i="1"/>
  <c r="G12" i="1"/>
  <c r="C12" i="1"/>
  <c r="G10" i="1"/>
  <c r="C10" i="1"/>
  <c r="G8" i="1"/>
  <c r="C8" i="1"/>
  <c r="G6" i="1"/>
  <c r="C6" i="1"/>
  <c r="G4" i="1"/>
  <c r="C4" i="1"/>
  <c r="H60" i="1" l="1"/>
  <c r="H59" i="1"/>
  <c r="H61" i="1" s="1"/>
  <c r="H56" i="1"/>
  <c r="H52" i="1"/>
  <c r="H53" i="1" s="1"/>
  <c r="H43" i="1"/>
  <c r="H40" i="1"/>
  <c r="H37" i="1"/>
  <c r="H35" i="1"/>
  <c r="H34" i="1"/>
  <c r="H32" i="1"/>
  <c r="H33" i="1" s="1"/>
  <c r="H25" i="1"/>
  <c r="H21" i="1"/>
  <c r="H19" i="1"/>
  <c r="H20" i="1" s="1"/>
  <c r="H17" i="1"/>
  <c r="H18" i="1" s="1"/>
  <c r="H11" i="1"/>
  <c r="H12" i="1" s="1"/>
  <c r="H9" i="1"/>
  <c r="H10" i="1" s="1"/>
  <c r="H7" i="1"/>
  <c r="H8" i="1" s="1"/>
  <c r="H5" i="1"/>
  <c r="H6" i="1" s="1"/>
  <c r="H2" i="1"/>
  <c r="H39" i="1" l="1"/>
  <c r="H42" i="1"/>
  <c r="H36" i="1"/>
  <c r="H45" i="1"/>
  <c r="E4" i="2"/>
  <c r="E3" i="2"/>
  <c r="E2" i="2"/>
  <c r="H57" i="1"/>
  <c r="H58" i="1" s="1"/>
  <c r="H44" i="1"/>
  <c r="H41" i="1"/>
  <c r="H38" i="1"/>
  <c r="H26" i="1"/>
  <c r="H27" i="1" s="1"/>
  <c r="H22" i="1"/>
  <c r="H24" i="1" s="1"/>
  <c r="H23" i="1"/>
  <c r="H13" i="1"/>
  <c r="H14" i="1" s="1"/>
  <c r="H3" i="1"/>
  <c r="H4" i="1" s="1"/>
</calcChain>
</file>

<file path=xl/sharedStrings.xml><?xml version="1.0" encoding="utf-8"?>
<sst xmlns="http://schemas.openxmlformats.org/spreadsheetml/2006/main" count="182" uniqueCount="171">
  <si>
    <t>Vowel  nasalization</t>
  </si>
  <si>
    <t xml:space="preserve">Glottalization(substitution of [ʕ] with [ʔ]), </t>
  </si>
  <si>
    <t>substitution of [r] with [ɻ]</t>
  </si>
  <si>
    <t>substitution of [f] with [m]</t>
  </si>
  <si>
    <t>substitution of [q] with [g]</t>
  </si>
  <si>
    <t>substitution of [q] with [k]</t>
  </si>
  <si>
    <t>Epenthesis(insertion of [ æ] phone between consonant cluster)</t>
  </si>
  <si>
    <t>Epenthesis(insertion of [ ɑ] phone between consonant cluster)</t>
  </si>
  <si>
    <t xml:space="preserve">Aspiration ( substitution of [k]with [kʰ]) , </t>
  </si>
  <si>
    <t xml:space="preserve">Aspiration ( substitution of [t]with [tʰ]) </t>
  </si>
  <si>
    <t xml:space="preserve">depharyngealization(substitution of [sˤ] with [s]), </t>
  </si>
  <si>
    <t>substitution of [ʃ] with [s]</t>
  </si>
  <si>
    <t>depharyngealization(substitution of [dˤ] with [d]),</t>
  </si>
  <si>
    <t>Devoicing(substitution of [d͡ʒ] with [t͡ʃ])</t>
  </si>
  <si>
    <t>degemination(reduce consonant cluster to one single consonant)</t>
  </si>
  <si>
    <t>germination</t>
  </si>
  <si>
    <t>substitution of [n] with [d]</t>
  </si>
  <si>
    <t>substitution of [ħ]with [χ]</t>
  </si>
  <si>
    <t>substitution of [h]with [χ]</t>
  </si>
  <si>
    <t>substitution of [ħ]with [h]</t>
  </si>
  <si>
    <t>substitution of [h]with [ħ]</t>
  </si>
  <si>
    <t>substitution of [ʕ]with [ħ]</t>
  </si>
  <si>
    <t>deaffrication and devoicing(substitution of [d͡ʒ]with [ʃ])</t>
  </si>
  <si>
    <t>substitution of [d] with [z]</t>
  </si>
  <si>
    <t>devoicing(substitution of [d]with [t])</t>
  </si>
  <si>
    <t>devoicing(substitution of [ɣ]with [χ])</t>
  </si>
  <si>
    <t>substitution of [j]with [ʒ]</t>
  </si>
  <si>
    <t>devoicing(substitution of [b]with [p]</t>
  </si>
  <si>
    <t>substitution of [m]with [n]</t>
  </si>
  <si>
    <t>substitution of [s]with [n]</t>
  </si>
  <si>
    <t>final consonant deletion</t>
  </si>
  <si>
    <t>interdentalization(substitution of [tˤ] with [ðˤ])</t>
  </si>
  <si>
    <t>Definite Article deletion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</si>
  <si>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</si>
  <si>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</si>
  <si>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consonant [θ]with the colloquial arabic consonant [s]</t>
  </si>
  <si>
    <t>replace  [ʔ]with  [j] affected by colloquial arabic</t>
  </si>
  <si>
    <t>final consonant deletion affected by colloquial arabic</t>
  </si>
  <si>
    <t>consonant deletion  of [ʔ] phone affected by colloquial Arabic</t>
  </si>
  <si>
    <t>colloquial Arabic word</t>
  </si>
  <si>
    <t>consonant insertion of  [h] phone in final position</t>
  </si>
  <si>
    <t>Deletion of feminine marker</t>
  </si>
  <si>
    <t>replace adjective with noun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</si>
  <si>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</si>
  <si>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</si>
  <si>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</si>
  <si>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</si>
  <si>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</si>
  <si>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</si>
  <si>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</si>
  <si>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</si>
  <si>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</si>
  <si>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</si>
  <si>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</si>
  <si>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</si>
  <si>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</si>
  <si>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</si>
  <si>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</si>
  <si>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</si>
  <si>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</si>
  <si>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</si>
  <si>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</si>
  <si>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</si>
  <si>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</si>
  <si>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</si>
  <si>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</si>
  <si>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</si>
  <si>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</si>
  <si>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</si>
  <si>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</si>
  <si>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</si>
  <si>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</si>
  <si>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</si>
  <si>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</si>
  <si>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</si>
  <si>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</si>
  <si>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</si>
  <si>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</si>
  <si>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</si>
  <si>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</si>
  <si>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</si>
  <si>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</si>
  <si>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</si>
  <si>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</si>
  <si>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</si>
  <si>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</si>
  <si>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</si>
  <si>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</si>
  <si>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</si>
  <si>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</si>
  <si>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</si>
  <si>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</si>
  <si>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</si>
  <si>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</si>
  <si>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</si>
  <si>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</si>
  <si>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</si>
  <si>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</si>
  <si>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</si>
  <si>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[t]with [t͡s ]</t>
  </si>
  <si>
    <t>substitution of [χ] with [h]</t>
  </si>
  <si>
    <t xml:space="preserve">devoicing(substitution of [d]with [d̥])  </t>
  </si>
  <si>
    <t>devoicing(substitution of [z]with [s]),</t>
  </si>
  <si>
    <t xml:space="preserve">syllable structure process (first syllable deletion)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</si>
  <si>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</si>
  <si>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</si>
  <si>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[l] phone changes to  [t] to become  similar to the nearby  phone[ t])</t>
  </si>
  <si>
    <t>gliding(substitution of [ʔ] with [j])</t>
  </si>
  <si>
    <t>gliding(substitution of [ʔ] with [w])</t>
  </si>
  <si>
    <t>stopping(substitution of [ð]with[d])</t>
  </si>
  <si>
    <t>[l]</t>
  </si>
  <si>
    <t>[ɻ]</t>
  </si>
  <si>
    <t>[t]</t>
  </si>
  <si>
    <t>[n]</t>
  </si>
  <si>
    <t>[s]</t>
  </si>
  <si>
    <t>[d]</t>
  </si>
  <si>
    <t>[kʰ]</t>
  </si>
  <si>
    <t>[d͡ʒ̥]</t>
  </si>
  <si>
    <t>[ʃ]</t>
  </si>
  <si>
    <t>[t͡ʃ]</t>
  </si>
  <si>
    <t>[k]</t>
  </si>
  <si>
    <t>[g]</t>
  </si>
  <si>
    <t>[h]</t>
  </si>
  <si>
    <t>[χ]</t>
  </si>
  <si>
    <t>[ʔ]</t>
  </si>
  <si>
    <t>[ħ]</t>
  </si>
  <si>
    <t>[j]</t>
  </si>
  <si>
    <t>[w]</t>
  </si>
  <si>
    <t>[m]</t>
  </si>
  <si>
    <t>[p]</t>
  </si>
  <si>
    <t>[ðˤ]</t>
  </si>
  <si>
    <t>[t͡s]</t>
  </si>
  <si>
    <t>[tʰ]</t>
  </si>
  <si>
    <t>[d̥]</t>
  </si>
  <si>
    <t>[z]</t>
  </si>
  <si>
    <t>[ʒ]</t>
  </si>
  <si>
    <t>percentage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</si>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</sst>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3" fillId="4" borderId="1" xfId="3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0" fillId="9" borderId="1" xfId="8" applyFont="1" applyBorder="1" applyAlignment="1">
      <alignment vertical="center" wrapText="1"/>
    </xf>
    <xf numFmtId="0" fontId="13" fillId="3" borderId="1" xfId="2" applyFont="1" applyBorder="1" applyAlignment="1">
      <alignment vertical="center" wrapText="1"/>
    </xf>
    <xf numFmtId="0" fontId="13" fillId="2" borderId="1" xfId="1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3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3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0" fillId="7" borderId="1" xfId="6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0" xfId="10" applyNumberFormat="1" applyFont="1"/>
    <xf numFmtId="10" fontId="0" fillId="0" borderId="1" xfId="10" applyNumberFormat="1" applyFont="1" applyBorder="1"/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0" fontId="16" fillId="0" borderId="0" xfId="0" applyFont="1"/>
    <xf numFmtId="0" fontId="17" fillId="4" borderId="1" xfId="3" applyFont="1" applyBorder="1" applyAlignment="1">
      <alignment horizontal="center" vertical="center"/>
    </xf>
    <xf numFmtId="0" fontId="18" fillId="3" borderId="1" xfId="2" applyFont="1" applyBorder="1" applyAlignment="1">
      <alignment horizontal="center" vertical="center"/>
    </xf>
    <xf numFmtId="0" fontId="19" fillId="2" borderId="1" xfId="1" applyFont="1" applyBorder="1" applyAlignment="1">
      <alignment horizontal="center" vertical="center"/>
    </xf>
    <xf numFmtId="0" fontId="15" fillId="9" borderId="1" xfId="8" applyFont="1" applyBorder="1" applyAlignment="1">
      <alignment horizontal="center" vertical="center"/>
    </xf>
    <xf numFmtId="0" fontId="15" fillId="7" borderId="1" xfId="6" applyFont="1" applyBorder="1" applyAlignment="1">
      <alignment horizontal="center" vertical="center"/>
    </xf>
    <xf numFmtId="0" fontId="15" fillId="5" borderId="1" xfId="4" applyFont="1" applyBorder="1" applyAlignment="1">
      <alignment horizontal="center" vertical="center"/>
    </xf>
    <xf numFmtId="0" fontId="15" fillId="6" borderId="1" xfId="5" applyFont="1" applyBorder="1" applyAlignment="1">
      <alignment horizontal="center" vertical="center"/>
    </xf>
    <xf numFmtId="0" fontId="15" fillId="8" borderId="1" xfId="7" applyFont="1" applyBorder="1" applyAlignment="1">
      <alignment horizontal="center"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 wrapText="1"/>
    </xf>
    <xf numFmtId="0" fontId="3" fillId="3" borderId="0" xfId="2" applyBorder="1" applyAlignment="1">
      <alignment vertical="center"/>
    </xf>
    <xf numFmtId="10" fontId="3" fillId="3" borderId="0" xfId="2" applyNumberFormat="1" applyBorder="1" applyAlignment="1">
      <alignment vertical="center"/>
    </xf>
    <xf numFmtId="0" fontId="18" fillId="3" borderId="0" xfId="2" applyFont="1" applyBorder="1" applyAlignment="1">
      <alignment horizontal="center" vertical="center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[ɻ]</c:v>
                </c:pt>
              </c:strCache>
            </c:strRef>
          </c:cat>
          <c:val>
            <c:numRef>
              <c:f>Sheet1!$G$2:$G$3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4-4C6A-A36F-C27DC96D7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545168"/>
        <c:axId val="156754600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[ɻ]</c:v>
                </c:pt>
              </c:strCache>
            </c:strRef>
          </c:cat>
          <c:val>
            <c:numRef>
              <c:f>Sheet1!$H$2:$H$3</c:f>
              <c:numCache>
                <c:formatCode>0.00%</c:formatCode>
                <c:ptCount val="2"/>
                <c:pt idx="0">
                  <c:v>7.6923076923076927E-2</c:v>
                </c:pt>
                <c:pt idx="1">
                  <c:v>3.8461538461538464E-2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4-4C6A-A36F-C27DC96D7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567584"/>
        <c:axId val="1679563840"/>
      </c:lineChart>
      <c:catAx>
        <c:axId val="15675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46000"/>
        <c:crosses val="autoZero"/>
        <c:auto val="1"/>
        <c:lblAlgn val="ctr"/>
        <c:lblOffset val="100"/>
        <c:noMultiLvlLbl val="0"/>
      </c:catAx>
      <c:valAx>
        <c:axId val="15675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45168"/>
        <c:crosses val="autoZero"/>
        <c:crossBetween val="between"/>
      </c:valAx>
      <c:valAx>
        <c:axId val="16795638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7584"/>
        <c:crosses val="max"/>
        <c:crossBetween val="between"/>
      </c:valAx>
      <c:catAx>
        <c:axId val="167956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95638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4-4737-BDD5-96ABDE644A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Sheet1!$H$5</c:f>
              <c:numCache>
                <c:formatCode>0.00%</c:formatCode>
                <c:ptCount val="1"/>
                <c:pt idx="0">
                  <c:v>1.1494252873563218E-2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4-4737-BDD5-96ABDE644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183168"/>
        <c:axId val="1682181920"/>
      </c:barChart>
      <c:catAx>
        <c:axId val="16821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81920"/>
        <c:crosses val="autoZero"/>
        <c:auto val="1"/>
        <c:lblAlgn val="ctr"/>
        <c:lblOffset val="100"/>
        <c:noMultiLvlLbl val="0"/>
      </c:catAx>
      <c:valAx>
        <c:axId val="16821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83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A-4784-BE6E-5D45C4C91A9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Sheet1!$H$7</c:f>
              <c:numCache>
                <c:formatCode>0.00%</c:formatCode>
                <c:ptCount val="1"/>
                <c:pt idx="0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A-4784-BE6E-5D45C4C91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338976"/>
        <c:axId val="1566336896"/>
      </c:barChart>
      <c:catAx>
        <c:axId val="15663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6896"/>
        <c:crosses val="autoZero"/>
        <c:auto val="1"/>
        <c:lblAlgn val="ctr"/>
        <c:lblOffset val="100"/>
        <c:noMultiLvlLbl val="0"/>
      </c:catAx>
      <c:valAx>
        <c:axId val="15663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8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1-4838-BE55-3DCC0F9693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Sheet1!$F$9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Sheet1!$H$9</c:f>
              <c:numCache>
                <c:formatCode>0.00%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1-4838-BE55-3DCC0F969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076960"/>
        <c:axId val="1689080704"/>
      </c:barChart>
      <c:catAx>
        <c:axId val="168907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80704"/>
        <c:crosses val="autoZero"/>
        <c:auto val="1"/>
        <c:lblAlgn val="ctr"/>
        <c:lblOffset val="100"/>
        <c:noMultiLvlLbl val="0"/>
      </c:catAx>
      <c:valAx>
        <c:axId val="16890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76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0-4843-A162-079CF3B6516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Sheet1!$F$11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Sheet1!$H$11</c:f>
              <c:numCache>
                <c:formatCode>0.00%</c:formatCode>
                <c:ptCount val="1"/>
                <c:pt idx="0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0-4843-A162-079CF3B65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568416"/>
        <c:axId val="1679562592"/>
      </c:barChart>
      <c:catAx>
        <c:axId val="16795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2592"/>
        <c:crosses val="autoZero"/>
        <c:auto val="1"/>
        <c:lblAlgn val="ctr"/>
        <c:lblOffset val="100"/>
        <c:noMultiLvlLbl val="0"/>
      </c:catAx>
      <c:valAx>
        <c:axId val="167956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8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Sheet1!$F$17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Sheet1!$G$17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B-4573-8027-B3643F3AAC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Sheet1!$F$17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Sheet1!$H$17</c:f>
              <c:numCache>
                <c:formatCode>0.00%</c:formatCode>
                <c:ptCount val="1"/>
                <c:pt idx="0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B-4573-8027-B3643F3AA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179008"/>
        <c:axId val="1682179424"/>
      </c:barChart>
      <c:catAx>
        <c:axId val="16821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79424"/>
        <c:crosses val="autoZero"/>
        <c:auto val="1"/>
        <c:lblAlgn val="ctr"/>
        <c:lblOffset val="100"/>
        <c:noMultiLvlLbl val="0"/>
      </c:catAx>
      <c:valAx>
        <c:axId val="16821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79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Sheet1!$G$19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D-4D9F-8688-E2C8E5F217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Sheet1!$H$19</c:f>
              <c:numCache>
                <c:formatCode>0.00%</c:formatCode>
                <c:ptCount val="1"/>
                <c:pt idx="0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D-4D9F-8688-E2C8E5F21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341472"/>
        <c:axId val="1566336480"/>
      </c:barChart>
      <c:catAx>
        <c:axId val="156634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6480"/>
        <c:crosses val="autoZero"/>
        <c:auto val="1"/>
        <c:lblAlgn val="ctr"/>
        <c:lblOffset val="100"/>
        <c:noMultiLvlLbl val="0"/>
      </c:catAx>
      <c:valAx>
        <c:axId val="15663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41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Sheet1!$F$21:$F$23</c:f>
              <c:strCache>
                <c:ptCount val="3"/>
                <c:pt idx="0">
                  <c:v>[d͡ʒ̥]</c:v>
                </c:pt>
                <c:pt idx="1">
                  <c:v>[ʃ]</c:v>
                </c:pt>
                <c:pt idx="2">
                  <c:v>[t͡ʃ]</c:v>
                </c:pt>
              </c:strCache>
            </c:strRef>
          </c:cat>
          <c:val>
            <c:numRef>
              <c:f>Sheet1!$G$21:$G$23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4-4419-932A-E8CC9BEF2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471088"/>
        <c:axId val="169247400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Sheet1!$F$21:$F$23</c:f>
              <c:strCache>
                <c:ptCount val="3"/>
                <c:pt idx="0">
                  <c:v>[d͡ʒ̥]</c:v>
                </c:pt>
                <c:pt idx="1">
                  <c:v>[ʃ]</c:v>
                </c:pt>
                <c:pt idx="2">
                  <c:v>[t͡ʃ]</c:v>
                </c:pt>
              </c:strCache>
            </c:strRef>
          </c:cat>
          <c:val>
            <c:numRef>
              <c:f>Sheet1!$H$21:$H$23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0.16666666666666666</c:v>
                </c:pt>
                <c:pt idx="2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A4-4419-932A-E8CC9BEF2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471088"/>
        <c:axId val="1692474000"/>
      </c:lineChart>
      <c:catAx>
        <c:axId val="16924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4000"/>
        <c:crosses val="autoZero"/>
        <c:auto val="1"/>
        <c:lblAlgn val="ctr"/>
        <c:lblOffset val="100"/>
        <c:noMultiLvlLbl val="0"/>
      </c:catAx>
      <c:valAx>
        <c:axId val="169247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1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Sheet1!$F$25:$F$26</c:f>
              <c:strCache>
                <c:ptCount val="2"/>
                <c:pt idx="0">
                  <c:v>[k]</c:v>
                </c:pt>
                <c:pt idx="1">
                  <c:v>[g]</c:v>
                </c:pt>
              </c:strCache>
            </c:strRef>
          </c:cat>
          <c:val>
            <c:numRef>
              <c:f>Sheet1!$G$25:$G$26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F-4245-9355-492639D6A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469424"/>
        <c:axId val="169247316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Sheet1!$F$25:$F$26</c:f>
              <c:strCache>
                <c:ptCount val="2"/>
                <c:pt idx="0">
                  <c:v>[k]</c:v>
                </c:pt>
                <c:pt idx="1">
                  <c:v>[g]</c:v>
                </c:pt>
              </c:strCache>
            </c:strRef>
          </c:cat>
          <c:val>
            <c:numRef>
              <c:f>Sheet1!$H$25:$H$26</c:f>
              <c:numCache>
                <c:formatCode>0.00%</c:formatCode>
                <c:ptCount val="2"/>
                <c:pt idx="0">
                  <c:v>0.42857142857142855</c:v>
                </c:pt>
                <c:pt idx="1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F-4245-9355-492639D6A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469424"/>
        <c:axId val="1692473168"/>
      </c:lineChart>
      <c:catAx>
        <c:axId val="169246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3168"/>
        <c:crosses val="autoZero"/>
        <c:auto val="1"/>
        <c:lblAlgn val="ctr"/>
        <c:lblOffset val="100"/>
        <c:noMultiLvlLbl val="0"/>
      </c:catAx>
      <c:valAx>
        <c:axId val="16924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6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Sheet1!$G$32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0-4200-8391-10204B4207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Sheet1!$H$32</c:f>
              <c:numCache>
                <c:formatCode>0.00%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0-4200-8391-10204B420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472336"/>
        <c:axId val="1692475664"/>
      </c:barChart>
      <c:catAx>
        <c:axId val="16924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5664"/>
        <c:crosses val="autoZero"/>
        <c:auto val="1"/>
        <c:lblAlgn val="ctr"/>
        <c:lblOffset val="100"/>
        <c:noMultiLvlLbl val="0"/>
      </c:catAx>
      <c:valAx>
        <c:axId val="16924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2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Sheet1!$F$34:$F$35</c:f>
              <c:strCache>
                <c:ptCount val="2"/>
                <c:pt idx="0">
                  <c:v>[ʔ]</c:v>
                </c:pt>
                <c:pt idx="1">
                  <c:v>[ħ]</c:v>
                </c:pt>
              </c:strCache>
            </c:strRef>
          </c:cat>
          <c:val>
            <c:numRef>
              <c:f>Sheet1!$G$34:$G$35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C-459E-9A37-005CE2798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564256"/>
        <c:axId val="16795617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Sheet1!$F$34:$F$35</c:f>
              <c:strCache>
                <c:ptCount val="2"/>
                <c:pt idx="0">
                  <c:v>[ʔ]</c:v>
                </c:pt>
                <c:pt idx="1">
                  <c:v>[ħ]</c:v>
                </c:pt>
              </c:strCache>
            </c:strRef>
          </c:cat>
          <c:val>
            <c:numRef>
              <c:f>Sheet1!$H$34:$H$35</c:f>
              <c:numCache>
                <c:formatCode>0.00%</c:formatCode>
                <c:ptCount val="2"/>
                <c:pt idx="0">
                  <c:v>0.16129032258064516</c:v>
                </c:pt>
                <c:pt idx="1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C-459E-9A37-005CE2798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51824"/>
        <c:axId val="1679565920"/>
      </c:lineChart>
      <c:catAx>
        <c:axId val="16795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1760"/>
        <c:crosses val="autoZero"/>
        <c:auto val="1"/>
        <c:lblAlgn val="ctr"/>
        <c:lblOffset val="100"/>
        <c:noMultiLvlLbl val="0"/>
      </c:catAx>
      <c:valAx>
        <c:axId val="16795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4256"/>
        <c:crosses val="autoZero"/>
        <c:crossBetween val="between"/>
      </c:valAx>
      <c:valAx>
        <c:axId val="16795659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51824"/>
        <c:crosses val="max"/>
        <c:crossBetween val="between"/>
      </c:valAx>
      <c:catAx>
        <c:axId val="1717551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95659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Sheet1!$F$37:$F$38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Sheet1!$G$37:$G$38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2-44EE-8C30-655B61B5C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180256"/>
        <c:axId val="168217859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Sheet1!$F$37:$F$38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Sheet1!$H$37:$H$38</c:f>
              <c:numCache>
                <c:formatCode>0.00%</c:formatCode>
                <c:ptCount val="2"/>
                <c:pt idx="0">
                  <c:v>0.42857142857142855</c:v>
                </c:pt>
                <c:pt idx="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2-44EE-8C30-655B61B5C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337312"/>
        <c:axId val="1682183584"/>
      </c:lineChart>
      <c:catAx>
        <c:axId val="168218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78592"/>
        <c:crosses val="autoZero"/>
        <c:auto val="1"/>
        <c:lblAlgn val="ctr"/>
        <c:lblOffset val="100"/>
        <c:noMultiLvlLbl val="0"/>
      </c:catAx>
      <c:valAx>
        <c:axId val="16821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80256"/>
        <c:crosses val="autoZero"/>
        <c:crossBetween val="between"/>
      </c:valAx>
      <c:valAx>
        <c:axId val="16821835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7312"/>
        <c:crosses val="max"/>
        <c:crossBetween val="between"/>
      </c:valAx>
      <c:catAx>
        <c:axId val="1566337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21835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Sheet1!$F$40:$F$41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Sheet1!$G$40:$G$41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1-4D15-AA97-19F53FC4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475248"/>
        <c:axId val="169247608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Sheet1!$F$40:$F$41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Sheet1!$H$40:$H$41</c:f>
              <c:numCache>
                <c:formatCode>0.00%</c:formatCode>
                <c:ptCount val="2"/>
                <c:pt idx="0">
                  <c:v>0.2857142857142857</c:v>
                </c:pt>
                <c:pt idx="1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1-4D15-AA97-19F53FC4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469840"/>
        <c:axId val="1692470672"/>
      </c:lineChart>
      <c:catAx>
        <c:axId val="16924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6080"/>
        <c:crosses val="autoZero"/>
        <c:auto val="1"/>
        <c:lblAlgn val="ctr"/>
        <c:lblOffset val="100"/>
        <c:noMultiLvlLbl val="0"/>
      </c:catAx>
      <c:valAx>
        <c:axId val="16924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75248"/>
        <c:crosses val="autoZero"/>
        <c:crossBetween val="between"/>
      </c:valAx>
      <c:valAx>
        <c:axId val="169247067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69840"/>
        <c:crosses val="max"/>
        <c:crossBetween val="between"/>
      </c:valAx>
      <c:catAx>
        <c:axId val="169246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924706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Sheet1!$F$43:$F$44</c:f>
              <c:strCache>
                <c:ptCount val="2"/>
                <c:pt idx="0">
                  <c:v>[j]</c:v>
                </c:pt>
                <c:pt idx="1">
                  <c:v>[w]</c:v>
                </c:pt>
              </c:strCache>
            </c:strRef>
          </c:cat>
          <c:val>
            <c:numRef>
              <c:f>Sheet1!$G$43:$G$44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4-4F33-A000-F2A61F585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967216"/>
        <c:axId val="156596804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Sheet1!$F$43:$F$44</c:f>
              <c:strCache>
                <c:ptCount val="2"/>
                <c:pt idx="0">
                  <c:v>[j]</c:v>
                </c:pt>
                <c:pt idx="1">
                  <c:v>[w]</c:v>
                </c:pt>
              </c:strCache>
            </c:strRef>
          </c:cat>
          <c:val>
            <c:numRef>
              <c:f>Sheet1!$H$43:$H$44</c:f>
              <c:numCache>
                <c:formatCode>0.00%</c:formatCode>
                <c:ptCount val="2"/>
                <c:pt idx="0">
                  <c:v>7.1428571428571425E-2</c:v>
                </c:pt>
                <c:pt idx="1">
                  <c:v>1.7857142857142856E-2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4-4F33-A000-F2A61F585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965968"/>
        <c:axId val="1565970544"/>
      </c:lineChart>
      <c:catAx>
        <c:axId val="156596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8048"/>
        <c:crosses val="autoZero"/>
        <c:auto val="1"/>
        <c:lblAlgn val="ctr"/>
        <c:lblOffset val="100"/>
        <c:noMultiLvlLbl val="0"/>
      </c:catAx>
      <c:valAx>
        <c:axId val="15659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7216"/>
        <c:crosses val="autoZero"/>
        <c:crossBetween val="between"/>
      </c:valAx>
      <c:valAx>
        <c:axId val="156597054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5968"/>
        <c:crosses val="max"/>
        <c:crossBetween val="between"/>
      </c:valAx>
      <c:catAx>
        <c:axId val="1565965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5970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[p]</c:v>
                </c:pt>
              </c:strCache>
            </c:strRef>
          </c:cat>
          <c:val>
            <c:numRef>
              <c:f>Sheet1!$G$52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A-40C2-92E0-A3568DC108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[p]</c:v>
                </c:pt>
              </c:strCache>
            </c:strRef>
          </c:cat>
          <c:val>
            <c:numRef>
              <c:f>Sheet1!$H$52</c:f>
              <c:numCache>
                <c:formatCode>0.00%</c:formatCode>
                <c:ptCount val="1"/>
                <c:pt idx="0">
                  <c:v>3.8461538461538464E-2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A-40C2-92E0-A3568DC10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013616"/>
        <c:axId val="1691017776"/>
      </c:barChart>
      <c:catAx>
        <c:axId val="169101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17776"/>
        <c:crosses val="autoZero"/>
        <c:auto val="1"/>
        <c:lblAlgn val="ctr"/>
        <c:lblOffset val="100"/>
        <c:noMultiLvlLbl val="0"/>
      </c:catAx>
      <c:valAx>
        <c:axId val="169101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13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Sheet1!$F$56:$F$57</c:f>
              <c:strCache>
                <c:ptCount val="2"/>
                <c:pt idx="0">
                  <c:v>[t͡s]</c:v>
                </c:pt>
                <c:pt idx="1">
                  <c:v>[tʰ]</c:v>
                </c:pt>
              </c:strCache>
            </c:strRef>
          </c:cat>
          <c:val>
            <c:numRef>
              <c:f>Sheet1!$G$56:$G$57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2-46FE-A6F0-81F61FF7A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541840"/>
        <c:axId val="171755057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Sheet1!$F$56:$F$57</c:f>
              <c:strCache>
                <c:ptCount val="2"/>
                <c:pt idx="0">
                  <c:v>[t͡s]</c:v>
                </c:pt>
                <c:pt idx="1">
                  <c:v>[tʰ]</c:v>
                </c:pt>
              </c:strCache>
            </c:strRef>
          </c:cat>
          <c:val>
            <c:numRef>
              <c:f>Sheet1!$H$56:$H$57</c:f>
              <c:numCache>
                <c:formatCode>0.00%</c:formatCode>
                <c:ptCount val="2"/>
                <c:pt idx="0">
                  <c:v>0.1951219512195122</c:v>
                </c:pt>
                <c:pt idx="1">
                  <c:v>0.1951219512195122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2-46FE-A6F0-81F61FF7A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46416"/>
        <c:axId val="1717554320"/>
      </c:lineChart>
      <c:catAx>
        <c:axId val="17175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50576"/>
        <c:crosses val="autoZero"/>
        <c:auto val="1"/>
        <c:lblAlgn val="ctr"/>
        <c:lblOffset val="100"/>
        <c:noMultiLvlLbl val="0"/>
      </c:catAx>
      <c:valAx>
        <c:axId val="17175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41840"/>
        <c:crosses val="autoZero"/>
        <c:crossBetween val="between"/>
      </c:valAx>
      <c:valAx>
        <c:axId val="17175543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46416"/>
        <c:crosses val="max"/>
        <c:crossBetween val="between"/>
      </c:valAx>
      <c:catAx>
        <c:axId val="1717546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75543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Sheet1!$F$59:$F$60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Sheet1!$G$59:$G$60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A-41FF-80CB-CD380ACE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016944"/>
        <c:axId val="16910190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Sheet1!$F$59:$F$60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Sheet1!$H$59:$H$60</c:f>
              <c:numCache>
                <c:formatCode>0.00%</c:formatCode>
                <c:ptCount val="2"/>
                <c:pt idx="0">
                  <c:v>0.10256410256410256</c:v>
                </c:pt>
                <c:pt idx="1">
                  <c:v>5.128205128205128E-2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A-41FF-80CB-CD380ACE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017360"/>
        <c:axId val="1691015696"/>
      </c:lineChart>
      <c:catAx>
        <c:axId val="16910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19024"/>
        <c:crosses val="autoZero"/>
        <c:auto val="1"/>
        <c:lblAlgn val="ctr"/>
        <c:lblOffset val="100"/>
        <c:noMultiLvlLbl val="0"/>
      </c:catAx>
      <c:valAx>
        <c:axId val="16910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16944"/>
        <c:crosses val="autoZero"/>
        <c:crossBetween val="between"/>
      </c:valAx>
      <c:valAx>
        <c:axId val="16910156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17360"/>
        <c:crosses val="max"/>
        <c:crossBetween val="between"/>
      </c:valAx>
      <c:catAx>
        <c:axId val="1691017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910156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Sheet2!$C$2:$C$8</c:f>
              <c:strCache>
                <c:ptCount val="7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Vowel  nasalization</c:v>
                </c:pt>
                <c:pt idx="4">
                  <c:v>germination</c:v>
                </c:pt>
                <c:pt idx="5">
                  <c:v>final consonant deletion</c:v>
                </c:pt>
                <c:pt idx="6">
                  <c:v>syllable structure process (first syllable deletion) </c:v>
                </c:pt>
              </c:strCache>
            </c:strRef>
          </c:cat>
          <c:val>
            <c:numRef>
              <c:f>Sheet2!$D$2:$D$8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B33-AEB7-C534637C8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565504"/>
        <c:axId val="167956134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Sheet2!$C$2:$C$8</c:f>
              <c:strCache>
                <c:ptCount val="7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Vowel  nasalization</c:v>
                </c:pt>
                <c:pt idx="4">
                  <c:v>germination</c:v>
                </c:pt>
                <c:pt idx="5">
                  <c:v>final consonant deletion</c:v>
                </c:pt>
                <c:pt idx="6">
                  <c:v>syllable structure process (first syllable deletion) </c:v>
                </c:pt>
              </c:strCache>
            </c:strRef>
          </c:cat>
          <c:val>
            <c:numRef>
              <c:f>Sheet2!$E$2:$E$8</c:f>
              <c:numCache>
                <c:formatCode>0.00%</c:formatCode>
                <c:ptCount val="7"/>
                <c:pt idx="0">
                  <c:v>0.4</c:v>
                </c:pt>
                <c:pt idx="1">
                  <c:v>0.10294117647058823</c:v>
                </c:pt>
                <c:pt idx="2">
                  <c:v>0.13235294117647059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7-4B33-AEB7-C534637C8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566336"/>
        <c:axId val="1679563008"/>
      </c:lineChart>
      <c:catAx>
        <c:axId val="16795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1344"/>
        <c:crosses val="autoZero"/>
        <c:auto val="1"/>
        <c:lblAlgn val="ctr"/>
        <c:lblOffset val="100"/>
        <c:noMultiLvlLbl val="0"/>
      </c:catAx>
      <c:valAx>
        <c:axId val="16795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65504"/>
        <c:crosses val="autoZero"/>
        <c:crossBetween val="between"/>
      </c:valAx>
      <c:valAx>
        <c:axId val="1679563008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679566336"/>
        <c:crosses val="max"/>
        <c:crossBetween val="between"/>
      </c:valAx>
      <c:catAx>
        <c:axId val="1679566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95630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Sheet3!$D$2:$D$12</c:f>
              <c:strCache>
                <c:ptCount val="11"/>
                <c:pt idx="0">
                  <c:v>colloquial Arabic word</c:v>
                </c:pt>
                <c:pt idx="1">
                  <c:v>Definite Article deletion</c:v>
                </c:pt>
                <c:pt idx="2">
                  <c:v>consonant insertion of  [h] phone in final position</c:v>
                </c:pt>
                <c:pt idx="3">
                  <c:v>replace the Modern Standard Arabic diphthong [æw]with the colloquial arabic vowel[o:]</c:v>
                </c:pt>
                <c:pt idx="4">
                  <c:v>final consonant deletion affected by colloquial arabic</c:v>
                </c:pt>
                <c:pt idx="5">
                  <c:v>Deletion of feminine marker</c:v>
                </c:pt>
                <c:pt idx="6">
                  <c:v>replace the Modern Standard Arabic diphthong [æj]with the colloquial arabic vowel[e:]</c:v>
                </c:pt>
                <c:pt idx="7">
                  <c:v>replace the Modern Standard Arabic consonant [θ]with the colloquial arabic consonant [s]</c:v>
                </c:pt>
                <c:pt idx="8">
                  <c:v>replace  [ʔ]with  [j] affected by colloquial arabic</c:v>
                </c:pt>
                <c:pt idx="9">
                  <c:v>consonant deletion  of [ʔ] phone affected by colloquial Arabic</c:v>
                </c:pt>
                <c:pt idx="10">
                  <c:v>replace adjective with noun</c:v>
                </c:pt>
              </c:strCache>
            </c:strRef>
          </c:cat>
          <c:val>
            <c:numRef>
              <c:f>Sheet3!$E$2:$E$12</c:f>
              <c:numCache>
                <c:formatCode>General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A-4783-8E45-E30CA869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542672"/>
        <c:axId val="1717540592"/>
      </c:barChart>
      <c:catAx>
        <c:axId val="171754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40592"/>
        <c:crosses val="autoZero"/>
        <c:auto val="1"/>
        <c:lblAlgn val="ctr"/>
        <c:lblOffset val="100"/>
        <c:noMultiLvlLbl val="0"/>
      </c:catAx>
      <c:valAx>
        <c:axId val="17175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42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0</xdr:row>
      <xdr:rowOff>316230</xdr:rowOff>
    </xdr:from>
    <xdr:to>
      <xdr:col>15</xdr:col>
      <xdr:colOff>510540</xdr:colOff>
      <xdr:row>2</xdr:row>
      <xdr:rowOff>1005840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</xdr:colOff>
      <xdr:row>4</xdr:row>
      <xdr:rowOff>76200</xdr:rowOff>
    </xdr:from>
    <xdr:to>
      <xdr:col>15</xdr:col>
      <xdr:colOff>491490</xdr:colOff>
      <xdr:row>4</xdr:row>
      <xdr:rowOff>2004060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6</xdr:row>
      <xdr:rowOff>38100</xdr:rowOff>
    </xdr:from>
    <xdr:to>
      <xdr:col>15</xdr:col>
      <xdr:colOff>499110</xdr:colOff>
      <xdr:row>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26670</xdr:colOff>
      <xdr:row>8</xdr:row>
      <xdr:rowOff>76200</xdr:rowOff>
    </xdr:from>
    <xdr:to>
      <xdr:col>15</xdr:col>
      <xdr:colOff>506730</xdr:colOff>
      <xdr:row>8</xdr:row>
      <xdr:rowOff>2217420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26670</xdr:colOff>
      <xdr:row>10</xdr:row>
      <xdr:rowOff>45720</xdr:rowOff>
    </xdr:from>
    <xdr:to>
      <xdr:col>15</xdr:col>
      <xdr:colOff>506730</xdr:colOff>
      <xdr:row>11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16</xdr:row>
      <xdr:rowOff>30480</xdr:rowOff>
    </xdr:from>
    <xdr:to>
      <xdr:col>15</xdr:col>
      <xdr:colOff>499110</xdr:colOff>
      <xdr:row>16</xdr:row>
      <xdr:rowOff>1691640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26670</xdr:colOff>
      <xdr:row>18</xdr:row>
      <xdr:rowOff>121920</xdr:rowOff>
    </xdr:from>
    <xdr:to>
      <xdr:col>15</xdr:col>
      <xdr:colOff>506730</xdr:colOff>
      <xdr:row>18</xdr:row>
      <xdr:rowOff>1821180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26670</xdr:colOff>
      <xdr:row>20</xdr:row>
      <xdr:rowOff>11430</xdr:rowOff>
    </xdr:from>
    <xdr:to>
      <xdr:col>15</xdr:col>
      <xdr:colOff>506730</xdr:colOff>
      <xdr:row>22</xdr:row>
      <xdr:rowOff>990600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41910</xdr:colOff>
      <xdr:row>24</xdr:row>
      <xdr:rowOff>45720</xdr:rowOff>
    </xdr:from>
    <xdr:to>
      <xdr:col>15</xdr:col>
      <xdr:colOff>521970</xdr:colOff>
      <xdr:row>25</xdr:row>
      <xdr:rowOff>1615440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11430</xdr:colOff>
      <xdr:row>31</xdr:row>
      <xdr:rowOff>99060</xdr:rowOff>
    </xdr:from>
    <xdr:to>
      <xdr:col>15</xdr:col>
      <xdr:colOff>491490</xdr:colOff>
      <xdr:row>31</xdr:row>
      <xdr:rowOff>1821180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49530</xdr:colOff>
      <xdr:row>33</xdr:row>
      <xdr:rowOff>3810</xdr:rowOff>
    </xdr:from>
    <xdr:to>
      <xdr:col>15</xdr:col>
      <xdr:colOff>529590</xdr:colOff>
      <xdr:row>34</xdr:row>
      <xdr:rowOff>1836420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26670</xdr:colOff>
      <xdr:row>36</xdr:row>
      <xdr:rowOff>30480</xdr:rowOff>
    </xdr:from>
    <xdr:to>
      <xdr:col>15</xdr:col>
      <xdr:colOff>506730</xdr:colOff>
      <xdr:row>37</xdr:row>
      <xdr:rowOff>1813560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11430</xdr:colOff>
      <xdr:row>39</xdr:row>
      <xdr:rowOff>60960</xdr:rowOff>
    </xdr:from>
    <xdr:to>
      <xdr:col>15</xdr:col>
      <xdr:colOff>491490</xdr:colOff>
      <xdr:row>41</xdr:row>
      <xdr:rowOff>7620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26670</xdr:colOff>
      <xdr:row>42</xdr:row>
      <xdr:rowOff>68580</xdr:rowOff>
    </xdr:from>
    <xdr:to>
      <xdr:col>15</xdr:col>
      <xdr:colOff>506730</xdr:colOff>
      <xdr:row>43</xdr:row>
      <xdr:rowOff>998220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34290</xdr:colOff>
      <xdr:row>51</xdr:row>
      <xdr:rowOff>38100</xdr:rowOff>
    </xdr:from>
    <xdr:to>
      <xdr:col>15</xdr:col>
      <xdr:colOff>514350</xdr:colOff>
      <xdr:row>51</xdr:row>
      <xdr:rowOff>2171700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26670</xdr:colOff>
      <xdr:row>55</xdr:row>
      <xdr:rowOff>38100</xdr:rowOff>
    </xdr:from>
    <xdr:to>
      <xdr:col>15</xdr:col>
      <xdr:colOff>506730</xdr:colOff>
      <xdr:row>56</xdr:row>
      <xdr:rowOff>1363980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3810</xdr:colOff>
      <xdr:row>58</xdr:row>
      <xdr:rowOff>60960</xdr:rowOff>
    </xdr:from>
    <xdr:to>
      <xdr:col>15</xdr:col>
      <xdr:colOff>483870</xdr:colOff>
      <xdr:row>60</xdr:row>
      <xdr:rowOff>967740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118110</xdr:rowOff>
    </xdr:from>
    <xdr:to>
      <xdr:col>14</xdr:col>
      <xdr:colOff>510540</xdr:colOff>
      <xdr:row>11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</xdr:colOff>
      <xdr:row>0</xdr:row>
      <xdr:rowOff>346710</xdr:rowOff>
    </xdr:from>
    <xdr:to>
      <xdr:col>16</xdr:col>
      <xdr:colOff>205740</xdr:colOff>
      <xdr:row>12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6"/>
  <sheetViews>
    <sheetView tabSelected="1" zoomScaleNormal="100" workbookViewId="0">
      <selection activeCell="S5" sqref="S5"/>
    </sheetView>
  </sheetViews>
  <sheetFormatPr defaultRowHeight="79.95" customHeight="1" outlineLevelRow="2" x14ac:dyDescent="0.3"/>
  <cols>
    <col min="2" max="3" width="11.21875" customWidth="1"/>
    <col min="4" max="4" width="10.33203125" customWidth="1"/>
    <col min="5" max="5" width="36.21875" style="7" customWidth="1"/>
    <col min="6" max="7" width="6.21875" customWidth="1"/>
    <col min="8" max="8" width="9.21875" style="58" customWidth="1"/>
    <col min="9" max="9" width="6.33203125" style="7" customWidth="1"/>
  </cols>
  <sheetData>
    <row r="1" spans="2:9" s="96" customFormat="1" ht="36.6" customHeight="1" thickTop="1" thickBot="1" x14ac:dyDescent="0.45">
      <c r="B1" s="93" t="s">
        <v>137</v>
      </c>
      <c r="C1" s="93" t="s">
        <v>138</v>
      </c>
      <c r="D1" s="93" t="s">
        <v>139</v>
      </c>
      <c r="E1" s="94" t="s">
        <v>140</v>
      </c>
      <c r="F1" s="94" t="s">
        <v>141</v>
      </c>
      <c r="G1" s="94" t="s">
        <v>142</v>
      </c>
      <c r="H1" s="95" t="s">
        <v>136</v>
      </c>
    </row>
    <row r="2" spans="2:9" ht="79.95" customHeight="1" outlineLevel="2" thickTop="1" thickBot="1" x14ac:dyDescent="0.35">
      <c r="B2" s="83" t="s">
        <v>71</v>
      </c>
      <c r="C2" s="83">
        <v>26</v>
      </c>
      <c r="D2" s="82" t="s">
        <v>69</v>
      </c>
      <c r="E2" s="8" t="s">
        <v>105</v>
      </c>
      <c r="F2" s="9" t="s">
        <v>110</v>
      </c>
      <c r="G2" s="9">
        <v>2</v>
      </c>
      <c r="H2" s="59">
        <f>G2/26</f>
        <v>7.6923076923076927E-2</v>
      </c>
      <c r="I2" s="1"/>
    </row>
    <row r="3" spans="2:9" ht="79.95" customHeight="1" outlineLevel="2" thickTop="1" thickBot="1" x14ac:dyDescent="0.35">
      <c r="B3" s="83"/>
      <c r="C3" s="83"/>
      <c r="D3" s="82"/>
      <c r="E3" s="10" t="s">
        <v>2</v>
      </c>
      <c r="F3" s="9" t="s">
        <v>111</v>
      </c>
      <c r="G3" s="9">
        <v>1</v>
      </c>
      <c r="H3" s="59">
        <f>G3/26</f>
        <v>3.8461538461538464E-2</v>
      </c>
      <c r="I3" s="2"/>
    </row>
    <row r="4" spans="2:9" ht="20.399999999999999" customHeight="1" outlineLevel="1" thickTop="1" thickBot="1" x14ac:dyDescent="0.35">
      <c r="B4" s="97" t="s">
        <v>143</v>
      </c>
      <c r="C4" s="78">
        <f>SUBTOTAL(9,C2:C3)</f>
        <v>26</v>
      </c>
      <c r="D4" s="79"/>
      <c r="E4" s="10"/>
      <c r="F4" s="9"/>
      <c r="G4" s="9">
        <f>SUBTOTAL(9,G2:G3)</f>
        <v>3</v>
      </c>
      <c r="H4" s="59">
        <f>SUBTOTAL(9,H2:H3)</f>
        <v>0.11538461538461539</v>
      </c>
      <c r="I4" s="2"/>
    </row>
    <row r="5" spans="2:9" ht="158.4" customHeight="1" outlineLevel="2" thickTop="1" thickBot="1" x14ac:dyDescent="0.35">
      <c r="B5" s="11" t="s">
        <v>72</v>
      </c>
      <c r="C5" s="11">
        <v>87</v>
      </c>
      <c r="D5" s="12" t="s">
        <v>70</v>
      </c>
      <c r="E5" s="13" t="s">
        <v>106</v>
      </c>
      <c r="F5" s="14" t="s">
        <v>112</v>
      </c>
      <c r="G5" s="14">
        <v>1</v>
      </c>
      <c r="H5" s="60">
        <f>G5/C5</f>
        <v>1.1494252873563218E-2</v>
      </c>
      <c r="I5" s="1"/>
    </row>
    <row r="6" spans="2:9" ht="20.399999999999999" customHeight="1" outlineLevel="1" thickTop="1" thickBot="1" x14ac:dyDescent="0.35">
      <c r="B6" s="98" t="s">
        <v>144</v>
      </c>
      <c r="C6" s="77">
        <f>SUBTOTAL(9,C5:C5)</f>
        <v>87</v>
      </c>
      <c r="D6" s="76"/>
      <c r="E6" s="13"/>
      <c r="F6" s="14"/>
      <c r="G6" s="14">
        <f>SUBTOTAL(9,G5:G5)</f>
        <v>1</v>
      </c>
      <c r="H6" s="60">
        <f>SUBTOTAL(9,H5:H5)</f>
        <v>1.1494252873563218E-2</v>
      </c>
      <c r="I6" s="1"/>
    </row>
    <row r="7" spans="2:9" ht="138" customHeight="1" outlineLevel="2" thickTop="1" thickBot="1" x14ac:dyDescent="0.35">
      <c r="B7" s="15" t="s">
        <v>73</v>
      </c>
      <c r="C7" s="15">
        <v>22</v>
      </c>
      <c r="D7" s="16" t="s">
        <v>43</v>
      </c>
      <c r="E7" s="17" t="s">
        <v>29</v>
      </c>
      <c r="F7" s="18" t="s">
        <v>113</v>
      </c>
      <c r="G7" s="18">
        <v>1</v>
      </c>
      <c r="H7" s="61">
        <f>G7/C7</f>
        <v>4.5454545454545456E-2</v>
      </c>
      <c r="I7" s="2"/>
    </row>
    <row r="8" spans="2:9" ht="27" customHeight="1" outlineLevel="1" thickTop="1" thickBot="1" x14ac:dyDescent="0.35">
      <c r="B8" s="99" t="s">
        <v>145</v>
      </c>
      <c r="C8" s="72">
        <f>SUBTOTAL(9,C7:C7)</f>
        <v>22</v>
      </c>
      <c r="D8" s="73"/>
      <c r="E8" s="17"/>
      <c r="F8" s="18"/>
      <c r="G8" s="18">
        <f>SUBTOTAL(9,G7:G7)</f>
        <v>1</v>
      </c>
      <c r="H8" s="61">
        <f>SUBTOTAL(9,H7:H7)</f>
        <v>4.5454545454545456E-2</v>
      </c>
      <c r="I8" s="2"/>
    </row>
    <row r="9" spans="2:9" ht="177" customHeight="1" outlineLevel="2" thickTop="1" thickBot="1" x14ac:dyDescent="0.35">
      <c r="B9" s="19" t="s">
        <v>74</v>
      </c>
      <c r="C9" s="19">
        <v>3</v>
      </c>
      <c r="D9" s="20" t="s">
        <v>44</v>
      </c>
      <c r="E9" s="21" t="s">
        <v>102</v>
      </c>
      <c r="F9" s="22" t="s">
        <v>114</v>
      </c>
      <c r="G9" s="22">
        <v>2</v>
      </c>
      <c r="H9" s="62">
        <f>G9/C9</f>
        <v>0.66666666666666663</v>
      </c>
      <c r="I9" s="4"/>
    </row>
    <row r="10" spans="2:9" ht="28.8" customHeight="1" outlineLevel="1" thickTop="1" thickBot="1" x14ac:dyDescent="0.35">
      <c r="B10" s="100" t="s">
        <v>146</v>
      </c>
      <c r="C10" s="19">
        <f>SUBTOTAL(9,C9:C9)</f>
        <v>3</v>
      </c>
      <c r="D10" s="20"/>
      <c r="E10" s="21"/>
      <c r="F10" s="22"/>
      <c r="G10" s="22">
        <f>SUBTOTAL(9,G9:G9)</f>
        <v>2</v>
      </c>
      <c r="H10" s="62">
        <f>SUBTOTAL(9,H9:H9)</f>
        <v>0.66666666666666663</v>
      </c>
      <c r="I10" s="4"/>
    </row>
    <row r="11" spans="2:9" ht="178.2" customHeight="1" outlineLevel="2" thickTop="1" thickBot="1" x14ac:dyDescent="0.35">
      <c r="B11" s="11" t="s">
        <v>75</v>
      </c>
      <c r="C11" s="11">
        <v>14</v>
      </c>
      <c r="D11" s="12" t="s">
        <v>45</v>
      </c>
      <c r="E11" s="23" t="s">
        <v>10</v>
      </c>
      <c r="F11" s="24" t="s">
        <v>114</v>
      </c>
      <c r="G11" s="24">
        <v>3</v>
      </c>
      <c r="H11" s="63">
        <f>G11/C11</f>
        <v>0.21428571428571427</v>
      </c>
      <c r="I11" s="2"/>
    </row>
    <row r="12" spans="2:9" ht="25.8" customHeight="1" outlineLevel="1" thickTop="1" thickBot="1" x14ac:dyDescent="0.35">
      <c r="B12" s="98" t="s">
        <v>147</v>
      </c>
      <c r="C12" s="77">
        <f>SUBTOTAL(9,C11:C11)</f>
        <v>14</v>
      </c>
      <c r="D12" s="76"/>
      <c r="E12" s="23"/>
      <c r="F12" s="24"/>
      <c r="G12" s="24">
        <f>SUBTOTAL(9,G11:G11)</f>
        <v>3</v>
      </c>
      <c r="H12" s="63">
        <f>SUBTOTAL(9,H11:H11)</f>
        <v>0.21428571428571427</v>
      </c>
      <c r="I12" s="2"/>
    </row>
    <row r="13" spans="2:9" ht="24" customHeight="1" outlineLevel="2" thickTop="1" thickBot="1" x14ac:dyDescent="0.35">
      <c r="B13" s="15" t="s">
        <v>76</v>
      </c>
      <c r="C13" s="15">
        <v>3</v>
      </c>
      <c r="D13" s="16" t="s">
        <v>46</v>
      </c>
      <c r="E13" s="25">
        <v>0</v>
      </c>
      <c r="F13" s="26">
        <v>0</v>
      </c>
      <c r="G13" s="26">
        <v>0</v>
      </c>
      <c r="H13" s="64">
        <f t="shared" ref="H13" si="0">G13/C13</f>
        <v>0</v>
      </c>
      <c r="I13" s="1"/>
    </row>
    <row r="14" spans="2:9" ht="24" customHeight="1" outlineLevel="1" thickTop="1" thickBot="1" x14ac:dyDescent="0.35">
      <c r="B14" s="99" t="s">
        <v>148</v>
      </c>
      <c r="C14" s="72">
        <f>SUBTOTAL(9,C13:C13)</f>
        <v>3</v>
      </c>
      <c r="D14" s="73"/>
      <c r="E14" s="25"/>
      <c r="F14" s="26"/>
      <c r="G14" s="26">
        <f>SUBTOTAL(9,G13:G13)</f>
        <v>0</v>
      </c>
      <c r="H14" s="64">
        <f>SUBTOTAL(9,H13:H13)</f>
        <v>0</v>
      </c>
      <c r="I14" s="1"/>
    </row>
    <row r="15" spans="2:9" ht="21" customHeight="1" outlineLevel="2" thickTop="1" thickBot="1" x14ac:dyDescent="0.35">
      <c r="B15" s="27" t="s">
        <v>77</v>
      </c>
      <c r="C15" s="27">
        <v>0</v>
      </c>
      <c r="D15" s="28" t="s">
        <v>47</v>
      </c>
      <c r="E15" s="8">
        <v>0</v>
      </c>
      <c r="F15" s="9">
        <v>0</v>
      </c>
      <c r="G15" s="9">
        <v>0</v>
      </c>
      <c r="H15" s="59">
        <v>0</v>
      </c>
      <c r="I15" s="3"/>
    </row>
    <row r="16" spans="2:9" ht="21" customHeight="1" outlineLevel="1" thickTop="1" thickBot="1" x14ac:dyDescent="0.35">
      <c r="B16" s="97" t="s">
        <v>149</v>
      </c>
      <c r="C16" s="78">
        <f>SUBTOTAL(9,C15:C15)</f>
        <v>0</v>
      </c>
      <c r="D16" s="79"/>
      <c r="E16" s="8"/>
      <c r="F16" s="9"/>
      <c r="G16" s="9">
        <f>SUBTOTAL(9,G15:G15)</f>
        <v>0</v>
      </c>
      <c r="H16" s="59">
        <f>SUBTOTAL(9,H15:H15)</f>
        <v>0</v>
      </c>
      <c r="I16" s="3"/>
    </row>
    <row r="17" spans="2:9" ht="138" customHeight="1" outlineLevel="2" thickTop="1" thickBot="1" x14ac:dyDescent="0.35">
      <c r="B17" s="19" t="s">
        <v>78</v>
      </c>
      <c r="C17" s="19">
        <v>9</v>
      </c>
      <c r="D17" s="19" t="s">
        <v>48</v>
      </c>
      <c r="E17" s="29" t="s">
        <v>109</v>
      </c>
      <c r="F17" s="22" t="s">
        <v>115</v>
      </c>
      <c r="G17" s="22">
        <v>2</v>
      </c>
      <c r="H17" s="62">
        <f>G17/C17</f>
        <v>0.22222222222222221</v>
      </c>
      <c r="I17" s="1"/>
    </row>
    <row r="18" spans="2:9" ht="31.8" customHeight="1" outlineLevel="1" thickTop="1" thickBot="1" x14ac:dyDescent="0.35">
      <c r="B18" s="100" t="s">
        <v>150</v>
      </c>
      <c r="C18" s="19">
        <f>SUBTOTAL(9,C17:C17)</f>
        <v>9</v>
      </c>
      <c r="D18" s="19"/>
      <c r="E18" s="29"/>
      <c r="F18" s="22"/>
      <c r="G18" s="22">
        <f>SUBTOTAL(9,G17:G17)</f>
        <v>2</v>
      </c>
      <c r="H18" s="62">
        <f>SUBTOTAL(9,H17:H17)</f>
        <v>0.22222222222222221</v>
      </c>
      <c r="I18" s="1"/>
    </row>
    <row r="19" spans="2:9" ht="150" customHeight="1" outlineLevel="2" thickTop="1" thickBot="1" x14ac:dyDescent="0.35">
      <c r="B19" s="11" t="s">
        <v>79</v>
      </c>
      <c r="C19" s="11">
        <v>16</v>
      </c>
      <c r="D19" s="12" t="s">
        <v>49</v>
      </c>
      <c r="E19" s="30" t="s">
        <v>8</v>
      </c>
      <c r="F19" s="14" t="s">
        <v>116</v>
      </c>
      <c r="G19" s="14">
        <v>6</v>
      </c>
      <c r="H19" s="60">
        <f>G19/C19</f>
        <v>0.375</v>
      </c>
      <c r="I19" s="2"/>
    </row>
    <row r="20" spans="2:9" ht="28.8" customHeight="1" outlineLevel="1" thickTop="1" thickBot="1" x14ac:dyDescent="0.35">
      <c r="B20" s="98" t="s">
        <v>151</v>
      </c>
      <c r="C20" s="77">
        <f>SUBTOTAL(9,C19:C19)</f>
        <v>16</v>
      </c>
      <c r="D20" s="76"/>
      <c r="E20" s="30"/>
      <c r="F20" s="14"/>
      <c r="G20" s="14">
        <f>SUBTOTAL(9,G19:G19)</f>
        <v>6</v>
      </c>
      <c r="H20" s="60">
        <f>SUBTOTAL(9,H19:H19)</f>
        <v>0.375</v>
      </c>
      <c r="I20" s="2"/>
    </row>
    <row r="21" spans="2:9" ht="79.95" customHeight="1" outlineLevel="2" thickTop="1" thickBot="1" x14ac:dyDescent="0.35">
      <c r="B21" s="84" t="s">
        <v>80</v>
      </c>
      <c r="C21" s="84">
        <v>6</v>
      </c>
      <c r="D21" s="85" t="s">
        <v>50</v>
      </c>
      <c r="E21" s="31" t="s">
        <v>104</v>
      </c>
      <c r="F21" s="26" t="s">
        <v>117</v>
      </c>
      <c r="G21" s="26">
        <v>2</v>
      </c>
      <c r="H21" s="64">
        <f>G21/6</f>
        <v>0.33333333333333331</v>
      </c>
      <c r="I21" s="2"/>
    </row>
    <row r="22" spans="2:9" ht="79.95" customHeight="1" outlineLevel="2" thickTop="1" thickBot="1" x14ac:dyDescent="0.35">
      <c r="B22" s="84"/>
      <c r="C22" s="84"/>
      <c r="D22" s="85"/>
      <c r="E22" s="31" t="s">
        <v>22</v>
      </c>
      <c r="F22" s="26" t="s">
        <v>118</v>
      </c>
      <c r="G22" s="26">
        <v>1</v>
      </c>
      <c r="H22" s="64">
        <f t="shared" ref="H22:H23" si="1">G22/6</f>
        <v>0.16666666666666666</v>
      </c>
      <c r="I22" s="2"/>
    </row>
    <row r="23" spans="2:9" ht="79.95" customHeight="1" outlineLevel="2" thickTop="1" thickBot="1" x14ac:dyDescent="0.35">
      <c r="B23" s="84"/>
      <c r="C23" s="84"/>
      <c r="D23" s="85"/>
      <c r="E23" s="25" t="s">
        <v>13</v>
      </c>
      <c r="F23" s="26" t="s">
        <v>119</v>
      </c>
      <c r="G23" s="26">
        <v>1</v>
      </c>
      <c r="H23" s="64">
        <f t="shared" si="1"/>
        <v>0.16666666666666666</v>
      </c>
      <c r="I23" s="1"/>
    </row>
    <row r="24" spans="2:9" ht="79.95" customHeight="1" outlineLevel="1" thickTop="1" thickBot="1" x14ac:dyDescent="0.35">
      <c r="B24" s="99" t="s">
        <v>152</v>
      </c>
      <c r="C24" s="72">
        <f>SUBTOTAL(9,C21:C23)</f>
        <v>6</v>
      </c>
      <c r="D24" s="73"/>
      <c r="E24" s="25"/>
      <c r="F24" s="26"/>
      <c r="G24" s="26">
        <f>SUBTOTAL(9,G21:G23)</f>
        <v>4</v>
      </c>
      <c r="H24" s="64">
        <f>SUBTOTAL(9,H21:H23)</f>
        <v>0.66666666666666663</v>
      </c>
      <c r="I24" s="1"/>
    </row>
    <row r="25" spans="2:9" ht="120.6" customHeight="1" outlineLevel="2" thickTop="1" thickBot="1" x14ac:dyDescent="0.35">
      <c r="B25" s="83" t="s">
        <v>81</v>
      </c>
      <c r="C25" s="83">
        <v>7</v>
      </c>
      <c r="D25" s="82" t="s">
        <v>51</v>
      </c>
      <c r="E25" s="8" t="s">
        <v>5</v>
      </c>
      <c r="F25" s="9" t="s">
        <v>120</v>
      </c>
      <c r="G25" s="9">
        <v>3</v>
      </c>
      <c r="H25" s="59">
        <f>G25/7</f>
        <v>0.42857142857142855</v>
      </c>
      <c r="I25" s="1"/>
    </row>
    <row r="26" spans="2:9" ht="130.19999999999999" customHeight="1" outlineLevel="2" thickTop="1" thickBot="1" x14ac:dyDescent="0.35">
      <c r="B26" s="83"/>
      <c r="C26" s="83"/>
      <c r="D26" s="82"/>
      <c r="E26" s="10" t="s">
        <v>4</v>
      </c>
      <c r="F26" s="9" t="s">
        <v>121</v>
      </c>
      <c r="G26" s="9">
        <v>2</v>
      </c>
      <c r="H26" s="59">
        <f>G26/7</f>
        <v>0.2857142857142857</v>
      </c>
    </row>
    <row r="27" spans="2:9" ht="28.2" customHeight="1" outlineLevel="1" thickTop="1" thickBot="1" x14ac:dyDescent="0.35">
      <c r="B27" s="97" t="s">
        <v>153</v>
      </c>
      <c r="C27" s="78">
        <f>SUBTOTAL(9,C25:C26)</f>
        <v>7</v>
      </c>
      <c r="D27" s="79"/>
      <c r="E27" s="10"/>
      <c r="F27" s="9"/>
      <c r="G27" s="9">
        <f>SUBTOTAL(9,G25:G26)</f>
        <v>5</v>
      </c>
      <c r="H27" s="59">
        <f>SUBTOTAL(9,H25:H26)</f>
        <v>0.71428571428571419</v>
      </c>
    </row>
    <row r="28" spans="2:9" ht="19.2" customHeight="1" outlineLevel="2" thickTop="1" thickBot="1" x14ac:dyDescent="0.35">
      <c r="B28" s="32" t="s">
        <v>82</v>
      </c>
      <c r="C28" s="32">
        <v>13</v>
      </c>
      <c r="D28" s="33" t="s">
        <v>52</v>
      </c>
      <c r="E28" s="34" t="s">
        <v>11</v>
      </c>
      <c r="F28" s="35" t="s">
        <v>114</v>
      </c>
      <c r="G28" s="35">
        <v>0</v>
      </c>
      <c r="H28" s="65">
        <v>0</v>
      </c>
      <c r="I28" s="1"/>
    </row>
    <row r="29" spans="2:9" ht="19.2" customHeight="1" outlineLevel="1" thickTop="1" thickBot="1" x14ac:dyDescent="0.35">
      <c r="B29" s="101" t="s">
        <v>154</v>
      </c>
      <c r="C29" s="32">
        <f>SUBTOTAL(9,C28:C28)</f>
        <v>13</v>
      </c>
      <c r="D29" s="33"/>
      <c r="E29" s="34"/>
      <c r="F29" s="35"/>
      <c r="G29" s="35">
        <f>SUBTOTAL(9,G28:G28)</f>
        <v>0</v>
      </c>
      <c r="H29" s="65">
        <f>SUBTOTAL(9,H28:H28)</f>
        <v>0</v>
      </c>
      <c r="I29" s="1"/>
    </row>
    <row r="30" spans="2:9" ht="15" customHeight="1" outlineLevel="2" thickTop="1" thickBot="1" x14ac:dyDescent="0.35">
      <c r="B30" s="11" t="s">
        <v>83</v>
      </c>
      <c r="C30" s="11">
        <v>8</v>
      </c>
      <c r="D30" s="12" t="s">
        <v>53</v>
      </c>
      <c r="E30" s="13" t="s">
        <v>100</v>
      </c>
      <c r="F30" s="14" t="s">
        <v>122</v>
      </c>
      <c r="G30" s="14">
        <v>0</v>
      </c>
      <c r="H30" s="60">
        <v>0</v>
      </c>
    </row>
    <row r="31" spans="2:9" ht="15" customHeight="1" outlineLevel="1" thickTop="1" thickBot="1" x14ac:dyDescent="0.35">
      <c r="B31" s="98" t="s">
        <v>155</v>
      </c>
      <c r="C31" s="77">
        <f>SUBTOTAL(9,C30:C30)</f>
        <v>8</v>
      </c>
      <c r="D31" s="76"/>
      <c r="E31" s="13"/>
      <c r="F31" s="14"/>
      <c r="G31" s="14">
        <f>SUBTOTAL(9,G30:G30)</f>
        <v>0</v>
      </c>
      <c r="H31" s="60">
        <f>SUBTOTAL(9,H30:H30)</f>
        <v>0</v>
      </c>
    </row>
    <row r="32" spans="2:9" ht="144.6" customHeight="1" outlineLevel="2" thickTop="1" thickBot="1" x14ac:dyDescent="0.35">
      <c r="B32" s="36" t="s">
        <v>84</v>
      </c>
      <c r="C32" s="36">
        <v>10</v>
      </c>
      <c r="D32" s="37" t="s">
        <v>54</v>
      </c>
      <c r="E32" s="38" t="s">
        <v>25</v>
      </c>
      <c r="F32" s="39" t="s">
        <v>123</v>
      </c>
      <c r="G32" s="39">
        <v>8</v>
      </c>
      <c r="H32" s="66">
        <f>G32/C32</f>
        <v>0.8</v>
      </c>
    </row>
    <row r="33" spans="2:9" ht="23.4" customHeight="1" outlineLevel="1" thickTop="1" thickBot="1" x14ac:dyDescent="0.35">
      <c r="B33" s="102" t="s">
        <v>156</v>
      </c>
      <c r="C33" s="36">
        <f>SUBTOTAL(9,C32:C32)</f>
        <v>10</v>
      </c>
      <c r="D33" s="37"/>
      <c r="E33" s="38"/>
      <c r="F33" s="39"/>
      <c r="G33" s="39">
        <f>SUBTOTAL(9,G32:G32)</f>
        <v>8</v>
      </c>
      <c r="H33" s="66">
        <f>SUBTOTAL(9,H32:H32)</f>
        <v>0.8</v>
      </c>
    </row>
    <row r="34" spans="2:9" ht="134.4" customHeight="1" outlineLevel="2" thickTop="1" thickBot="1" x14ac:dyDescent="0.35">
      <c r="B34" s="87" t="s">
        <v>85</v>
      </c>
      <c r="C34" s="87">
        <v>31</v>
      </c>
      <c r="D34" s="86" t="s">
        <v>55</v>
      </c>
      <c r="E34" s="40" t="s">
        <v>1</v>
      </c>
      <c r="F34" s="41" t="s">
        <v>124</v>
      </c>
      <c r="G34" s="41">
        <v>5</v>
      </c>
      <c r="H34" s="67">
        <f>G34/31</f>
        <v>0.16129032258064516</v>
      </c>
    </row>
    <row r="35" spans="2:9" ht="146.4" customHeight="1" outlineLevel="2" thickTop="1" thickBot="1" x14ac:dyDescent="0.35">
      <c r="B35" s="87"/>
      <c r="C35" s="87"/>
      <c r="D35" s="86"/>
      <c r="E35" s="42" t="s">
        <v>21</v>
      </c>
      <c r="F35" s="41" t="s">
        <v>125</v>
      </c>
      <c r="G35" s="41">
        <v>1</v>
      </c>
      <c r="H35" s="67">
        <f>G35/31</f>
        <v>3.2258064516129031E-2</v>
      </c>
      <c r="I35" s="2"/>
    </row>
    <row r="36" spans="2:9" ht="11.4" customHeight="1" outlineLevel="1" thickTop="1" thickBot="1" x14ac:dyDescent="0.35">
      <c r="B36" s="103" t="s">
        <v>157</v>
      </c>
      <c r="C36" s="81">
        <f>SUBTOTAL(9,C34:C35)</f>
        <v>31</v>
      </c>
      <c r="D36" s="80"/>
      <c r="E36" s="42"/>
      <c r="F36" s="41"/>
      <c r="G36" s="41">
        <f>SUBTOTAL(9,G34:G35)</f>
        <v>6</v>
      </c>
      <c r="H36" s="67">
        <f>SUBTOTAL(9,H34:H35)</f>
        <v>0.19354838709677419</v>
      </c>
      <c r="I36" s="2"/>
    </row>
    <row r="37" spans="2:9" ht="136.19999999999999" customHeight="1" outlineLevel="2" thickTop="1" thickBot="1" x14ac:dyDescent="0.35">
      <c r="B37" s="84" t="s">
        <v>86</v>
      </c>
      <c r="C37" s="84">
        <v>14</v>
      </c>
      <c r="D37" s="85" t="s">
        <v>56</v>
      </c>
      <c r="E37" s="25" t="s">
        <v>19</v>
      </c>
      <c r="F37" s="26" t="s">
        <v>122</v>
      </c>
      <c r="G37" s="26">
        <v>6</v>
      </c>
      <c r="H37" s="64">
        <f>G37/14</f>
        <v>0.42857142857142855</v>
      </c>
      <c r="I37" s="2"/>
    </row>
    <row r="38" spans="2:9" ht="145.80000000000001" customHeight="1" outlineLevel="2" thickTop="1" thickBot="1" x14ac:dyDescent="0.35">
      <c r="B38" s="84"/>
      <c r="C38" s="84"/>
      <c r="D38" s="85"/>
      <c r="E38" s="25" t="s">
        <v>17</v>
      </c>
      <c r="F38" s="26" t="s">
        <v>123</v>
      </c>
      <c r="G38" s="26">
        <v>2</v>
      </c>
      <c r="H38" s="64">
        <f>G38/14</f>
        <v>0.14285714285714285</v>
      </c>
      <c r="I38" s="1"/>
    </row>
    <row r="39" spans="2:9" ht="36.6" customHeight="1" outlineLevel="1" thickTop="1" thickBot="1" x14ac:dyDescent="0.35">
      <c r="B39" s="99" t="s">
        <v>158</v>
      </c>
      <c r="C39" s="72">
        <f>SUBTOTAL(9,C37:C38)</f>
        <v>14</v>
      </c>
      <c r="D39" s="73"/>
      <c r="E39" s="25"/>
      <c r="F39" s="26"/>
      <c r="G39" s="26">
        <f>SUBTOTAL(9,G37:G38)</f>
        <v>8</v>
      </c>
      <c r="H39" s="64">
        <f>SUBTOTAL(9,H37:H38)</f>
        <v>0.5714285714285714</v>
      </c>
      <c r="I39" s="1"/>
    </row>
    <row r="40" spans="2:9" ht="79.95" customHeight="1" outlineLevel="2" thickTop="1" thickBot="1" x14ac:dyDescent="0.35">
      <c r="B40" s="88" t="s">
        <v>87</v>
      </c>
      <c r="C40" s="88">
        <v>14</v>
      </c>
      <c r="D40" s="89" t="s">
        <v>57</v>
      </c>
      <c r="E40" s="43" t="s">
        <v>20</v>
      </c>
      <c r="F40" s="44" t="s">
        <v>125</v>
      </c>
      <c r="G40" s="44">
        <v>4</v>
      </c>
      <c r="H40" s="68">
        <f>G40/14</f>
        <v>0.2857142857142857</v>
      </c>
      <c r="I40" s="1"/>
    </row>
    <row r="41" spans="2:9" ht="79.95" customHeight="1" outlineLevel="2" thickTop="1" thickBot="1" x14ac:dyDescent="0.35">
      <c r="B41" s="88"/>
      <c r="C41" s="88"/>
      <c r="D41" s="89"/>
      <c r="E41" s="43" t="s">
        <v>18</v>
      </c>
      <c r="F41" s="44" t="s">
        <v>123</v>
      </c>
      <c r="G41" s="44">
        <v>1</v>
      </c>
      <c r="H41" s="68">
        <f>G41/14</f>
        <v>7.1428571428571425E-2</v>
      </c>
      <c r="I41" s="2"/>
    </row>
    <row r="42" spans="2:9" ht="34.200000000000003" customHeight="1" outlineLevel="1" thickTop="1" thickBot="1" x14ac:dyDescent="0.35">
      <c r="B42" s="104" t="s">
        <v>159</v>
      </c>
      <c r="C42" s="74">
        <f>SUBTOTAL(9,C40:C41)</f>
        <v>14</v>
      </c>
      <c r="D42" s="75"/>
      <c r="E42" s="43"/>
      <c r="F42" s="44"/>
      <c r="G42" s="44">
        <f>SUBTOTAL(9,G40:G41)</f>
        <v>5</v>
      </c>
      <c r="H42" s="68">
        <f>SUBTOTAL(9,H40:H41)</f>
        <v>0.3571428571428571</v>
      </c>
      <c r="I42" s="2"/>
    </row>
    <row r="43" spans="2:9" ht="79.95" customHeight="1" outlineLevel="2" thickTop="1" thickBot="1" x14ac:dyDescent="0.35">
      <c r="B43" s="91" t="s">
        <v>88</v>
      </c>
      <c r="C43" s="91">
        <v>56</v>
      </c>
      <c r="D43" s="90" t="s">
        <v>58</v>
      </c>
      <c r="E43" s="13" t="s">
        <v>107</v>
      </c>
      <c r="F43" s="14" t="s">
        <v>126</v>
      </c>
      <c r="G43" s="14">
        <v>4</v>
      </c>
      <c r="H43" s="60">
        <f>G43/56</f>
        <v>7.1428571428571425E-2</v>
      </c>
      <c r="I43" s="1"/>
    </row>
    <row r="44" spans="2:9" ht="79.95" customHeight="1" outlineLevel="2" thickTop="1" thickBot="1" x14ac:dyDescent="0.35">
      <c r="B44" s="91"/>
      <c r="C44" s="91"/>
      <c r="D44" s="90"/>
      <c r="E44" s="13" t="s">
        <v>108</v>
      </c>
      <c r="F44" s="14" t="s">
        <v>127</v>
      </c>
      <c r="G44" s="14">
        <v>1</v>
      </c>
      <c r="H44" s="60">
        <f>G44/56</f>
        <v>1.7857142857142856E-2</v>
      </c>
      <c r="I44" s="6"/>
    </row>
    <row r="45" spans="2:9" ht="79.95" customHeight="1" outlineLevel="1" thickTop="1" thickBot="1" x14ac:dyDescent="0.35">
      <c r="B45" s="98" t="s">
        <v>160</v>
      </c>
      <c r="C45" s="77">
        <f>SUBTOTAL(9,C43:C44)</f>
        <v>56</v>
      </c>
      <c r="D45" s="76"/>
      <c r="E45" s="13"/>
      <c r="F45" s="14"/>
      <c r="G45" s="14">
        <f>SUBTOTAL(9,G43:G44)</f>
        <v>5</v>
      </c>
      <c r="H45" s="60">
        <f>SUBTOTAL(9,H43:H44)</f>
        <v>8.9285714285714274E-2</v>
      </c>
      <c r="I45" s="6"/>
    </row>
    <row r="46" spans="2:9" ht="21" customHeight="1" outlineLevel="2" thickTop="1" thickBot="1" x14ac:dyDescent="0.35">
      <c r="B46" s="27" t="s">
        <v>89</v>
      </c>
      <c r="C46" s="27">
        <v>10</v>
      </c>
      <c r="D46" s="28" t="s">
        <v>59</v>
      </c>
      <c r="E46" s="8" t="s">
        <v>3</v>
      </c>
      <c r="F46" s="9" t="s">
        <v>128</v>
      </c>
      <c r="G46" s="9">
        <v>0</v>
      </c>
      <c r="H46" s="59">
        <v>0</v>
      </c>
      <c r="I46" s="1"/>
    </row>
    <row r="47" spans="2:9" ht="21" customHeight="1" outlineLevel="1" thickTop="1" thickBot="1" x14ac:dyDescent="0.35">
      <c r="B47" s="97" t="s">
        <v>161</v>
      </c>
      <c r="C47" s="78">
        <f>SUBTOTAL(9,C46:C46)</f>
        <v>10</v>
      </c>
      <c r="D47" s="79"/>
      <c r="E47" s="8"/>
      <c r="F47" s="9"/>
      <c r="G47" s="9">
        <f>SUBTOTAL(9,G46:G46)</f>
        <v>0</v>
      </c>
      <c r="H47" s="59">
        <f>SUBTOTAL(9,H46:H46)</f>
        <v>0</v>
      </c>
      <c r="I47" s="1"/>
    </row>
    <row r="48" spans="2:9" ht="14.4" customHeight="1" outlineLevel="2" thickTop="1" thickBot="1" x14ac:dyDescent="0.35">
      <c r="B48" s="32" t="s">
        <v>90</v>
      </c>
      <c r="C48" s="32">
        <v>29</v>
      </c>
      <c r="D48" s="33" t="s">
        <v>60</v>
      </c>
      <c r="E48" s="34" t="s">
        <v>16</v>
      </c>
      <c r="F48" s="35" t="s">
        <v>115</v>
      </c>
      <c r="G48" s="35">
        <v>0</v>
      </c>
      <c r="H48" s="65">
        <v>0</v>
      </c>
      <c r="I48" s="1"/>
    </row>
    <row r="49" spans="2:9" ht="14.4" customHeight="1" outlineLevel="1" thickTop="1" thickBot="1" x14ac:dyDescent="0.35">
      <c r="B49" s="101" t="s">
        <v>162</v>
      </c>
      <c r="C49" s="32">
        <f>SUBTOTAL(9,C48:C48)</f>
        <v>29</v>
      </c>
      <c r="D49" s="33"/>
      <c r="E49" s="34"/>
      <c r="F49" s="35"/>
      <c r="G49" s="35">
        <f>SUBTOTAL(9,G48:G48)</f>
        <v>0</v>
      </c>
      <c r="H49" s="65">
        <f>SUBTOTAL(9,H48:H48)</f>
        <v>0</v>
      </c>
      <c r="I49" s="1"/>
    </row>
    <row r="50" spans="2:9" ht="13.2" customHeight="1" outlineLevel="2" thickTop="1" thickBot="1" x14ac:dyDescent="0.35">
      <c r="B50" s="15" t="s">
        <v>91</v>
      </c>
      <c r="C50" s="15">
        <v>37</v>
      </c>
      <c r="D50" s="16" t="s">
        <v>61</v>
      </c>
      <c r="E50" s="25" t="s">
        <v>28</v>
      </c>
      <c r="F50" s="26" t="s">
        <v>113</v>
      </c>
      <c r="G50" s="26">
        <v>0</v>
      </c>
      <c r="H50" s="64">
        <v>0</v>
      </c>
      <c r="I50" s="2"/>
    </row>
    <row r="51" spans="2:9" ht="13.2" customHeight="1" outlineLevel="1" thickTop="1" thickBot="1" x14ac:dyDescent="0.35">
      <c r="B51" s="99" t="s">
        <v>163</v>
      </c>
      <c r="C51" s="72">
        <f>SUBTOTAL(9,C50:C50)</f>
        <v>37</v>
      </c>
      <c r="D51" s="73"/>
      <c r="E51" s="25"/>
      <c r="F51" s="26"/>
      <c r="G51" s="26">
        <f>SUBTOTAL(9,G50:G50)</f>
        <v>0</v>
      </c>
      <c r="H51" s="64">
        <f>SUBTOTAL(9,H50:H50)</f>
        <v>0</v>
      </c>
      <c r="I51" s="2"/>
    </row>
    <row r="52" spans="2:9" ht="173.4" customHeight="1" outlineLevel="2" thickTop="1" thickBot="1" x14ac:dyDescent="0.35">
      <c r="B52" s="27" t="s">
        <v>92</v>
      </c>
      <c r="C52" s="27">
        <v>52</v>
      </c>
      <c r="D52" s="28" t="s">
        <v>62</v>
      </c>
      <c r="E52" s="8" t="s">
        <v>27</v>
      </c>
      <c r="F52" s="9" t="s">
        <v>129</v>
      </c>
      <c r="G52" s="9">
        <v>2</v>
      </c>
      <c r="H52" s="59">
        <f>G52/C52</f>
        <v>3.8461538461538464E-2</v>
      </c>
      <c r="I52" s="2"/>
    </row>
    <row r="53" spans="2:9" ht="25.2" customHeight="1" outlineLevel="1" thickTop="1" thickBot="1" x14ac:dyDescent="0.35">
      <c r="B53" s="97" t="s">
        <v>164</v>
      </c>
      <c r="C53" s="78">
        <f>SUBTOTAL(9,C52:C52)</f>
        <v>52</v>
      </c>
      <c r="D53" s="79"/>
      <c r="E53" s="8"/>
      <c r="F53" s="9"/>
      <c r="G53" s="9">
        <f>SUBTOTAL(9,G52:G52)</f>
        <v>2</v>
      </c>
      <c r="H53" s="59">
        <f>SUBTOTAL(9,H52:H52)</f>
        <v>3.8461538461538464E-2</v>
      </c>
      <c r="I53" s="2"/>
    </row>
    <row r="54" spans="2:9" ht="18" customHeight="1" outlineLevel="2" thickTop="1" thickBot="1" x14ac:dyDescent="0.35">
      <c r="B54" s="11" t="s">
        <v>93</v>
      </c>
      <c r="C54" s="11">
        <v>15</v>
      </c>
      <c r="D54" s="12" t="s">
        <v>63</v>
      </c>
      <c r="E54" s="13" t="s">
        <v>31</v>
      </c>
      <c r="F54" s="14" t="s">
        <v>130</v>
      </c>
      <c r="G54" s="14">
        <v>0</v>
      </c>
      <c r="H54" s="60">
        <v>0</v>
      </c>
      <c r="I54" s="2"/>
    </row>
    <row r="55" spans="2:9" ht="18" customHeight="1" outlineLevel="1" thickTop="1" thickBot="1" x14ac:dyDescent="0.35">
      <c r="B55" s="98" t="s">
        <v>165</v>
      </c>
      <c r="C55" s="77">
        <f>SUBTOTAL(9,C54:C54)</f>
        <v>15</v>
      </c>
      <c r="D55" s="76"/>
      <c r="E55" s="13"/>
      <c r="F55" s="14"/>
      <c r="G55" s="14">
        <f>SUBTOTAL(9,G54:G54)</f>
        <v>0</v>
      </c>
      <c r="H55" s="60">
        <f>SUBTOTAL(9,H54:H54)</f>
        <v>0</v>
      </c>
      <c r="I55" s="2"/>
    </row>
    <row r="56" spans="2:9" ht="105" customHeight="1" outlineLevel="2" thickTop="1" thickBot="1" x14ac:dyDescent="0.35">
      <c r="B56" s="83" t="s">
        <v>94</v>
      </c>
      <c r="C56" s="83">
        <v>41</v>
      </c>
      <c r="D56" s="82" t="s">
        <v>64</v>
      </c>
      <c r="E56" s="8" t="s">
        <v>99</v>
      </c>
      <c r="F56" s="9" t="s">
        <v>131</v>
      </c>
      <c r="G56" s="9">
        <v>8</v>
      </c>
      <c r="H56" s="59">
        <f>G56/41</f>
        <v>0.1951219512195122</v>
      </c>
      <c r="I56" s="1"/>
    </row>
    <row r="57" spans="2:9" ht="110.4" customHeight="1" outlineLevel="2" thickTop="1" thickBot="1" x14ac:dyDescent="0.35">
      <c r="B57" s="83"/>
      <c r="C57" s="83"/>
      <c r="D57" s="82"/>
      <c r="E57" s="10" t="s">
        <v>9</v>
      </c>
      <c r="F57" s="9" t="s">
        <v>132</v>
      </c>
      <c r="G57" s="9">
        <v>8</v>
      </c>
      <c r="H57" s="59">
        <f>G57/41</f>
        <v>0.1951219512195122</v>
      </c>
      <c r="I57" s="1"/>
    </row>
    <row r="58" spans="2:9" ht="110.4" customHeight="1" outlineLevel="1" thickTop="1" thickBot="1" x14ac:dyDescent="0.35">
      <c r="B58" s="97" t="s">
        <v>166</v>
      </c>
      <c r="C58" s="78">
        <f>SUBTOTAL(9,C56:C57)</f>
        <v>41</v>
      </c>
      <c r="D58" s="79"/>
      <c r="E58" s="10"/>
      <c r="F58" s="9"/>
      <c r="G58" s="9">
        <f>SUBTOTAL(9,G56:G57)</f>
        <v>16</v>
      </c>
      <c r="H58" s="59">
        <f>SUBTOTAL(9,H56:H57)</f>
        <v>0.3902439024390244</v>
      </c>
      <c r="I58" s="1"/>
    </row>
    <row r="59" spans="2:9" ht="79.95" customHeight="1" outlineLevel="2" thickTop="1" thickBot="1" x14ac:dyDescent="0.35">
      <c r="B59" s="84" t="s">
        <v>95</v>
      </c>
      <c r="C59" s="84">
        <v>39</v>
      </c>
      <c r="D59" s="85" t="s">
        <v>65</v>
      </c>
      <c r="E59" s="25" t="s">
        <v>24</v>
      </c>
      <c r="F59" s="26" t="s">
        <v>112</v>
      </c>
      <c r="G59" s="26">
        <v>4</v>
      </c>
      <c r="H59" s="64">
        <f>G59/39</f>
        <v>0.10256410256410256</v>
      </c>
    </row>
    <row r="60" spans="2:9" ht="79.95" customHeight="1" outlineLevel="2" thickTop="1" thickBot="1" x14ac:dyDescent="0.35">
      <c r="B60" s="84"/>
      <c r="C60" s="84"/>
      <c r="D60" s="85"/>
      <c r="E60" s="31" t="s">
        <v>101</v>
      </c>
      <c r="F60" s="26" t="s">
        <v>133</v>
      </c>
      <c r="G60" s="26">
        <v>2</v>
      </c>
      <c r="H60" s="64">
        <f>G60/39</f>
        <v>5.128205128205128E-2</v>
      </c>
      <c r="I60" s="1"/>
    </row>
    <row r="61" spans="2:9" ht="79.95" customHeight="1" outlineLevel="1" thickTop="1" thickBot="1" x14ac:dyDescent="0.35">
      <c r="B61" s="99" t="s">
        <v>167</v>
      </c>
      <c r="C61" s="72">
        <f>SUBTOTAL(9,C59:C60)</f>
        <v>39</v>
      </c>
      <c r="D61" s="73"/>
      <c r="E61" s="31"/>
      <c r="F61" s="26"/>
      <c r="G61" s="26">
        <f>SUBTOTAL(9,G59:G60)</f>
        <v>6</v>
      </c>
      <c r="H61" s="64">
        <f>SUBTOTAL(9,H59:H60)</f>
        <v>0.15384615384615385</v>
      </c>
      <c r="I61" s="1"/>
    </row>
    <row r="62" spans="2:9" ht="19.8" customHeight="1" outlineLevel="2" thickTop="1" thickBot="1" x14ac:dyDescent="0.35">
      <c r="B62" s="32" t="s">
        <v>96</v>
      </c>
      <c r="C62" s="32">
        <v>3</v>
      </c>
      <c r="D62" s="33" t="s">
        <v>66</v>
      </c>
      <c r="E62" s="45" t="s">
        <v>12</v>
      </c>
      <c r="F62" s="35" t="s">
        <v>115</v>
      </c>
      <c r="G62" s="35">
        <v>0</v>
      </c>
      <c r="H62" s="65">
        <v>0</v>
      </c>
      <c r="I62" s="2"/>
    </row>
    <row r="63" spans="2:9" ht="19.8" customHeight="1" outlineLevel="1" thickTop="1" thickBot="1" x14ac:dyDescent="0.35">
      <c r="B63" s="101" t="s">
        <v>168</v>
      </c>
      <c r="C63" s="32">
        <f>SUBTOTAL(9,C62:C62)</f>
        <v>3</v>
      </c>
      <c r="D63" s="33"/>
      <c r="E63" s="45"/>
      <c r="F63" s="35"/>
      <c r="G63" s="35">
        <f>SUBTOTAL(9,G62:G62)</f>
        <v>0</v>
      </c>
      <c r="H63" s="65">
        <f>SUBTOTAL(9,H62:H62)</f>
        <v>0</v>
      </c>
      <c r="I63" s="2"/>
    </row>
    <row r="64" spans="2:9" ht="16.2" customHeight="1" outlineLevel="2" thickTop="1" thickBot="1" x14ac:dyDescent="0.35">
      <c r="B64" s="27" t="s">
        <v>97</v>
      </c>
      <c r="C64" s="27">
        <v>0</v>
      </c>
      <c r="D64" s="28" t="s">
        <v>67</v>
      </c>
      <c r="E64" s="46" t="s">
        <v>23</v>
      </c>
      <c r="F64" s="47" t="s">
        <v>134</v>
      </c>
      <c r="G64" s="47">
        <v>0</v>
      </c>
      <c r="H64" s="69">
        <v>0</v>
      </c>
      <c r="I64" s="2"/>
    </row>
    <row r="65" spans="2:9" ht="16.2" customHeight="1" outlineLevel="1" thickTop="1" thickBot="1" x14ac:dyDescent="0.35">
      <c r="B65" s="97" t="s">
        <v>169</v>
      </c>
      <c r="C65" s="78">
        <f>SUBTOTAL(9,C64:C64)</f>
        <v>0</v>
      </c>
      <c r="D65" s="79"/>
      <c r="E65" s="46"/>
      <c r="F65" s="47"/>
      <c r="G65" s="47">
        <f>SUBTOTAL(9,G64:G64)</f>
        <v>0</v>
      </c>
      <c r="H65" s="69">
        <f>SUBTOTAL(9,H64:H64)</f>
        <v>0</v>
      </c>
      <c r="I65" s="2"/>
    </row>
    <row r="66" spans="2:9" ht="14.4" customHeight="1" outlineLevel="2" thickTop="1" thickBot="1" x14ac:dyDescent="0.35">
      <c r="B66" s="11" t="s">
        <v>98</v>
      </c>
      <c r="C66" s="11">
        <v>0</v>
      </c>
      <c r="D66" s="12" t="s">
        <v>68</v>
      </c>
      <c r="E66" s="13" t="s">
        <v>26</v>
      </c>
      <c r="F66" s="14" t="s">
        <v>135</v>
      </c>
      <c r="G66" s="14">
        <v>0</v>
      </c>
      <c r="H66" s="60">
        <v>0</v>
      </c>
    </row>
    <row r="67" spans="2:9" ht="14.4" customHeight="1" outlineLevel="1" thickTop="1" x14ac:dyDescent="0.3">
      <c r="B67" s="110" t="s">
        <v>170</v>
      </c>
      <c r="C67" s="105">
        <f>SUBTOTAL(9,C66:C66)</f>
        <v>0</v>
      </c>
      <c r="D67" s="106"/>
      <c r="E67" s="107"/>
      <c r="F67" s="108"/>
      <c r="G67" s="108">
        <f>SUBTOTAL(9,G66:G66)</f>
        <v>0</v>
      </c>
      <c r="H67" s="109">
        <f>SUBTOTAL(9,H66:H66)</f>
        <v>0</v>
      </c>
    </row>
    <row r="69" spans="2:9" ht="79.95" customHeight="1" x14ac:dyDescent="0.3">
      <c r="I69" s="5"/>
    </row>
    <row r="72" spans="2:9" ht="79.95" customHeight="1" x14ac:dyDescent="0.3">
      <c r="I72" s="2"/>
    </row>
    <row r="73" spans="2:9" ht="79.95" customHeight="1" x14ac:dyDescent="0.3">
      <c r="I73" s="2"/>
    </row>
    <row r="76" spans="2:9" ht="79.95" customHeight="1" x14ac:dyDescent="0.3">
      <c r="I76" s="2"/>
    </row>
  </sheetData>
  <sortState ref="E25:G26">
    <sortCondition descending="1" ref="G25:G26"/>
  </sortState>
  <mergeCells count="27">
    <mergeCell ref="B59:B60"/>
    <mergeCell ref="D59:D60"/>
    <mergeCell ref="C59:C60"/>
    <mergeCell ref="B40:B41"/>
    <mergeCell ref="D40:D41"/>
    <mergeCell ref="D43:D44"/>
    <mergeCell ref="B43:B44"/>
    <mergeCell ref="C40:C41"/>
    <mergeCell ref="C43:C44"/>
    <mergeCell ref="C56:C57"/>
    <mergeCell ref="D56:D57"/>
    <mergeCell ref="B56:B57"/>
    <mergeCell ref="D2:D3"/>
    <mergeCell ref="B2:B3"/>
    <mergeCell ref="C2:C3"/>
    <mergeCell ref="B37:B38"/>
    <mergeCell ref="D37:D38"/>
    <mergeCell ref="D34:D35"/>
    <mergeCell ref="B34:B35"/>
    <mergeCell ref="C34:C35"/>
    <mergeCell ref="C37:C38"/>
    <mergeCell ref="B25:B26"/>
    <mergeCell ref="D25:D26"/>
    <mergeCell ref="C25:C26"/>
    <mergeCell ref="D21:D23"/>
    <mergeCell ref="B21:B23"/>
    <mergeCell ref="C21:C2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D5" sqref="D5"/>
    </sheetView>
  </sheetViews>
  <sheetFormatPr defaultRowHeight="14.4" x14ac:dyDescent="0.3"/>
  <cols>
    <col min="2" max="2" width="6.33203125" style="7" customWidth="1"/>
    <col min="3" max="3" width="48.77734375" style="7" customWidth="1"/>
    <col min="5" max="5" width="8.88671875" style="70"/>
  </cols>
  <sheetData>
    <row r="1" spans="2:5" ht="15.6" thickTop="1" thickBot="1" x14ac:dyDescent="0.35">
      <c r="B1" s="54"/>
      <c r="C1" s="54"/>
      <c r="D1" s="48"/>
      <c r="E1" s="71" t="s">
        <v>136</v>
      </c>
    </row>
    <row r="2" spans="2:5" ht="32.4" thickTop="1" thickBot="1" x14ac:dyDescent="0.35">
      <c r="B2" s="55">
        <v>20</v>
      </c>
      <c r="C2" s="55" t="s">
        <v>14</v>
      </c>
      <c r="D2" s="48">
        <v>8</v>
      </c>
      <c r="E2" s="71">
        <f>D2/B2</f>
        <v>0.4</v>
      </c>
    </row>
    <row r="3" spans="2:5" ht="31.2" thickTop="1" thickBot="1" x14ac:dyDescent="0.35">
      <c r="B3" s="92">
        <v>68</v>
      </c>
      <c r="C3" s="56" t="s">
        <v>7</v>
      </c>
      <c r="D3" s="48">
        <v>7</v>
      </c>
      <c r="E3" s="71">
        <f>D3/68</f>
        <v>0.10294117647058823</v>
      </c>
    </row>
    <row r="4" spans="2:5" ht="31.2" thickTop="1" thickBot="1" x14ac:dyDescent="0.35">
      <c r="B4" s="92"/>
      <c r="C4" s="56" t="s">
        <v>6</v>
      </c>
      <c r="D4" s="48">
        <v>9</v>
      </c>
      <c r="E4" s="71">
        <f>D4/68</f>
        <v>0.13235294117647059</v>
      </c>
    </row>
    <row r="5" spans="2:5" ht="16.2" thickTop="1" thickBot="1" x14ac:dyDescent="0.35">
      <c r="B5" s="57"/>
      <c r="C5" s="57" t="s">
        <v>0</v>
      </c>
      <c r="D5" s="48">
        <v>4</v>
      </c>
      <c r="E5" s="71"/>
    </row>
    <row r="6" spans="2:5" ht="16.8" thickTop="1" thickBot="1" x14ac:dyDescent="0.35">
      <c r="B6" s="49"/>
      <c r="C6" s="49" t="s">
        <v>15</v>
      </c>
      <c r="D6" s="48">
        <v>3</v>
      </c>
      <c r="E6" s="71"/>
    </row>
    <row r="7" spans="2:5" ht="16.8" thickTop="1" thickBot="1" x14ac:dyDescent="0.35">
      <c r="B7" s="55"/>
      <c r="C7" s="55" t="s">
        <v>30</v>
      </c>
      <c r="D7" s="48">
        <v>2</v>
      </c>
      <c r="E7" s="71"/>
    </row>
    <row r="8" spans="2:5" ht="32.4" thickTop="1" thickBot="1" x14ac:dyDescent="0.35">
      <c r="B8" s="49"/>
      <c r="C8" s="49" t="s">
        <v>103</v>
      </c>
      <c r="D8" s="48">
        <v>1</v>
      </c>
      <c r="E8" s="71"/>
    </row>
    <row r="9" spans="2:5" ht="15" thickTop="1" x14ac:dyDescent="0.3"/>
  </sheetData>
  <sortState ref="B5:E9">
    <sortCondition descending="1" ref="D5:D9"/>
  </sortState>
  <mergeCells count="1">
    <mergeCell ref="B3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3"/>
  <sheetViews>
    <sheetView workbookViewId="0">
      <selection activeCell="L13" sqref="L13"/>
    </sheetView>
  </sheetViews>
  <sheetFormatPr defaultRowHeight="30" customHeight="1" x14ac:dyDescent="0.3"/>
  <cols>
    <col min="4" max="4" width="26.33203125" customWidth="1"/>
    <col min="5" max="5" width="20.21875" customWidth="1"/>
  </cols>
  <sheetData>
    <row r="1" spans="3:5" ht="30" customHeight="1" thickBot="1" x14ac:dyDescent="0.35"/>
    <row r="2" spans="3:5" ht="30" customHeight="1" thickTop="1" thickBot="1" x14ac:dyDescent="0.35">
      <c r="C2" s="48"/>
      <c r="D2" s="49" t="s">
        <v>39</v>
      </c>
      <c r="E2" s="51">
        <v>26</v>
      </c>
    </row>
    <row r="3" spans="3:5" ht="30" customHeight="1" thickTop="1" thickBot="1" x14ac:dyDescent="0.35">
      <c r="C3" s="48"/>
      <c r="D3" s="49" t="s">
        <v>32</v>
      </c>
      <c r="E3" s="50">
        <v>10</v>
      </c>
    </row>
    <row r="4" spans="3:5" ht="30" customHeight="1" thickTop="1" thickBot="1" x14ac:dyDescent="0.35">
      <c r="C4" s="48"/>
      <c r="D4" s="49" t="s">
        <v>40</v>
      </c>
      <c r="E4" s="52">
        <v>4</v>
      </c>
    </row>
    <row r="5" spans="3:5" ht="30" customHeight="1" thickTop="1" thickBot="1" x14ac:dyDescent="0.35">
      <c r="C5" s="48"/>
      <c r="D5" s="49" t="s">
        <v>34</v>
      </c>
      <c r="E5" s="52">
        <v>2</v>
      </c>
    </row>
    <row r="6" spans="3:5" ht="30" customHeight="1" thickTop="1" thickBot="1" x14ac:dyDescent="0.35">
      <c r="C6" s="48"/>
      <c r="D6" s="49" t="s">
        <v>37</v>
      </c>
      <c r="E6" s="52">
        <v>2</v>
      </c>
    </row>
    <row r="7" spans="3:5" ht="30" customHeight="1" thickTop="1" thickBot="1" x14ac:dyDescent="0.35">
      <c r="C7" s="48"/>
      <c r="D7" s="53" t="s">
        <v>41</v>
      </c>
      <c r="E7" s="52">
        <v>2</v>
      </c>
    </row>
    <row r="8" spans="3:5" ht="30" customHeight="1" thickTop="1" thickBot="1" x14ac:dyDescent="0.35">
      <c r="C8" s="48"/>
      <c r="D8" s="49" t="s">
        <v>33</v>
      </c>
      <c r="E8" s="51">
        <v>1</v>
      </c>
    </row>
    <row r="9" spans="3:5" ht="30" customHeight="1" thickTop="1" thickBot="1" x14ac:dyDescent="0.35">
      <c r="C9" s="48"/>
      <c r="D9" s="49" t="s">
        <v>35</v>
      </c>
      <c r="E9" s="51">
        <v>1</v>
      </c>
    </row>
    <row r="10" spans="3:5" ht="30" customHeight="1" thickTop="1" thickBot="1" x14ac:dyDescent="0.35">
      <c r="C10" s="48"/>
      <c r="D10" s="49" t="s">
        <v>36</v>
      </c>
      <c r="E10" s="51">
        <v>1</v>
      </c>
    </row>
    <row r="11" spans="3:5" ht="30" customHeight="1" thickTop="1" thickBot="1" x14ac:dyDescent="0.35">
      <c r="C11" s="48"/>
      <c r="D11" s="49" t="s">
        <v>38</v>
      </c>
      <c r="E11" s="51">
        <v>1</v>
      </c>
    </row>
    <row r="12" spans="3:5" ht="30" customHeight="1" thickTop="1" thickBot="1" x14ac:dyDescent="0.35">
      <c r="C12" s="48"/>
      <c r="D12" s="53" t="s">
        <v>42</v>
      </c>
      <c r="E12" s="52">
        <v>1</v>
      </c>
    </row>
    <row r="13" spans="3:5" ht="30" customHeight="1" thickTop="1" x14ac:dyDescent="0.3"/>
  </sheetData>
  <sortState ref="D1:E12">
    <sortCondition descending="1" ref="E1:E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2025-05-09T16:13:05Z</dcterms:modified>
</cp:coreProperties>
</file>