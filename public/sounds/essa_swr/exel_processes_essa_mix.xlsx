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ssa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Sheet1!$E$11</definedName>
    <definedName name="_xlnm._FilterDatabase" localSheetId="0" hidden="1">Sheet1!$F$28:$H$31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1" l="1"/>
  <c r="H53" i="1"/>
  <c r="H51" i="1"/>
  <c r="G49" i="1"/>
  <c r="H49" i="1" s="1"/>
  <c r="H44" i="1"/>
  <c r="H43" i="1"/>
  <c r="H42" i="1"/>
  <c r="H40" i="1"/>
  <c r="H37" i="1"/>
  <c r="H34" i="1"/>
  <c r="G32" i="1"/>
  <c r="H32" i="1" s="1"/>
  <c r="H29" i="1"/>
  <c r="G29" i="1"/>
  <c r="H26" i="1"/>
  <c r="H23" i="1"/>
  <c r="H20" i="1"/>
  <c r="G20" i="1"/>
  <c r="G17" i="1"/>
  <c r="H17" i="1" s="1"/>
  <c r="H13" i="1"/>
  <c r="H5" i="1"/>
  <c r="H3" i="1"/>
  <c r="H54" i="1" l="1"/>
  <c r="H52" i="1"/>
  <c r="H50" i="1"/>
  <c r="H48" i="1"/>
  <c r="H45" i="1"/>
  <c r="H41" i="1"/>
  <c r="H39" i="1"/>
  <c r="H36" i="1"/>
  <c r="H33" i="1"/>
  <c r="H31" i="1"/>
  <c r="H30" i="1"/>
  <c r="H28" i="1"/>
  <c r="H27" i="1"/>
  <c r="H25" i="1"/>
  <c r="H22" i="1"/>
  <c r="H18" i="1"/>
  <c r="H15" i="1"/>
  <c r="H14" i="1"/>
  <c r="H12" i="1"/>
  <c r="H4" i="1"/>
  <c r="H2" i="1"/>
  <c r="E3" i="2" l="1"/>
  <c r="E2" i="2"/>
  <c r="H46" i="1"/>
  <c r="H16" i="1"/>
  <c r="H47" i="1"/>
  <c r="H35" i="1"/>
  <c r="H38" i="1"/>
  <c r="H24" i="1"/>
  <c r="H19" i="1"/>
  <c r="H10" i="1"/>
  <c r="H11" i="1"/>
  <c r="H8" i="1"/>
  <c r="H9" i="1"/>
  <c r="H6" i="1"/>
  <c r="H7" i="1"/>
</calcChain>
</file>

<file path=xl/sharedStrings.xml><?xml version="1.0" encoding="utf-8"?>
<sst xmlns="http://schemas.openxmlformats.org/spreadsheetml/2006/main" count="151" uniqueCount="143">
  <si>
    <t>Vowel  nasalization</t>
  </si>
  <si>
    <t xml:space="preserve">Glottalization(substitution of [ʕ] with [ʔ]), </t>
  </si>
  <si>
    <t>substitution of [l] with [ɻ]</t>
  </si>
  <si>
    <t>substitution of [q] with [g]</t>
  </si>
  <si>
    <t>substitution of [q] with [k]</t>
  </si>
  <si>
    <t>Epenthesis(insertion of [ æ] phone between consonant cluster)</t>
  </si>
  <si>
    <t xml:space="preserve">Aspiration ( substitution of [k]with [kʰ]) , </t>
  </si>
  <si>
    <t xml:space="preserve">Aspiration ( substitution of [t]with [tʰ]) </t>
  </si>
  <si>
    <t>depharyngealization and aspiration (substitution of [tˤ] with [tʰ]),</t>
  </si>
  <si>
    <t>Devoicing(substitution of [d͡ʒ] with [t͡ʃ])</t>
  </si>
  <si>
    <t>degemination(reduce consonant cluster to one single consonant)</t>
  </si>
  <si>
    <t>substitution of [ħ]with [χ]</t>
  </si>
  <si>
    <t>substitution of [h]with [χ]</t>
  </si>
  <si>
    <t>substitution of [ħ]with [h]</t>
  </si>
  <si>
    <t>substitution of [h]with [ħ]</t>
  </si>
  <si>
    <t>devoicing(substitution of [d]with [t])</t>
  </si>
  <si>
    <t>devoicing(substitution of [ɣ]with [χ])</t>
  </si>
  <si>
    <t>substitution of [j]with [ʒ]</t>
  </si>
  <si>
    <t>devoicing(substitution of [b]with [p]), Aspiration ( substitution of [p]with [pʰ]) ,</t>
  </si>
  <si>
    <t>syllable structure process (consonant deletion of  [ʔ] phone)</t>
  </si>
  <si>
    <t>substitution of [d]with [n]</t>
  </si>
  <si>
    <t>substitution of [m]with [n]</t>
  </si>
  <si>
    <t>final consonant deletion</t>
  </si>
  <si>
    <t>Definite Article deletion</t>
  </si>
  <si>
    <t>insertion of  Definite Article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</si>
  <si>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</si>
  <si>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</si>
  <si>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</si>
  <si>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colloquial Arabic word</t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</si>
  <si>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</si>
  <si>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</si>
  <si>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</si>
  <si>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</si>
  <si>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</si>
  <si>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</si>
  <si>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</si>
  <si>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</si>
  <si>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</si>
  <si>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</si>
  <si>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</si>
  <si>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</si>
  <si>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</si>
  <si>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</si>
  <si>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</si>
  <si>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</si>
  <si>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</si>
  <si>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</si>
  <si>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</si>
  <si>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</si>
  <si>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</si>
  <si>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</si>
  <si>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</si>
  <si>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</si>
  <si>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</si>
  <si>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</si>
  <si>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</si>
  <si>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</si>
  <si>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</si>
  <si>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</si>
  <si>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</si>
  <si>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</si>
  <si>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</si>
  <si>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</si>
  <si>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</si>
  <si>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</si>
  <si>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</si>
  <si>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</si>
  <si>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</si>
  <si>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</si>
  <si>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</si>
  <si>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</si>
  <si>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</si>
  <si>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</si>
  <si>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</si>
  <si>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</si>
  <si>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</si>
  <si>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</si>
  <si>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</si>
  <si>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</si>
  <si>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</si>
  <si>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</si>
  <si>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</si>
  <si>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</si>
  <si>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</si>
  <si>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</si>
  <si>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</si>
  <si>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[χ] with [h]</t>
  </si>
  <si>
    <t xml:space="preserve">devoicing(substitution of [d]with [d̥])  </t>
  </si>
  <si>
    <t>devoicing(substitution of [g]with [k])</t>
  </si>
  <si>
    <t>devoicing(substitution of [dˤ]with [tˤ])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</si>
  <si>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</si>
  <si>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</si>
  <si>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[h]  phone to become  similar to the nearby  phone[h])</t>
  </si>
  <si>
    <t>assimilation (the  [n] phone changes to  [l]  phone to become  similar to the nearby  phone[l])</t>
  </si>
  <si>
    <t>Vowelization(substitution of [w] with [u:]),</t>
  </si>
  <si>
    <t>gliding(substitution of [ʔ] with [w])</t>
  </si>
  <si>
    <t>[l]</t>
  </si>
  <si>
    <t>[ɻ]</t>
  </si>
  <si>
    <t>[kʰ]</t>
  </si>
  <si>
    <t>[k]</t>
  </si>
  <si>
    <t>[d͡ʒ̥]</t>
  </si>
  <si>
    <t>[t͡ʃ]</t>
  </si>
  <si>
    <t>[g]</t>
  </si>
  <si>
    <t>[h]</t>
  </si>
  <si>
    <t>[χ]</t>
  </si>
  <si>
    <t>[ʔ]</t>
  </si>
  <si>
    <t>[ħ]</t>
  </si>
  <si>
    <t>[w]</t>
  </si>
  <si>
    <t>[n]</t>
  </si>
  <si>
    <t>[pʰ]</t>
  </si>
  <si>
    <t>[tʰ]</t>
  </si>
  <si>
    <t>[t]</t>
  </si>
  <si>
    <t>[d̥]</t>
  </si>
  <si>
    <t>[tˤ]</t>
  </si>
  <si>
    <t>[u:]</t>
  </si>
  <si>
    <t>[ʒ]</t>
  </si>
  <si>
    <t>percentage</t>
  </si>
  <si>
    <t>gemination</t>
  </si>
  <si>
    <t>r TOTAL</t>
  </si>
  <si>
    <t>l TOTAL</t>
  </si>
  <si>
    <t>k TOTAL</t>
  </si>
  <si>
    <t>d͡ʒ TOTAL</t>
  </si>
  <si>
    <t>χ TOTAL</t>
  </si>
  <si>
    <t>q TOTAL</t>
  </si>
  <si>
    <t>ʕ TOTAL</t>
  </si>
  <si>
    <t>ħ TOTAL</t>
  </si>
  <si>
    <t>h TOTAL</t>
  </si>
  <si>
    <t>ʔTOTAL</t>
  </si>
  <si>
    <t>n TOTAL</t>
  </si>
  <si>
    <t>b TOTAL</t>
  </si>
  <si>
    <t>tˤTOTAL</t>
  </si>
  <si>
    <t>t  TOTAL</t>
  </si>
  <si>
    <t>d TOTAL</t>
  </si>
  <si>
    <t>dˤTOTAL</t>
  </si>
  <si>
    <t>w TOTAL</t>
  </si>
  <si>
    <t>j TOTAL</t>
  </si>
  <si>
    <t>letter</t>
  </si>
  <si>
    <t>arabic letter</t>
  </si>
  <si>
    <t>phonological_processes</t>
  </si>
  <si>
    <t>number</t>
  </si>
  <si>
    <t>percetage</t>
  </si>
  <si>
    <t>total</t>
  </si>
  <si>
    <t xml:space="preserve">allophone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</si>
</sst>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0" fillId="2" borderId="1" xfId="1" applyFont="1" applyBorder="1" applyAlignment="1">
      <alignment vertical="center" wrapText="1"/>
    </xf>
    <xf numFmtId="0" fontId="10" fillId="4" borderId="1" xfId="3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0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0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8" borderId="1" xfId="7" applyFont="1" applyBorder="1" applyAlignment="1">
      <alignment vertical="center" wrapText="1"/>
    </xf>
    <xf numFmtId="0" fontId="1" fillId="8" borderId="1" xfId="7" applyBorder="1" applyAlignment="1">
      <alignment vertical="center"/>
    </xf>
    <xf numFmtId="0" fontId="1" fillId="8" borderId="1" xfId="7" applyBorder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9" applyNumberFormat="1" applyFont="1"/>
    <xf numFmtId="10" fontId="4" fillId="4" borderId="1" xfId="9" applyNumberFormat="1" applyFont="1" applyFill="1" applyBorder="1" applyAlignment="1">
      <alignment vertical="center"/>
    </xf>
    <xf numFmtId="10" fontId="3" fillId="3" borderId="1" xfId="9" applyNumberFormat="1" applyFont="1" applyFill="1" applyBorder="1" applyAlignment="1">
      <alignment vertical="center"/>
    </xf>
    <xf numFmtId="10" fontId="2" fillId="2" borderId="1" xfId="9" applyNumberFormat="1" applyFont="1" applyFill="1" applyBorder="1"/>
    <xf numFmtId="10" fontId="1" fillId="9" borderId="1" xfId="9" applyNumberFormat="1" applyFill="1" applyBorder="1"/>
    <xf numFmtId="10" fontId="3" fillId="3" borderId="1" xfId="9" applyNumberFormat="1" applyFont="1" applyFill="1" applyBorder="1"/>
    <xf numFmtId="10" fontId="2" fillId="2" borderId="1" xfId="9" applyNumberFormat="1" applyFont="1" applyFill="1" applyBorder="1" applyAlignment="1">
      <alignment vertical="center"/>
    </xf>
    <xf numFmtId="10" fontId="1" fillId="9" borderId="1" xfId="9" applyNumberFormat="1" applyFill="1" applyBorder="1" applyAlignment="1">
      <alignment vertical="center"/>
    </xf>
    <xf numFmtId="10" fontId="1" fillId="7" borderId="1" xfId="9" applyNumberFormat="1" applyFill="1" applyBorder="1" applyAlignment="1">
      <alignment vertical="center"/>
    </xf>
    <xf numFmtId="10" fontId="1" fillId="5" borderId="1" xfId="9" applyNumberFormat="1" applyFill="1" applyBorder="1" applyAlignment="1">
      <alignment vertical="center"/>
    </xf>
    <xf numFmtId="10" fontId="1" fillId="6" borderId="1" xfId="9" applyNumberFormat="1" applyFill="1" applyBorder="1" applyAlignment="1">
      <alignment vertical="center"/>
    </xf>
    <xf numFmtId="10" fontId="1" fillId="8" borderId="1" xfId="9" applyNumberFormat="1" applyFill="1" applyBorder="1" applyAlignment="1">
      <alignment vertical="center"/>
    </xf>
    <xf numFmtId="0" fontId="0" fillId="6" borderId="1" xfId="5" applyFont="1" applyBorder="1" applyAlignment="1">
      <alignment horizontal="center" vertical="center"/>
    </xf>
    <xf numFmtId="10" fontId="0" fillId="0" borderId="1" xfId="9" applyNumberFormat="1" applyFont="1" applyBorder="1"/>
    <xf numFmtId="0" fontId="2" fillId="2" borderId="1" xfId="1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0" fillId="8" borderId="1" xfId="7" applyFont="1" applyBorder="1" applyAlignment="1">
      <alignment horizontal="center" vertical="center"/>
    </xf>
    <xf numFmtId="0" fontId="0" fillId="7" borderId="1" xfId="6" applyFont="1" applyBorder="1" applyAlignment="1">
      <alignment horizontal="center" vertical="center"/>
    </xf>
    <xf numFmtId="0" fontId="3" fillId="3" borderId="3" xfId="2" applyBorder="1"/>
    <xf numFmtId="0" fontId="3" fillId="3" borderId="4" xfId="2" applyBorder="1" applyAlignment="1">
      <alignment horizontal="center" vertical="center"/>
    </xf>
    <xf numFmtId="0" fontId="3" fillId="3" borderId="3" xfId="2" applyBorder="1" applyAlignment="1">
      <alignment wrapText="1"/>
    </xf>
    <xf numFmtId="0" fontId="3" fillId="3" borderId="2" xfId="2" applyBorder="1"/>
    <xf numFmtId="0" fontId="2" fillId="2" borderId="1" xfId="1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10" fontId="12" fillId="0" borderId="1" xfId="9" applyNumberFormat="1" applyFont="1" applyBorder="1"/>
    <xf numFmtId="0" fontId="12" fillId="0" borderId="0" xfId="0" applyFont="1"/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A-47BA-B32B-852A393EA3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Sheet1!$H$2</c:f>
              <c:numCache>
                <c:formatCode>0.00%</c:formatCode>
                <c:ptCount val="1"/>
                <c:pt idx="0">
                  <c:v>0.88888888888888884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A-47BA-B32B-852A393EA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321215"/>
        <c:axId val="1772316223"/>
      </c:barChart>
      <c:catAx>
        <c:axId val="177232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16223"/>
        <c:crosses val="autoZero"/>
        <c:auto val="1"/>
        <c:lblAlgn val="ctr"/>
        <c:lblOffset val="100"/>
        <c:noMultiLvlLbl val="0"/>
      </c:catAx>
      <c:valAx>
        <c:axId val="17723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21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Sheet1!$E$4:$F$4</c:f>
              <c:strCache>
                <c:ptCount val="2"/>
                <c:pt idx="0">
                  <c:v>substitution of [l] with [ɻ]</c:v>
                </c:pt>
                <c:pt idx="1">
                  <c:v>[ɻ]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0-46B2-B5F8-F50D3AF097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Sheet1!$E$4:$F$4</c:f>
              <c:strCache>
                <c:ptCount val="2"/>
                <c:pt idx="0">
                  <c:v>substitution of [l] with [ɻ]</c:v>
                </c:pt>
                <c:pt idx="1">
                  <c:v>[ɻ]</c:v>
                </c:pt>
              </c:strCache>
            </c:strRef>
          </c:cat>
          <c:val>
            <c:numRef>
              <c:f>Sheet1!$H$4</c:f>
              <c:numCache>
                <c:formatCode>0.00%</c:formatCode>
                <c:ptCount val="1"/>
                <c:pt idx="0">
                  <c:v>1.1764705882352941E-2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0-46B2-B5F8-F50D3AF09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57327"/>
        <c:axId val="1644260239"/>
      </c:barChart>
      <c:catAx>
        <c:axId val="164425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60239"/>
        <c:crosses val="autoZero"/>
        <c:auto val="1"/>
        <c:lblAlgn val="ctr"/>
        <c:lblOffset val="100"/>
        <c:noMultiLvlLbl val="0"/>
      </c:catAx>
      <c:valAx>
        <c:axId val="16442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57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Sheet1!$G$12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5-44E6-B241-5760264EA68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Sheet1!$H$12</c:f>
              <c:numCache>
                <c:formatCode>0.00%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5-44E6-B241-5760264EA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35455"/>
        <c:axId val="1770137535"/>
      </c:barChart>
      <c:catAx>
        <c:axId val="177013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7535"/>
        <c:crosses val="autoZero"/>
        <c:auto val="1"/>
        <c:lblAlgn val="ctr"/>
        <c:lblOffset val="100"/>
        <c:noMultiLvlLbl val="0"/>
      </c:catAx>
      <c:valAx>
        <c:axId val="17701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5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Sheet1!$F$14:$F$16</c:f>
              <c:strCache>
                <c:ptCount val="3"/>
                <c:pt idx="0">
                  <c:v>[d͡ʒ̥]</c:v>
                </c:pt>
                <c:pt idx="1">
                  <c:v>[t͡ʃ]</c:v>
                </c:pt>
                <c:pt idx="2">
                  <c:v>[k]</c:v>
                </c:pt>
              </c:strCache>
            </c:strRef>
          </c:cat>
          <c:val>
            <c:numRef>
              <c:f>Sheet1!$G$14:$G$16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3-4A44-8CB9-F6326503F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849103"/>
        <c:axId val="164485159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Sheet1!$F$14:$F$16</c:f>
              <c:strCache>
                <c:ptCount val="3"/>
                <c:pt idx="0">
                  <c:v>[d͡ʒ̥]</c:v>
                </c:pt>
                <c:pt idx="1">
                  <c:v>[t͡ʃ]</c:v>
                </c:pt>
                <c:pt idx="2">
                  <c:v>[k]</c:v>
                </c:pt>
              </c:strCache>
            </c:strRef>
          </c:cat>
          <c:val>
            <c:numRef>
              <c:f>Sheet1!$H$14:$H$16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3-4A44-8CB9-F6326503F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849103"/>
        <c:axId val="1644851599"/>
      </c:lineChart>
      <c:catAx>
        <c:axId val="164484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51599"/>
        <c:crosses val="autoZero"/>
        <c:auto val="1"/>
        <c:lblAlgn val="ctr"/>
        <c:lblOffset val="100"/>
        <c:noMultiLvlLbl val="0"/>
      </c:catAx>
      <c:valAx>
        <c:axId val="16448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49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Sheet1!$F$18:$F$19</c:f>
              <c:strCache>
                <c:ptCount val="2"/>
                <c:pt idx="0">
                  <c:v>[k]</c:v>
                </c:pt>
                <c:pt idx="1">
                  <c:v>[g]</c:v>
                </c:pt>
              </c:strCache>
            </c:strRef>
          </c:cat>
          <c:val>
            <c:numRef>
              <c:f>Sheet1!$G$18:$G$19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4-4111-B4DD-433A8CA7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38783"/>
        <c:axId val="17701429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Sheet1!$F$18:$F$19</c:f>
              <c:strCache>
                <c:ptCount val="2"/>
                <c:pt idx="0">
                  <c:v>[k]</c:v>
                </c:pt>
                <c:pt idx="1">
                  <c:v>[g]</c:v>
                </c:pt>
              </c:strCache>
            </c:strRef>
          </c:cat>
          <c:val>
            <c:numRef>
              <c:f>Sheet1!$H$18:$H$19</c:f>
              <c:numCache>
                <c:formatCode>0.00%</c:formatCode>
                <c:ptCount val="2"/>
                <c:pt idx="0">
                  <c:v>0.22222222222222221</c:v>
                </c:pt>
                <c:pt idx="1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4-4111-B4DD-433A8CA7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138783"/>
        <c:axId val="1770142943"/>
      </c:lineChart>
      <c:catAx>
        <c:axId val="17701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42943"/>
        <c:crosses val="autoZero"/>
        <c:auto val="1"/>
        <c:lblAlgn val="ctr"/>
        <c:lblOffset val="100"/>
        <c:noMultiLvlLbl val="0"/>
      </c:catAx>
      <c:valAx>
        <c:axId val="17701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8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Sheet1!$G$22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4-474F-8596-1B7FA15ECB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Sheet1!$H$22</c:f>
              <c:numCache>
                <c:formatCode>0.00%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4-474F-8596-1B7FA15E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492815"/>
        <c:axId val="1638493231"/>
      </c:barChart>
      <c:catAx>
        <c:axId val="163849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3231"/>
        <c:crosses val="autoZero"/>
        <c:auto val="1"/>
        <c:lblAlgn val="ctr"/>
        <c:lblOffset val="100"/>
        <c:noMultiLvlLbl val="0"/>
      </c:catAx>
      <c:valAx>
        <c:axId val="16384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2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Sheet1!$F$25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Sheet1!$G$25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BF6-B527-8AAAFD4F6A4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Sheet1!$F$25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Sheet1!$H$25</c:f>
              <c:numCache>
                <c:formatCode>0.00%</c:formatCode>
                <c:ptCount val="1"/>
                <c:pt idx="0">
                  <c:v>0.73913043478260865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BF6-B527-8AAAFD4F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496559"/>
        <c:axId val="1638495311"/>
      </c:barChart>
      <c:catAx>
        <c:axId val="16384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5311"/>
        <c:crosses val="autoZero"/>
        <c:auto val="1"/>
        <c:lblAlgn val="ctr"/>
        <c:lblOffset val="100"/>
        <c:noMultiLvlLbl val="0"/>
      </c:catAx>
      <c:valAx>
        <c:axId val="163849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6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[ħ]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Sheet1!$F$27:$F$28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Sheet1!$G$27:$G$28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F-4AF1-AC52-2E06101E7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317471"/>
        <c:axId val="177231913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Sheet1!$F$27:$F$28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Sheet1!$H$27:$H$28</c:f>
              <c:numCache>
                <c:formatCode>0.00%</c:formatCode>
                <c:ptCount val="2"/>
                <c:pt idx="0">
                  <c:v>0.5625</c:v>
                </c:pt>
                <c:pt idx="1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F-4AF1-AC52-2E06101E7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850767"/>
        <c:axId val="1772320383"/>
      </c:lineChart>
      <c:catAx>
        <c:axId val="17723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19135"/>
        <c:crosses val="autoZero"/>
        <c:auto val="1"/>
        <c:lblAlgn val="ctr"/>
        <c:lblOffset val="100"/>
        <c:noMultiLvlLbl val="0"/>
      </c:catAx>
      <c:valAx>
        <c:axId val="17723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17471"/>
        <c:crosses val="autoZero"/>
        <c:crossBetween val="between"/>
      </c:valAx>
      <c:valAx>
        <c:axId val="17723203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50767"/>
        <c:crosses val="max"/>
        <c:crossBetween val="between"/>
      </c:valAx>
      <c:catAx>
        <c:axId val="1644850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23203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Sheet1!$F$30:$F$31</c:f>
              <c:strCache>
                <c:ptCount val="2"/>
                <c:pt idx="0">
                  <c:v>[χ]</c:v>
                </c:pt>
                <c:pt idx="1">
                  <c:v>[ħ]</c:v>
                </c:pt>
              </c:strCache>
            </c:strRef>
          </c:cat>
          <c:val>
            <c:numRef>
              <c:f>Sheet1!$G$30:$G$31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C-447A-B21B-C1A3EF4E3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37119"/>
        <c:axId val="17701416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Sheet1!$F$30:$F$31</c:f>
              <c:strCache>
                <c:ptCount val="2"/>
                <c:pt idx="0">
                  <c:v>[χ]</c:v>
                </c:pt>
                <c:pt idx="1">
                  <c:v>[ħ]</c:v>
                </c:pt>
              </c:strCache>
            </c:strRef>
          </c:cat>
          <c:val>
            <c:numRef>
              <c:f>Sheet1!$H$30:$H$31</c:f>
              <c:numCache>
                <c:formatCode>0.00%</c:formatCode>
                <c:ptCount val="2"/>
                <c:pt idx="0">
                  <c:v>0.14285714285714285</c:v>
                </c:pt>
                <c:pt idx="1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DC-447A-B21B-C1A3EF4E3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319967"/>
        <c:axId val="1772318303"/>
      </c:lineChart>
      <c:catAx>
        <c:axId val="17701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41695"/>
        <c:crosses val="autoZero"/>
        <c:auto val="1"/>
        <c:lblAlgn val="ctr"/>
        <c:lblOffset val="100"/>
        <c:noMultiLvlLbl val="0"/>
      </c:catAx>
      <c:valAx>
        <c:axId val="177014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7119"/>
        <c:crosses val="autoZero"/>
        <c:crossBetween val="between"/>
      </c:valAx>
      <c:valAx>
        <c:axId val="17723183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19967"/>
        <c:crosses val="max"/>
        <c:crossBetween val="between"/>
      </c:valAx>
      <c:catAx>
        <c:axId val="1772319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23183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[w]</c:v>
                </c:pt>
              </c:strCache>
            </c:strRef>
          </c:cat>
          <c:val>
            <c:numRef>
              <c:f>Sheet1!$G$33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7-471D-B9A2-235495C68B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[w]</c:v>
                </c:pt>
              </c:strCache>
            </c:strRef>
          </c:cat>
          <c:val>
            <c:numRef>
              <c:f>Sheet1!$H$33</c:f>
              <c:numCache>
                <c:formatCode>0.00%</c:formatCode>
                <c:ptCount val="1"/>
                <c:pt idx="0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7-471D-B9A2-235495C68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114303"/>
        <c:axId val="1634113055"/>
      </c:barChart>
      <c:catAx>
        <c:axId val="163411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13055"/>
        <c:crosses val="autoZero"/>
        <c:auto val="1"/>
        <c:lblAlgn val="ctr"/>
        <c:lblOffset val="100"/>
        <c:noMultiLvlLbl val="0"/>
      </c:catAx>
      <c:valAx>
        <c:axId val="16341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14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Sheet1!$G$36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1-48B7-9E82-0909320B29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Sheet1!$H$36</c:f>
              <c:numCache>
                <c:formatCode>0.00%</c:formatCode>
                <c:ptCount val="1"/>
                <c:pt idx="0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1-48B7-9E82-0909320B2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112639"/>
        <c:axId val="1634115967"/>
      </c:barChart>
      <c:catAx>
        <c:axId val="16341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15967"/>
        <c:crosses val="autoZero"/>
        <c:auto val="1"/>
        <c:lblAlgn val="ctr"/>
        <c:lblOffset val="100"/>
        <c:noMultiLvlLbl val="0"/>
      </c:catAx>
      <c:valAx>
        <c:axId val="16341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12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Sheet1!$G$39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8-4E10-9847-97DAA3B17F2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Sheet1!$F$39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Sheet1!$H$39</c:f>
              <c:numCache>
                <c:formatCode>0.00%</c:formatCode>
                <c:ptCount val="1"/>
                <c:pt idx="0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8-4E10-9847-97DAA3B1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58159"/>
        <c:axId val="1644259407"/>
      </c:barChart>
      <c:catAx>
        <c:axId val="16442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59407"/>
        <c:crosses val="autoZero"/>
        <c:auto val="1"/>
        <c:lblAlgn val="ctr"/>
        <c:lblOffset val="100"/>
        <c:noMultiLvlLbl val="0"/>
      </c:catAx>
      <c:valAx>
        <c:axId val="16442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58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>
        <c:manualLayout>
          <c:xMode val="edge"/>
          <c:yMode val="edge"/>
          <c:x val="0.39838188976377953"/>
          <c:y val="4.1884834021038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Sheet1!$F$41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Sheet1!$G$41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E-4B26-B446-03A68687422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Sheet1!$F$41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Sheet1!$H$41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E-4B26-B446-03A686874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57743"/>
        <c:axId val="1644259823"/>
      </c:barChart>
      <c:catAx>
        <c:axId val="164425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59823"/>
        <c:crosses val="autoZero"/>
        <c:auto val="1"/>
        <c:lblAlgn val="ctr"/>
        <c:lblOffset val="100"/>
        <c:noMultiLvlLbl val="0"/>
      </c:catAx>
      <c:valAx>
        <c:axId val="16442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257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Sheet1!$F$43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Sheet1!$G$43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3-497F-A7A4-8BC64932F8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Sheet1!$F$43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Sheet1!$H$43</c:f>
              <c:numCache>
                <c:formatCode>0.00%</c:formatCode>
                <c:ptCount val="1"/>
                <c:pt idx="0">
                  <c:v>0.51851851851851849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3-497F-A7A4-8BC64932F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36703"/>
        <c:axId val="1770137951"/>
      </c:barChart>
      <c:catAx>
        <c:axId val="177013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7951"/>
        <c:crosses val="autoZero"/>
        <c:auto val="1"/>
        <c:lblAlgn val="ctr"/>
        <c:lblOffset val="100"/>
        <c:noMultiLvlLbl val="0"/>
      </c:catAx>
      <c:valAx>
        <c:axId val="17701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6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Sheet1!$F$45:$F$48</c:f>
              <c:strCache>
                <c:ptCount val="4"/>
                <c:pt idx="0">
                  <c:v>[d̥]</c:v>
                </c:pt>
                <c:pt idx="1">
                  <c:v>[t]</c:v>
                </c:pt>
                <c:pt idx="2">
                  <c:v>[n]</c:v>
                </c:pt>
                <c:pt idx="3">
                  <c:v>[h]</c:v>
                </c:pt>
              </c:strCache>
            </c:strRef>
          </c:cat>
          <c:val>
            <c:numRef>
              <c:f>Sheet1!$G$45:$G$48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1-46EC-B9E0-A32CB060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494063"/>
        <c:axId val="163848990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Sheet1!$F$45:$F$48</c:f>
              <c:strCache>
                <c:ptCount val="4"/>
                <c:pt idx="0">
                  <c:v>[d̥]</c:v>
                </c:pt>
                <c:pt idx="1">
                  <c:v>[t]</c:v>
                </c:pt>
                <c:pt idx="2">
                  <c:v>[n]</c:v>
                </c:pt>
                <c:pt idx="3">
                  <c:v>[h]</c:v>
                </c:pt>
              </c:strCache>
            </c:strRef>
          </c:cat>
          <c:val>
            <c:numRef>
              <c:f>Sheet1!$H$45:$H$48</c:f>
              <c:numCache>
                <c:formatCode>0.00%</c:formatCode>
                <c:ptCount val="4"/>
                <c:pt idx="0">
                  <c:v>0.25</c:v>
                </c:pt>
                <c:pt idx="1">
                  <c:v>8.3333333333333329E-2</c:v>
                </c:pt>
                <c:pt idx="2">
                  <c:v>4.1666666666666664E-2</c:v>
                </c:pt>
                <c:pt idx="3">
                  <c:v>4.1666666666666664E-2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1-46EC-B9E0-A32CB060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501135"/>
        <c:axId val="1638497807"/>
      </c:lineChart>
      <c:catAx>
        <c:axId val="163849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89903"/>
        <c:crosses val="autoZero"/>
        <c:auto val="1"/>
        <c:lblAlgn val="ctr"/>
        <c:lblOffset val="100"/>
        <c:noMultiLvlLbl val="0"/>
      </c:catAx>
      <c:valAx>
        <c:axId val="16384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4063"/>
        <c:crosses val="autoZero"/>
        <c:crossBetween val="between"/>
      </c:valAx>
      <c:valAx>
        <c:axId val="16384978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01135"/>
        <c:crosses val="max"/>
        <c:crossBetween val="between"/>
      </c:valAx>
      <c:catAx>
        <c:axId val="1638501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849780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Sheet1!$F$50</c:f>
              <c:strCache>
                <c:ptCount val="1"/>
                <c:pt idx="0">
                  <c:v>[tˤ]</c:v>
                </c:pt>
              </c:strCache>
            </c:strRef>
          </c:cat>
          <c:val>
            <c:numRef>
              <c:f>Sheet1!$G$50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2-471F-8885-62EF546CDFA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Sheet1!$F$50</c:f>
              <c:strCache>
                <c:ptCount val="1"/>
                <c:pt idx="0">
                  <c:v>[tˤ]</c:v>
                </c:pt>
              </c:strCache>
            </c:strRef>
          </c:cat>
          <c:val>
            <c:numRef>
              <c:f>Sheet1!$H$50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2-471F-8885-62EF546CD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650319"/>
        <c:axId val="1803655727"/>
      </c:barChart>
      <c:catAx>
        <c:axId val="180365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55727"/>
        <c:crosses val="autoZero"/>
        <c:auto val="1"/>
        <c:lblAlgn val="ctr"/>
        <c:lblOffset val="100"/>
        <c:noMultiLvlLbl val="0"/>
      </c:catAx>
      <c:valAx>
        <c:axId val="18036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50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Sheet1!$G$52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8-46DF-9D07-E725EFF919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Sheet1!$H$52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8-46DF-9D07-E725EFF9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40031"/>
        <c:axId val="1770140447"/>
      </c:barChart>
      <c:catAx>
        <c:axId val="177014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40447"/>
        <c:crosses val="autoZero"/>
        <c:auto val="1"/>
        <c:lblAlgn val="ctr"/>
        <c:lblOffset val="100"/>
        <c:noMultiLvlLbl val="0"/>
      </c:catAx>
      <c:valAx>
        <c:axId val="177014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40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layout>
        <c:manualLayout>
          <c:xMode val="edge"/>
          <c:yMode val="edge"/>
          <c:x val="0.41227077865266848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[ʒ]</c:v>
                </c:pt>
              </c:strCache>
            </c:strRef>
          </c:cat>
          <c:val>
            <c:numRef>
              <c:f>Sheet1!$G$54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4-4A49-9DBA-CCFEB23885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[ʒ]</c:v>
                </c:pt>
              </c:strCache>
            </c:strRef>
          </c:cat>
          <c:val>
            <c:numRef>
              <c:f>Sheet1!$H$54</c:f>
              <c:numCache>
                <c:formatCode>0.00%</c:formatCode>
                <c:ptCount val="1"/>
                <c:pt idx="0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4-4A49-9DBA-CCFEB2388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337727"/>
        <c:axId val="1512334399"/>
      </c:barChart>
      <c:catAx>
        <c:axId val="151233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34399"/>
        <c:crosses val="autoZero"/>
        <c:auto val="1"/>
        <c:lblAlgn val="ctr"/>
        <c:lblOffset val="100"/>
        <c:noMultiLvlLbl val="0"/>
      </c:catAx>
      <c:valAx>
        <c:axId val="15123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37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</a:t>
            </a:r>
            <a:r>
              <a:rPr lang="en-US" baseline="0"/>
              <a:t> processes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Sheet2!$C$2:$C$7</c:f>
              <c:strCache>
                <c:ptCount val="6"/>
                <c:pt idx="0">
                  <c:v>degemination(reduce consonant cluster to one single consonant)</c:v>
                </c:pt>
                <c:pt idx="1">
                  <c:v>Epenthesis(insertion of [ æ] phone between consonant cluster)</c:v>
                </c:pt>
                <c:pt idx="2">
                  <c:v>syllable structure process (consonant deletion of  [ʔ] phone)</c:v>
                </c:pt>
                <c:pt idx="3">
                  <c:v>final consonant deletion</c:v>
                </c:pt>
                <c:pt idx="4">
                  <c:v>gemination</c:v>
                </c:pt>
                <c:pt idx="5">
                  <c:v>Vowel  nasalization</c:v>
                </c:pt>
              </c:strCache>
            </c:strRef>
          </c:cat>
          <c:val>
            <c:numRef>
              <c:f>Sheet2!$D$2:$D$7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B-41E1-967A-36D2D9D3C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850351"/>
        <c:axId val="16341138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Sheet2!$C$2:$C$7</c:f>
              <c:strCache>
                <c:ptCount val="6"/>
                <c:pt idx="0">
                  <c:v>degemination(reduce consonant cluster to one single consonant)</c:v>
                </c:pt>
                <c:pt idx="1">
                  <c:v>Epenthesis(insertion of [ æ] phone between consonant cluster)</c:v>
                </c:pt>
                <c:pt idx="2">
                  <c:v>syllable structure process (consonant deletion of  [ʔ] phone)</c:v>
                </c:pt>
                <c:pt idx="3">
                  <c:v>final consonant deletion</c:v>
                </c:pt>
                <c:pt idx="4">
                  <c:v>gemination</c:v>
                </c:pt>
                <c:pt idx="5">
                  <c:v>Vowel  nasalization</c:v>
                </c:pt>
              </c:strCache>
            </c:strRef>
          </c:cat>
          <c:val>
            <c:numRef>
              <c:f>Sheet2!$E$2:$E$7</c:f>
              <c:numCache>
                <c:formatCode>0.00%</c:formatCode>
                <c:ptCount val="6"/>
                <c:pt idx="0">
                  <c:v>0.26923076923076922</c:v>
                </c:pt>
                <c:pt idx="1">
                  <c:v>0.13636363636363635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1B-41E1-967A-36D2D9D3C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112223"/>
        <c:axId val="1634111807"/>
      </c:lineChart>
      <c:catAx>
        <c:axId val="16448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13887"/>
        <c:crosses val="autoZero"/>
        <c:auto val="1"/>
        <c:lblAlgn val="ctr"/>
        <c:lblOffset val="100"/>
        <c:noMultiLvlLbl val="0"/>
      </c:catAx>
      <c:valAx>
        <c:axId val="163411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50351"/>
        <c:crosses val="autoZero"/>
        <c:crossBetween val="between"/>
      </c:valAx>
      <c:valAx>
        <c:axId val="1634111807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634112223"/>
        <c:crosses val="max"/>
        <c:crossBetween val="between"/>
      </c:valAx>
      <c:catAx>
        <c:axId val="1634112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411180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Sheet3!$B$1:$B$8</c:f>
              <c:strCache>
                <c:ptCount val="7"/>
                <c:pt idx="0">
                  <c:v>Definite Article deletion</c:v>
                </c:pt>
                <c:pt idx="1">
                  <c:v>replace the Modern Standard Arabic consonant [ð]with the colloquial arabic consonant [z]</c:v>
                </c:pt>
                <c:pt idx="2">
                  <c:v>colloquial Arabic word</c:v>
                </c:pt>
                <c:pt idx="3">
                  <c:v>insertion of  Definite Article</c:v>
                </c:pt>
                <c:pt idx="4">
                  <c:v>replace the Modern Standard Arabic consonant [θ]with the colloquial arabic consonant [s]</c:v>
                </c:pt>
                <c:pt idx="5">
                  <c:v>replace the Modern Standard Arabic consonant [ðˤ]with the colloquial arabic consonant [zˤ]</c:v>
                </c:pt>
                <c:pt idx="6">
                  <c:v>replace masculine  with feminine</c:v>
                </c:pt>
              </c:strCache>
            </c:strRef>
          </c:cat>
          <c:val>
            <c:numRef>
              <c:f>Sheet3!$C$1:$C$8</c:f>
              <c:numCache>
                <c:formatCode>General</c:formatCode>
                <c:ptCount val="8"/>
                <c:pt idx="0">
                  <c:v>11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E-4CB4-8A38-F9D4909DB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492399"/>
        <c:axId val="1638494895"/>
      </c:barChart>
      <c:catAx>
        <c:axId val="163849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4895"/>
        <c:crosses val="autoZero"/>
        <c:auto val="1"/>
        <c:lblAlgn val="ctr"/>
        <c:lblOffset val="100"/>
        <c:noMultiLvlLbl val="0"/>
      </c:catAx>
      <c:valAx>
        <c:axId val="163849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92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33866</xdr:colOff>
      <xdr:row>0</xdr:row>
      <xdr:rowOff>736599</xdr:rowOff>
    </xdr:from>
    <xdr:to>
      <xdr:col>15</xdr:col>
      <xdr:colOff>338666</xdr:colOff>
      <xdr:row>1</xdr:row>
      <xdr:rowOff>2599266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21167</xdr:colOff>
      <xdr:row>3</xdr:row>
      <xdr:rowOff>63499</xdr:rowOff>
    </xdr:from>
    <xdr:to>
      <xdr:col>15</xdr:col>
      <xdr:colOff>325967</xdr:colOff>
      <xdr:row>3</xdr:row>
      <xdr:rowOff>2506132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563034</xdr:colOff>
      <xdr:row>10</xdr:row>
      <xdr:rowOff>131234</xdr:rowOff>
    </xdr:from>
    <xdr:to>
      <xdr:col>15</xdr:col>
      <xdr:colOff>292100</xdr:colOff>
      <xdr:row>11</xdr:row>
      <xdr:rowOff>2159000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13</xdr:row>
      <xdr:rowOff>4233</xdr:rowOff>
    </xdr:from>
    <xdr:to>
      <xdr:col>15</xdr:col>
      <xdr:colOff>317500</xdr:colOff>
      <xdr:row>15</xdr:row>
      <xdr:rowOff>1638301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12700</xdr:colOff>
      <xdr:row>17</xdr:row>
      <xdr:rowOff>80432</xdr:rowOff>
    </xdr:from>
    <xdr:to>
      <xdr:col>15</xdr:col>
      <xdr:colOff>317500</xdr:colOff>
      <xdr:row>18</xdr:row>
      <xdr:rowOff>1608666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12700</xdr:colOff>
      <xdr:row>20</xdr:row>
      <xdr:rowOff>173567</xdr:rowOff>
    </xdr:from>
    <xdr:to>
      <xdr:col>15</xdr:col>
      <xdr:colOff>317500</xdr:colOff>
      <xdr:row>21</xdr:row>
      <xdr:rowOff>1612900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80433</xdr:colOff>
      <xdr:row>23</xdr:row>
      <xdr:rowOff>46567</xdr:rowOff>
    </xdr:from>
    <xdr:to>
      <xdr:col>15</xdr:col>
      <xdr:colOff>385233</xdr:colOff>
      <xdr:row>24</xdr:row>
      <xdr:rowOff>2125133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21167</xdr:colOff>
      <xdr:row>26</xdr:row>
      <xdr:rowOff>88900</xdr:rowOff>
    </xdr:from>
    <xdr:to>
      <xdr:col>15</xdr:col>
      <xdr:colOff>325967</xdr:colOff>
      <xdr:row>27</xdr:row>
      <xdr:rowOff>1587500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571500</xdr:colOff>
      <xdr:row>29</xdr:row>
      <xdr:rowOff>55034</xdr:rowOff>
    </xdr:from>
    <xdr:to>
      <xdr:col>15</xdr:col>
      <xdr:colOff>300566</xdr:colOff>
      <xdr:row>30</xdr:row>
      <xdr:rowOff>1634066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4234</xdr:colOff>
      <xdr:row>32</xdr:row>
      <xdr:rowOff>4235</xdr:rowOff>
    </xdr:from>
    <xdr:to>
      <xdr:col>15</xdr:col>
      <xdr:colOff>309034</xdr:colOff>
      <xdr:row>32</xdr:row>
      <xdr:rowOff>1600201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38100</xdr:colOff>
      <xdr:row>34</xdr:row>
      <xdr:rowOff>317501</xdr:rowOff>
    </xdr:from>
    <xdr:to>
      <xdr:col>15</xdr:col>
      <xdr:colOff>342900</xdr:colOff>
      <xdr:row>35</xdr:row>
      <xdr:rowOff>2387600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21167</xdr:colOff>
      <xdr:row>37</xdr:row>
      <xdr:rowOff>258234</xdr:rowOff>
    </xdr:from>
    <xdr:to>
      <xdr:col>15</xdr:col>
      <xdr:colOff>325967</xdr:colOff>
      <xdr:row>39</xdr:row>
      <xdr:rowOff>12700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21167</xdr:colOff>
      <xdr:row>40</xdr:row>
      <xdr:rowOff>4235</xdr:rowOff>
    </xdr:from>
    <xdr:to>
      <xdr:col>15</xdr:col>
      <xdr:colOff>325967</xdr:colOff>
      <xdr:row>40</xdr:row>
      <xdr:rowOff>2374901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571501</xdr:colOff>
      <xdr:row>42</xdr:row>
      <xdr:rowOff>88901</xdr:rowOff>
    </xdr:from>
    <xdr:to>
      <xdr:col>15</xdr:col>
      <xdr:colOff>300567</xdr:colOff>
      <xdr:row>42</xdr:row>
      <xdr:rowOff>1600201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177800</xdr:colOff>
      <xdr:row>44</xdr:row>
      <xdr:rowOff>82550</xdr:rowOff>
    </xdr:from>
    <xdr:to>
      <xdr:col>15</xdr:col>
      <xdr:colOff>311150</xdr:colOff>
      <xdr:row>47</xdr:row>
      <xdr:rowOff>1625600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6350</xdr:colOff>
      <xdr:row>49</xdr:row>
      <xdr:rowOff>139700</xdr:rowOff>
    </xdr:from>
    <xdr:to>
      <xdr:col>15</xdr:col>
      <xdr:colOff>311150</xdr:colOff>
      <xdr:row>49</xdr:row>
      <xdr:rowOff>2628900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552450</xdr:colOff>
      <xdr:row>51</xdr:row>
      <xdr:rowOff>101600</xdr:rowOff>
    </xdr:from>
    <xdr:to>
      <xdr:col>15</xdr:col>
      <xdr:colOff>273050</xdr:colOff>
      <xdr:row>51</xdr:row>
      <xdr:rowOff>2374900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577850</xdr:colOff>
      <xdr:row>53</xdr:row>
      <xdr:rowOff>127000</xdr:rowOff>
    </xdr:from>
    <xdr:to>
      <xdr:col>15</xdr:col>
      <xdr:colOff>298450</xdr:colOff>
      <xdr:row>53</xdr:row>
      <xdr:rowOff>2698750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118110</xdr:colOff>
      <xdr:row>0</xdr:row>
      <xdr:rowOff>186690</xdr:rowOff>
    </xdr:from>
    <xdr:to>
      <xdr:col>13</xdr:col>
      <xdr:colOff>541020</xdr:colOff>
      <xdr:row>13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13</xdr:col>
      <xdr:colOff>548640</xdr:colOff>
      <xdr:row>11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6"/>
  <sheetViews>
    <sheetView tabSelected="1" zoomScale="60" zoomScaleNormal="60" workbookViewId="0">
      <selection activeCell="G2" sqref="G2"/>
    </sheetView>
  </sheetViews>
  <sheetFormatPr defaultRowHeight="14.4" x14ac:dyDescent="0.3"/>
  <cols>
    <col min="2" max="3" width="11.21875" customWidth="1"/>
    <col min="4" max="4" width="10.33203125" customWidth="1"/>
    <col min="5" max="5" width="36.21875" style="1" customWidth="1"/>
    <col min="6" max="7" width="6.21875" customWidth="1"/>
    <col min="8" max="8" width="8.44140625" style="50" customWidth="1"/>
  </cols>
  <sheetData>
    <row r="1" spans="2:8" s="86" customFormat="1" ht="60" customHeight="1" thickTop="1" thickBot="1" x14ac:dyDescent="0.45">
      <c r="B1" s="83" t="s">
        <v>136</v>
      </c>
      <c r="C1" s="83" t="s">
        <v>141</v>
      </c>
      <c r="D1" s="83" t="s">
        <v>137</v>
      </c>
      <c r="E1" s="84" t="s">
        <v>138</v>
      </c>
      <c r="F1" s="83" t="s">
        <v>142</v>
      </c>
      <c r="G1" s="83" t="s">
        <v>139</v>
      </c>
      <c r="H1" s="85" t="s">
        <v>140</v>
      </c>
    </row>
    <row r="2" spans="2:8" ht="206.4" customHeight="1" thickTop="1" thickBot="1" x14ac:dyDescent="0.35">
      <c r="B2" s="2" t="s">
        <v>58</v>
      </c>
      <c r="C2" s="2">
        <v>27</v>
      </c>
      <c r="D2" s="3" t="s">
        <v>56</v>
      </c>
      <c r="E2" s="4" t="s">
        <v>91</v>
      </c>
      <c r="F2" s="5" t="s">
        <v>96</v>
      </c>
      <c r="G2" s="5">
        <v>24</v>
      </c>
      <c r="H2" s="51">
        <f>G2/C2</f>
        <v>0.88888888888888884</v>
      </c>
    </row>
    <row r="3" spans="2:8" ht="42.6" customHeight="1" thickTop="1" thickBot="1" x14ac:dyDescent="0.35">
      <c r="B3" s="67" t="s">
        <v>118</v>
      </c>
      <c r="C3" s="67">
        <v>27</v>
      </c>
      <c r="D3" s="68"/>
      <c r="E3" s="4"/>
      <c r="F3" s="5"/>
      <c r="G3" s="5">
        <v>24</v>
      </c>
      <c r="H3" s="51">
        <f>G3/C3</f>
        <v>0.88888888888888884</v>
      </c>
    </row>
    <row r="4" spans="2:8" ht="199.8" customHeight="1" thickTop="1" thickBot="1" x14ac:dyDescent="0.35">
      <c r="B4" s="6" t="s">
        <v>59</v>
      </c>
      <c r="C4" s="6">
        <v>85</v>
      </c>
      <c r="D4" s="7" t="s">
        <v>57</v>
      </c>
      <c r="E4" s="8" t="s">
        <v>2</v>
      </c>
      <c r="F4" s="9" t="s">
        <v>97</v>
      </c>
      <c r="G4" s="9">
        <v>1</v>
      </c>
      <c r="H4" s="52">
        <f>G4/C4</f>
        <v>1.1764705882352941E-2</v>
      </c>
    </row>
    <row r="5" spans="2:8" ht="37.799999999999997" customHeight="1" thickTop="1" thickBot="1" x14ac:dyDescent="0.35">
      <c r="B5" s="6" t="s">
        <v>119</v>
      </c>
      <c r="C5" s="6">
        <v>85</v>
      </c>
      <c r="D5" s="7"/>
      <c r="E5" s="8"/>
      <c r="F5" s="9"/>
      <c r="G5" s="9">
        <v>1</v>
      </c>
      <c r="H5" s="52">
        <f>G5/C5</f>
        <v>1.1764705882352941E-2</v>
      </c>
    </row>
    <row r="6" spans="2:8" ht="10.8" customHeight="1" thickTop="1" thickBot="1" x14ac:dyDescent="0.35">
      <c r="B6" s="10" t="s">
        <v>60</v>
      </c>
      <c r="C6" s="10">
        <v>17</v>
      </c>
      <c r="D6" s="11" t="s">
        <v>30</v>
      </c>
      <c r="E6" s="12">
        <v>0</v>
      </c>
      <c r="F6" s="13">
        <v>0</v>
      </c>
      <c r="G6" s="13">
        <v>0</v>
      </c>
      <c r="H6" s="53">
        <f t="shared" ref="H6:H11" si="0">G6/C6</f>
        <v>0</v>
      </c>
    </row>
    <row r="7" spans="2:8" ht="13.2" customHeight="1" thickTop="1" thickBot="1" x14ac:dyDescent="0.35">
      <c r="B7" s="14" t="s">
        <v>61</v>
      </c>
      <c r="C7" s="14">
        <v>4</v>
      </c>
      <c r="D7" s="15" t="s">
        <v>31</v>
      </c>
      <c r="E7" s="16">
        <v>0</v>
      </c>
      <c r="F7" s="17">
        <v>0</v>
      </c>
      <c r="G7" s="17">
        <v>0</v>
      </c>
      <c r="H7" s="54">
        <f t="shared" si="0"/>
        <v>0</v>
      </c>
    </row>
    <row r="8" spans="2:8" ht="13.2" customHeight="1" thickTop="1" thickBot="1" x14ac:dyDescent="0.35">
      <c r="B8" s="6" t="s">
        <v>62</v>
      </c>
      <c r="C8" s="6">
        <v>12</v>
      </c>
      <c r="D8" s="7" t="s">
        <v>32</v>
      </c>
      <c r="E8" s="18">
        <v>0</v>
      </c>
      <c r="F8" s="19">
        <v>0</v>
      </c>
      <c r="G8" s="19">
        <v>0</v>
      </c>
      <c r="H8" s="55">
        <f t="shared" si="0"/>
        <v>0</v>
      </c>
    </row>
    <row r="9" spans="2:8" ht="13.2" customHeight="1" thickTop="1" thickBot="1" x14ac:dyDescent="0.35">
      <c r="B9" s="10" t="s">
        <v>63</v>
      </c>
      <c r="C9" s="10">
        <v>1</v>
      </c>
      <c r="D9" s="11" t="s">
        <v>33</v>
      </c>
      <c r="E9" s="20">
        <v>0</v>
      </c>
      <c r="F9" s="21">
        <v>0</v>
      </c>
      <c r="G9" s="21">
        <v>0</v>
      </c>
      <c r="H9" s="56">
        <f t="shared" si="0"/>
        <v>0</v>
      </c>
    </row>
    <row r="10" spans="2:8" ht="16.8" customHeight="1" thickTop="1" thickBot="1" x14ac:dyDescent="0.35">
      <c r="B10" s="2" t="s">
        <v>64</v>
      </c>
      <c r="C10" s="2">
        <v>2</v>
      </c>
      <c r="D10" s="3" t="s">
        <v>34</v>
      </c>
      <c r="E10" s="4">
        <v>0</v>
      </c>
      <c r="F10" s="5">
        <v>0</v>
      </c>
      <c r="G10" s="5">
        <v>0</v>
      </c>
      <c r="H10" s="51">
        <f t="shared" si="0"/>
        <v>0</v>
      </c>
    </row>
    <row r="11" spans="2:8" ht="13.8" customHeight="1" thickTop="1" thickBot="1" x14ac:dyDescent="0.35">
      <c r="B11" s="14" t="s">
        <v>65</v>
      </c>
      <c r="C11" s="14">
        <v>4</v>
      </c>
      <c r="D11" s="14" t="s">
        <v>35</v>
      </c>
      <c r="E11" s="22">
        <v>0</v>
      </c>
      <c r="F11" s="23">
        <v>0</v>
      </c>
      <c r="G11" s="23">
        <v>0</v>
      </c>
      <c r="H11" s="57">
        <f t="shared" si="0"/>
        <v>0</v>
      </c>
    </row>
    <row r="12" spans="2:8" ht="171" customHeight="1" thickTop="1" thickBot="1" x14ac:dyDescent="0.35">
      <c r="B12" s="6" t="s">
        <v>66</v>
      </c>
      <c r="C12" s="6">
        <v>10</v>
      </c>
      <c r="D12" s="7" t="s">
        <v>36</v>
      </c>
      <c r="E12" s="18" t="s">
        <v>6</v>
      </c>
      <c r="F12" s="19" t="s">
        <v>98</v>
      </c>
      <c r="G12" s="19">
        <v>3</v>
      </c>
      <c r="H12" s="55">
        <f>G12/C12</f>
        <v>0.3</v>
      </c>
    </row>
    <row r="13" spans="2:8" ht="39" customHeight="1" thickTop="1" thickBot="1" x14ac:dyDescent="0.35">
      <c r="B13" s="6" t="s">
        <v>120</v>
      </c>
      <c r="C13" s="6">
        <v>10</v>
      </c>
      <c r="D13" s="7"/>
      <c r="E13" s="18"/>
      <c r="F13" s="19"/>
      <c r="G13" s="19">
        <v>3</v>
      </c>
      <c r="H13" s="55">
        <f>G13/C13</f>
        <v>0.3</v>
      </c>
    </row>
    <row r="14" spans="2:8" ht="130.05000000000001" customHeight="1" thickTop="1" thickBot="1" x14ac:dyDescent="0.35">
      <c r="B14" s="76" t="s">
        <v>67</v>
      </c>
      <c r="C14" s="76">
        <v>9</v>
      </c>
      <c r="D14" s="78" t="s">
        <v>37</v>
      </c>
      <c r="E14" s="24" t="s">
        <v>90</v>
      </c>
      <c r="F14" s="21" t="s">
        <v>100</v>
      </c>
      <c r="G14" s="21">
        <v>3</v>
      </c>
      <c r="H14" s="56">
        <f t="shared" ref="H14:H20" si="1">G14/9</f>
        <v>0.33333333333333331</v>
      </c>
    </row>
    <row r="15" spans="2:8" ht="130.05000000000001" customHeight="1" thickTop="1" thickBot="1" x14ac:dyDescent="0.35">
      <c r="B15" s="76"/>
      <c r="C15" s="76"/>
      <c r="D15" s="78"/>
      <c r="E15" s="20" t="s">
        <v>9</v>
      </c>
      <c r="F15" s="21" t="s">
        <v>101</v>
      </c>
      <c r="G15" s="21">
        <v>3</v>
      </c>
      <c r="H15" s="56">
        <f t="shared" si="1"/>
        <v>0.33333333333333331</v>
      </c>
    </row>
    <row r="16" spans="2:8" ht="130.05000000000001" customHeight="1" thickTop="1" thickBot="1" x14ac:dyDescent="0.35">
      <c r="B16" s="76"/>
      <c r="C16" s="76"/>
      <c r="D16" s="78"/>
      <c r="E16" s="20" t="s">
        <v>88</v>
      </c>
      <c r="F16" s="21" t="s">
        <v>99</v>
      </c>
      <c r="G16" s="21">
        <v>1</v>
      </c>
      <c r="H16" s="56">
        <f t="shared" si="1"/>
        <v>0.1111111111111111</v>
      </c>
    </row>
    <row r="17" spans="2:8" ht="50.4" customHeight="1" thickTop="1" thickBot="1" x14ac:dyDescent="0.35">
      <c r="B17" s="64" t="s">
        <v>121</v>
      </c>
      <c r="C17" s="64">
        <v>9</v>
      </c>
      <c r="D17" s="66"/>
      <c r="E17" s="20"/>
      <c r="F17" s="21"/>
      <c r="G17" s="21">
        <f>SUM(G14:G16)</f>
        <v>7</v>
      </c>
      <c r="H17" s="56">
        <f t="shared" si="1"/>
        <v>0.77777777777777779</v>
      </c>
    </row>
    <row r="18" spans="2:8" ht="130.05000000000001" customHeight="1" thickTop="1" thickBot="1" x14ac:dyDescent="0.35">
      <c r="B18" s="79" t="s">
        <v>68</v>
      </c>
      <c r="C18" s="79">
        <v>9</v>
      </c>
      <c r="D18" s="80" t="s">
        <v>38</v>
      </c>
      <c r="E18" s="4" t="s">
        <v>4</v>
      </c>
      <c r="F18" s="5" t="s">
        <v>99</v>
      </c>
      <c r="G18" s="5">
        <v>2</v>
      </c>
      <c r="H18" s="51">
        <f t="shared" si="1"/>
        <v>0.22222222222222221</v>
      </c>
    </row>
    <row r="19" spans="2:8" ht="130.05000000000001" customHeight="1" thickTop="1" thickBot="1" x14ac:dyDescent="0.35">
      <c r="B19" s="79"/>
      <c r="C19" s="79"/>
      <c r="D19" s="80"/>
      <c r="E19" s="25" t="s">
        <v>3</v>
      </c>
      <c r="F19" s="5" t="s">
        <v>102</v>
      </c>
      <c r="G19" s="5">
        <v>1</v>
      </c>
      <c r="H19" s="51">
        <f t="shared" si="1"/>
        <v>0.1111111111111111</v>
      </c>
    </row>
    <row r="20" spans="2:8" ht="35.4" customHeight="1" thickTop="1" thickBot="1" x14ac:dyDescent="0.35">
      <c r="B20" s="67" t="s">
        <v>123</v>
      </c>
      <c r="C20" s="67">
        <v>9</v>
      </c>
      <c r="D20" s="68"/>
      <c r="E20" s="25"/>
      <c r="F20" s="5"/>
      <c r="G20" s="5">
        <f>SUM(G18:G19)</f>
        <v>3</v>
      </c>
      <c r="H20" s="51">
        <f t="shared" si="1"/>
        <v>0.33333333333333331</v>
      </c>
    </row>
    <row r="21" spans="2:8" ht="16.8" customHeight="1" thickTop="1" thickBot="1" x14ac:dyDescent="0.35">
      <c r="B21" s="26" t="s">
        <v>69</v>
      </c>
      <c r="C21" s="26">
        <v>5</v>
      </c>
      <c r="D21" s="27" t="s">
        <v>39</v>
      </c>
      <c r="E21" s="28">
        <v>0</v>
      </c>
      <c r="F21" s="29">
        <v>0</v>
      </c>
      <c r="G21" s="29">
        <v>0</v>
      </c>
      <c r="H21" s="58">
        <v>0</v>
      </c>
    </row>
    <row r="22" spans="2:8" ht="130.05000000000001" customHeight="1" thickTop="1" thickBot="1" x14ac:dyDescent="0.35">
      <c r="B22" s="6" t="s">
        <v>70</v>
      </c>
      <c r="C22" s="6">
        <v>5</v>
      </c>
      <c r="D22" s="7" t="s">
        <v>40</v>
      </c>
      <c r="E22" s="8" t="s">
        <v>86</v>
      </c>
      <c r="F22" s="9" t="s">
        <v>103</v>
      </c>
      <c r="G22" s="9">
        <v>3</v>
      </c>
      <c r="H22" s="52">
        <f>G22/C22</f>
        <v>0.6</v>
      </c>
    </row>
    <row r="23" spans="2:8" ht="34.799999999999997" customHeight="1" thickTop="1" thickBot="1" x14ac:dyDescent="0.35">
      <c r="B23" s="6" t="s">
        <v>122</v>
      </c>
      <c r="C23" s="6">
        <v>5</v>
      </c>
      <c r="D23" s="7"/>
      <c r="E23" s="8"/>
      <c r="F23" s="9"/>
      <c r="G23" s="9">
        <v>3</v>
      </c>
      <c r="H23" s="52">
        <f>G23/C23</f>
        <v>0.6</v>
      </c>
    </row>
    <row r="24" spans="2:8" ht="15.6" customHeight="1" thickTop="1" thickBot="1" x14ac:dyDescent="0.35">
      <c r="B24" s="30" t="s">
        <v>71</v>
      </c>
      <c r="C24" s="30">
        <v>2</v>
      </c>
      <c r="D24" s="31" t="s">
        <v>41</v>
      </c>
      <c r="E24" s="32" t="s">
        <v>16</v>
      </c>
      <c r="F24" s="33" t="s">
        <v>104</v>
      </c>
      <c r="G24" s="33">
        <v>0</v>
      </c>
      <c r="H24" s="59">
        <f t="shared" ref="H24" si="2">G24/C24</f>
        <v>0</v>
      </c>
    </row>
    <row r="25" spans="2:8" ht="168" customHeight="1" thickTop="1" thickBot="1" x14ac:dyDescent="0.35">
      <c r="B25" s="62" t="s">
        <v>72</v>
      </c>
      <c r="C25" s="34">
        <v>23</v>
      </c>
      <c r="D25" s="35" t="s">
        <v>42</v>
      </c>
      <c r="E25" s="36" t="s">
        <v>1</v>
      </c>
      <c r="F25" s="37" t="s">
        <v>105</v>
      </c>
      <c r="G25" s="37">
        <v>17</v>
      </c>
      <c r="H25" s="60">
        <f>G25/C25</f>
        <v>0.73913043478260865</v>
      </c>
    </row>
    <row r="26" spans="2:8" ht="49.2" customHeight="1" thickTop="1" thickBot="1" x14ac:dyDescent="0.35">
      <c r="B26" s="62" t="s">
        <v>124</v>
      </c>
      <c r="C26" s="34">
        <v>23</v>
      </c>
      <c r="D26" s="35"/>
      <c r="E26" s="36"/>
      <c r="F26" s="37"/>
      <c r="G26" s="37">
        <v>17</v>
      </c>
      <c r="H26" s="60">
        <f>G26/C26</f>
        <v>0.73913043478260865</v>
      </c>
    </row>
    <row r="27" spans="2:8" ht="130.05000000000001" customHeight="1" thickTop="1" thickBot="1" x14ac:dyDescent="0.35">
      <c r="B27" s="76" t="s">
        <v>73</v>
      </c>
      <c r="C27" s="76">
        <v>16</v>
      </c>
      <c r="D27" s="78" t="s">
        <v>43</v>
      </c>
      <c r="E27" s="20" t="s">
        <v>13</v>
      </c>
      <c r="F27" s="21" t="s">
        <v>103</v>
      </c>
      <c r="G27" s="21">
        <v>9</v>
      </c>
      <c r="H27" s="56">
        <f>G27/16</f>
        <v>0.5625</v>
      </c>
    </row>
    <row r="28" spans="2:8" ht="130.05000000000001" customHeight="1" thickTop="1" thickBot="1" x14ac:dyDescent="0.35">
      <c r="B28" s="76"/>
      <c r="C28" s="76"/>
      <c r="D28" s="78"/>
      <c r="E28" s="20" t="s">
        <v>11</v>
      </c>
      <c r="F28" s="21" t="s">
        <v>104</v>
      </c>
      <c r="G28" s="21">
        <v>3</v>
      </c>
      <c r="H28" s="56">
        <f>G28/16</f>
        <v>0.1875</v>
      </c>
    </row>
    <row r="29" spans="2:8" ht="38.4" customHeight="1" thickTop="1" thickBot="1" x14ac:dyDescent="0.35">
      <c r="B29" s="64" t="s">
        <v>125</v>
      </c>
      <c r="C29" s="64">
        <v>16</v>
      </c>
      <c r="D29" s="66"/>
      <c r="E29" s="20"/>
      <c r="F29" s="21"/>
      <c r="G29" s="21">
        <f>SUM(G27:G28)</f>
        <v>12</v>
      </c>
      <c r="H29" s="56">
        <f>G29/16</f>
        <v>0.75</v>
      </c>
    </row>
    <row r="30" spans="2:8" ht="130.05000000000001" customHeight="1" thickTop="1" thickBot="1" x14ac:dyDescent="0.35">
      <c r="B30" s="77" t="s">
        <v>74</v>
      </c>
      <c r="C30" s="77">
        <v>14</v>
      </c>
      <c r="D30" s="81" t="s">
        <v>44</v>
      </c>
      <c r="E30" s="40" t="s">
        <v>12</v>
      </c>
      <c r="F30" s="39" t="s">
        <v>104</v>
      </c>
      <c r="G30" s="39">
        <v>2</v>
      </c>
      <c r="H30" s="61">
        <f>G30/14</f>
        <v>0.14285714285714285</v>
      </c>
    </row>
    <row r="31" spans="2:8" ht="130.05000000000001" customHeight="1" thickTop="1" thickBot="1" x14ac:dyDescent="0.35">
      <c r="B31" s="77"/>
      <c r="C31" s="77"/>
      <c r="D31" s="81"/>
      <c r="E31" s="38" t="s">
        <v>14</v>
      </c>
      <c r="F31" s="39" t="s">
        <v>106</v>
      </c>
      <c r="G31" s="39">
        <v>1</v>
      </c>
      <c r="H31" s="61">
        <f>G31/14</f>
        <v>7.1428571428571425E-2</v>
      </c>
    </row>
    <row r="32" spans="2:8" ht="35.4" customHeight="1" thickTop="1" thickBot="1" x14ac:dyDescent="0.35">
      <c r="B32" s="70" t="s">
        <v>126</v>
      </c>
      <c r="C32" s="65"/>
      <c r="D32" s="69"/>
      <c r="E32" s="38"/>
      <c r="F32" s="39"/>
      <c r="G32" s="39">
        <f>SUM(G30:G31)</f>
        <v>3</v>
      </c>
      <c r="H32" s="61">
        <f>G32/14</f>
        <v>0.21428571428571427</v>
      </c>
    </row>
    <row r="33" spans="2:8" ht="130.05000000000001" customHeight="1" thickTop="1" thickBot="1" x14ac:dyDescent="0.35">
      <c r="B33" s="6" t="s">
        <v>75</v>
      </c>
      <c r="C33" s="6">
        <v>30</v>
      </c>
      <c r="D33" s="7" t="s">
        <v>45</v>
      </c>
      <c r="E33" s="8" t="s">
        <v>95</v>
      </c>
      <c r="F33" s="9" t="s">
        <v>107</v>
      </c>
      <c r="G33" s="9">
        <v>2</v>
      </c>
      <c r="H33" s="52">
        <f>G33/C33</f>
        <v>6.6666666666666666E-2</v>
      </c>
    </row>
    <row r="34" spans="2:8" ht="37.799999999999997" customHeight="1" thickTop="1" thickBot="1" x14ac:dyDescent="0.35">
      <c r="B34" s="6" t="s">
        <v>127</v>
      </c>
      <c r="C34" s="6">
        <v>30</v>
      </c>
      <c r="D34" s="7"/>
      <c r="E34" s="8"/>
      <c r="F34" s="9"/>
      <c r="G34" s="9">
        <v>2</v>
      </c>
      <c r="H34" s="52">
        <f>G34/C34</f>
        <v>6.6666666666666666E-2</v>
      </c>
    </row>
    <row r="35" spans="2:8" ht="28.2" customHeight="1" thickTop="1" thickBot="1" x14ac:dyDescent="0.35">
      <c r="B35" s="2" t="s">
        <v>76</v>
      </c>
      <c r="C35" s="2">
        <v>16</v>
      </c>
      <c r="D35" s="3" t="s">
        <v>46</v>
      </c>
      <c r="E35" s="4">
        <v>0</v>
      </c>
      <c r="F35" s="5">
        <v>0</v>
      </c>
      <c r="G35" s="5">
        <v>0</v>
      </c>
      <c r="H35" s="51">
        <f t="shared" ref="H35:H38" si="3">G35/C35</f>
        <v>0</v>
      </c>
    </row>
    <row r="36" spans="2:8" ht="190.8" customHeight="1" thickTop="1" thickBot="1" x14ac:dyDescent="0.35">
      <c r="B36" s="26" t="s">
        <v>77</v>
      </c>
      <c r="C36" s="26">
        <v>29</v>
      </c>
      <c r="D36" s="27" t="s">
        <v>47</v>
      </c>
      <c r="E36" s="41" t="s">
        <v>93</v>
      </c>
      <c r="F36" s="29" t="s">
        <v>96</v>
      </c>
      <c r="G36" s="29">
        <v>2</v>
      </c>
      <c r="H36" s="58">
        <f>G36/C36</f>
        <v>6.8965517241379309E-2</v>
      </c>
    </row>
    <row r="37" spans="2:8" ht="48" customHeight="1" thickTop="1" thickBot="1" x14ac:dyDescent="0.35">
      <c r="B37" s="71" t="s">
        <v>128</v>
      </c>
      <c r="C37" s="26">
        <v>29</v>
      </c>
      <c r="D37" s="27"/>
      <c r="E37" s="41"/>
      <c r="F37" s="29"/>
      <c r="G37" s="29">
        <v>2</v>
      </c>
      <c r="H37" s="58">
        <f>G37/C37</f>
        <v>6.8965517241379309E-2</v>
      </c>
    </row>
    <row r="38" spans="2:8" ht="22.8" customHeight="1" thickTop="1" thickBot="1" x14ac:dyDescent="0.35">
      <c r="B38" s="10" t="s">
        <v>78</v>
      </c>
      <c r="C38" s="10">
        <v>27</v>
      </c>
      <c r="D38" s="11" t="s">
        <v>48</v>
      </c>
      <c r="E38" s="20" t="s">
        <v>21</v>
      </c>
      <c r="F38" s="21" t="s">
        <v>108</v>
      </c>
      <c r="G38" s="21">
        <v>0</v>
      </c>
      <c r="H38" s="56">
        <f t="shared" si="3"/>
        <v>0</v>
      </c>
    </row>
    <row r="39" spans="2:8" ht="172.2" customHeight="1" thickTop="1" thickBot="1" x14ac:dyDescent="0.35">
      <c r="B39" s="2" t="s">
        <v>79</v>
      </c>
      <c r="C39" s="2">
        <v>29</v>
      </c>
      <c r="D39" s="3" t="s">
        <v>49</v>
      </c>
      <c r="E39" s="4" t="s">
        <v>18</v>
      </c>
      <c r="F39" s="5" t="s">
        <v>109</v>
      </c>
      <c r="G39" s="5">
        <v>2</v>
      </c>
      <c r="H39" s="51">
        <f t="shared" ref="H39:H44" si="4">G39/C39</f>
        <v>6.8965517241379309E-2</v>
      </c>
    </row>
    <row r="40" spans="2:8" ht="39" customHeight="1" thickTop="1" thickBot="1" x14ac:dyDescent="0.35">
      <c r="B40" s="67" t="s">
        <v>129</v>
      </c>
      <c r="C40" s="67">
        <v>29</v>
      </c>
      <c r="D40" s="68"/>
      <c r="E40" s="4"/>
      <c r="F40" s="5"/>
      <c r="G40" s="5">
        <v>2</v>
      </c>
      <c r="H40" s="51">
        <f t="shared" si="4"/>
        <v>6.8965517241379309E-2</v>
      </c>
    </row>
    <row r="41" spans="2:8" ht="190.2" customHeight="1" thickTop="1" thickBot="1" x14ac:dyDescent="0.35">
      <c r="B41" s="6" t="s">
        <v>80</v>
      </c>
      <c r="C41" s="6">
        <v>3</v>
      </c>
      <c r="D41" s="7" t="s">
        <v>50</v>
      </c>
      <c r="E41" s="8" t="s">
        <v>8</v>
      </c>
      <c r="F41" s="9" t="s">
        <v>110</v>
      </c>
      <c r="G41" s="9">
        <v>3</v>
      </c>
      <c r="H41" s="52">
        <f t="shared" si="4"/>
        <v>1</v>
      </c>
    </row>
    <row r="42" spans="2:8" ht="39" customHeight="1" thickTop="1" thickBot="1" x14ac:dyDescent="0.35">
      <c r="B42" s="6" t="s">
        <v>130</v>
      </c>
      <c r="C42" s="6">
        <v>3</v>
      </c>
      <c r="D42" s="7"/>
      <c r="E42" s="8"/>
      <c r="F42" s="9"/>
      <c r="G42" s="9">
        <v>3</v>
      </c>
      <c r="H42" s="52">
        <f t="shared" si="4"/>
        <v>1</v>
      </c>
    </row>
    <row r="43" spans="2:8" ht="130.05000000000001" customHeight="1" thickTop="1" thickBot="1" x14ac:dyDescent="0.35">
      <c r="B43" s="2" t="s">
        <v>81</v>
      </c>
      <c r="C43" s="2">
        <v>27</v>
      </c>
      <c r="D43" s="3" t="s">
        <v>51</v>
      </c>
      <c r="E43" s="25" t="s">
        <v>7</v>
      </c>
      <c r="F43" s="5" t="s">
        <v>110</v>
      </c>
      <c r="G43" s="5">
        <v>14</v>
      </c>
      <c r="H43" s="51">
        <f t="shared" si="4"/>
        <v>0.51851851851851849</v>
      </c>
    </row>
    <row r="44" spans="2:8" ht="38.4" customHeight="1" thickTop="1" thickBot="1" x14ac:dyDescent="0.35">
      <c r="B44" s="67" t="s">
        <v>131</v>
      </c>
      <c r="C44" s="67">
        <v>27</v>
      </c>
      <c r="D44" s="68"/>
      <c r="E44" s="25"/>
      <c r="F44" s="5"/>
      <c r="G44" s="5">
        <v>14</v>
      </c>
      <c r="H44" s="51">
        <f t="shared" si="4"/>
        <v>0.51851851851851849</v>
      </c>
    </row>
    <row r="45" spans="2:8" ht="130.05000000000001" customHeight="1" thickTop="1" thickBot="1" x14ac:dyDescent="0.35">
      <c r="B45" s="76" t="s">
        <v>82</v>
      </c>
      <c r="C45" s="76">
        <v>24</v>
      </c>
      <c r="D45" s="78" t="s">
        <v>52</v>
      </c>
      <c r="E45" s="24" t="s">
        <v>87</v>
      </c>
      <c r="F45" s="21" t="s">
        <v>112</v>
      </c>
      <c r="G45" s="21">
        <v>6</v>
      </c>
      <c r="H45" s="56">
        <f>G45/24</f>
        <v>0.25</v>
      </c>
    </row>
    <row r="46" spans="2:8" ht="130.05000000000001" customHeight="1" thickTop="1" thickBot="1" x14ac:dyDescent="0.35">
      <c r="B46" s="76"/>
      <c r="C46" s="76"/>
      <c r="D46" s="78"/>
      <c r="E46" s="20" t="s">
        <v>15</v>
      </c>
      <c r="F46" s="21" t="s">
        <v>111</v>
      </c>
      <c r="G46" s="21">
        <v>2</v>
      </c>
      <c r="H46" s="56">
        <f>G46/24</f>
        <v>8.3333333333333329E-2</v>
      </c>
    </row>
    <row r="47" spans="2:8" ht="130.05000000000001" customHeight="1" thickTop="1" thickBot="1" x14ac:dyDescent="0.35">
      <c r="B47" s="76"/>
      <c r="C47" s="76"/>
      <c r="D47" s="78"/>
      <c r="E47" s="20" t="s">
        <v>20</v>
      </c>
      <c r="F47" s="21" t="s">
        <v>108</v>
      </c>
      <c r="G47" s="21">
        <v>1</v>
      </c>
      <c r="H47" s="56">
        <f>G47/24</f>
        <v>4.1666666666666664E-2</v>
      </c>
    </row>
    <row r="48" spans="2:8" ht="130.05000000000001" customHeight="1" thickTop="1" thickBot="1" x14ac:dyDescent="0.35">
      <c r="B48" s="76"/>
      <c r="C48" s="76"/>
      <c r="D48" s="78"/>
      <c r="E48" s="20" t="s">
        <v>92</v>
      </c>
      <c r="F48" s="21" t="s">
        <v>103</v>
      </c>
      <c r="G48" s="21">
        <v>1</v>
      </c>
      <c r="H48" s="56">
        <f>G48/24</f>
        <v>4.1666666666666664E-2</v>
      </c>
    </row>
    <row r="49" spans="2:8" ht="45.6" customHeight="1" thickTop="1" thickBot="1" x14ac:dyDescent="0.35">
      <c r="B49" s="64" t="s">
        <v>132</v>
      </c>
      <c r="C49" s="64">
        <v>24</v>
      </c>
      <c r="D49" s="66"/>
      <c r="E49" s="20"/>
      <c r="F49" s="21"/>
      <c r="G49" s="21">
        <f>SUM(G45:G48)</f>
        <v>10</v>
      </c>
      <c r="H49" s="56">
        <f>G49/24</f>
        <v>0.41666666666666669</v>
      </c>
    </row>
    <row r="50" spans="2:8" ht="214.8" customHeight="1" thickTop="1" thickBot="1" x14ac:dyDescent="0.35">
      <c r="B50" s="71" t="s">
        <v>83</v>
      </c>
      <c r="C50" s="26">
        <v>3</v>
      </c>
      <c r="D50" s="27" t="s">
        <v>53</v>
      </c>
      <c r="E50" s="41" t="s">
        <v>89</v>
      </c>
      <c r="F50" s="29" t="s">
        <v>113</v>
      </c>
      <c r="G50" s="29">
        <v>1</v>
      </c>
      <c r="H50" s="58">
        <f t="shared" ref="H50:H55" si="5">G50/C50</f>
        <v>0.33333333333333331</v>
      </c>
    </row>
    <row r="51" spans="2:8" ht="37.799999999999997" customHeight="1" thickTop="1" thickBot="1" x14ac:dyDescent="0.35">
      <c r="B51" s="71" t="s">
        <v>133</v>
      </c>
      <c r="C51" s="26">
        <v>3</v>
      </c>
      <c r="D51" s="27"/>
      <c r="E51" s="41"/>
      <c r="F51" s="29"/>
      <c r="G51" s="29">
        <v>1</v>
      </c>
      <c r="H51" s="58">
        <f t="shared" si="5"/>
        <v>0.33333333333333331</v>
      </c>
    </row>
    <row r="52" spans="2:8" ht="193.8" customHeight="1" thickTop="1" thickBot="1" x14ac:dyDescent="0.35">
      <c r="B52" s="2" t="s">
        <v>84</v>
      </c>
      <c r="C52" s="2">
        <v>20</v>
      </c>
      <c r="D52" s="3" t="s">
        <v>54</v>
      </c>
      <c r="E52" s="4" t="s">
        <v>94</v>
      </c>
      <c r="F52" s="5" t="s">
        <v>114</v>
      </c>
      <c r="G52" s="5">
        <v>1</v>
      </c>
      <c r="H52" s="51">
        <f t="shared" si="5"/>
        <v>0.05</v>
      </c>
    </row>
    <row r="53" spans="2:8" ht="45" customHeight="1" thickTop="1" thickBot="1" x14ac:dyDescent="0.35">
      <c r="B53" s="67" t="s">
        <v>134</v>
      </c>
      <c r="C53" s="67">
        <v>20</v>
      </c>
      <c r="D53" s="68"/>
      <c r="E53" s="4"/>
      <c r="F53" s="5"/>
      <c r="G53" s="5">
        <v>1</v>
      </c>
      <c r="H53" s="51">
        <f t="shared" si="5"/>
        <v>0.05</v>
      </c>
    </row>
    <row r="54" spans="2:8" ht="215.4" customHeight="1" thickTop="1" thickBot="1" x14ac:dyDescent="0.35">
      <c r="B54" s="6" t="s">
        <v>85</v>
      </c>
      <c r="C54" s="6">
        <v>29</v>
      </c>
      <c r="D54" s="7" t="s">
        <v>55</v>
      </c>
      <c r="E54" s="8" t="s">
        <v>17</v>
      </c>
      <c r="F54" s="9" t="s">
        <v>115</v>
      </c>
      <c r="G54" s="9">
        <v>2</v>
      </c>
      <c r="H54" s="52">
        <f t="shared" si="5"/>
        <v>6.8965517241379309E-2</v>
      </c>
    </row>
    <row r="55" spans="2:8" ht="15.6" thickTop="1" thickBot="1" x14ac:dyDescent="0.35">
      <c r="B55" s="72" t="s">
        <v>135</v>
      </c>
      <c r="C55" s="73">
        <v>29</v>
      </c>
      <c r="D55" s="72"/>
      <c r="E55" s="74"/>
      <c r="F55" s="75"/>
      <c r="G55" s="9">
        <v>2</v>
      </c>
      <c r="H55" s="52">
        <f t="shared" si="5"/>
        <v>6.8965517241379309E-2</v>
      </c>
    </row>
    <row r="56" spans="2:8" ht="15" thickTop="1" x14ac:dyDescent="0.3"/>
  </sheetData>
  <sortState ref="E31:H34">
    <sortCondition descending="1" ref="H31:H34"/>
  </sortState>
  <mergeCells count="15">
    <mergeCell ref="C45:C48"/>
    <mergeCell ref="C27:C28"/>
    <mergeCell ref="C30:C31"/>
    <mergeCell ref="D14:D16"/>
    <mergeCell ref="B14:B16"/>
    <mergeCell ref="C14:C16"/>
    <mergeCell ref="B18:B19"/>
    <mergeCell ref="D18:D19"/>
    <mergeCell ref="C18:C19"/>
    <mergeCell ref="B45:B48"/>
    <mergeCell ref="D45:D48"/>
    <mergeCell ref="B30:B31"/>
    <mergeCell ref="D30:D31"/>
    <mergeCell ref="B27:B28"/>
    <mergeCell ref="D27:D2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A8" sqref="A8:XFD8"/>
    </sheetView>
  </sheetViews>
  <sheetFormatPr defaultRowHeight="14.4" x14ac:dyDescent="0.3"/>
  <cols>
    <col min="2" max="2" width="13.6640625" style="1" customWidth="1"/>
    <col min="3" max="3" width="48.77734375" style="1" customWidth="1"/>
    <col min="5" max="5" width="8.88671875" style="50"/>
  </cols>
  <sheetData>
    <row r="1" spans="2:5" ht="15.6" thickTop="1" thickBot="1" x14ac:dyDescent="0.35">
      <c r="B1" s="46"/>
      <c r="C1" s="46"/>
      <c r="D1" s="42"/>
      <c r="E1" s="63" t="s">
        <v>116</v>
      </c>
    </row>
    <row r="2" spans="2:5" ht="32.4" thickTop="1" thickBot="1" x14ac:dyDescent="0.35">
      <c r="B2" s="47">
        <v>26</v>
      </c>
      <c r="C2" s="47" t="s">
        <v>10</v>
      </c>
      <c r="D2" s="42">
        <v>7</v>
      </c>
      <c r="E2" s="63">
        <f>D2/B2</f>
        <v>0.26923076923076922</v>
      </c>
    </row>
    <row r="3" spans="2:5" ht="31.2" thickTop="1" thickBot="1" x14ac:dyDescent="0.35">
      <c r="B3" s="82">
        <v>22</v>
      </c>
      <c r="C3" s="48" t="s">
        <v>5</v>
      </c>
      <c r="D3" s="42">
        <v>3</v>
      </c>
      <c r="E3" s="63">
        <f>D3/B3</f>
        <v>0.13636363636363635</v>
      </c>
    </row>
    <row r="4" spans="2:5" ht="32.4" thickTop="1" thickBot="1" x14ac:dyDescent="0.35">
      <c r="B4" s="43"/>
      <c r="C4" s="43" t="s">
        <v>19</v>
      </c>
      <c r="D4" s="42">
        <v>10</v>
      </c>
      <c r="E4" s="63"/>
    </row>
    <row r="5" spans="2:5" ht="16.8" thickTop="1" thickBot="1" x14ac:dyDescent="0.35">
      <c r="B5" s="47"/>
      <c r="C5" s="47" t="s">
        <v>22</v>
      </c>
      <c r="D5" s="42">
        <v>4</v>
      </c>
      <c r="E5" s="63"/>
    </row>
    <row r="6" spans="2:5" ht="16.8" thickTop="1" thickBot="1" x14ac:dyDescent="0.35">
      <c r="B6" s="43"/>
      <c r="C6" s="43" t="s">
        <v>117</v>
      </c>
      <c r="D6" s="42">
        <v>1</v>
      </c>
      <c r="E6" s="63"/>
    </row>
    <row r="7" spans="2:5" ht="16.2" thickTop="1" thickBot="1" x14ac:dyDescent="0.35">
      <c r="B7" s="49"/>
      <c r="C7" s="49" t="s">
        <v>0</v>
      </c>
      <c r="D7" s="42">
        <v>1</v>
      </c>
      <c r="E7" s="63"/>
    </row>
    <row r="8" spans="2:5" ht="15.6" thickTop="1" thickBot="1" x14ac:dyDescent="0.35">
      <c r="B8" s="46"/>
      <c r="C8" s="46"/>
      <c r="D8" s="42"/>
      <c r="E8" s="63"/>
    </row>
    <row r="9" spans="2:5" ht="15" thickTop="1" x14ac:dyDescent="0.3"/>
  </sheetData>
  <sortState ref="B4:E9">
    <sortCondition descending="1" ref="D4:D9"/>
  </sortState>
  <mergeCells count="1">
    <mergeCell ref="B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"/>
  <sheetViews>
    <sheetView workbookViewId="0">
      <selection activeCell="C5" sqref="C5"/>
    </sheetView>
  </sheetViews>
  <sheetFormatPr defaultRowHeight="14.4" x14ac:dyDescent="0.3"/>
  <cols>
    <col min="2" max="2" width="33.6640625" customWidth="1"/>
    <col min="3" max="3" width="27.5546875" customWidth="1"/>
  </cols>
  <sheetData>
    <row r="1" spans="2:3" ht="22.2" thickTop="1" thickBot="1" x14ac:dyDescent="0.35">
      <c r="B1" s="43" t="s">
        <v>23</v>
      </c>
      <c r="C1" s="44">
        <v>11</v>
      </c>
    </row>
    <row r="2" spans="2:3" ht="30" customHeight="1" thickTop="1" thickBot="1" x14ac:dyDescent="0.35">
      <c r="B2" s="43" t="s">
        <v>27</v>
      </c>
      <c r="C2" s="45">
        <v>2</v>
      </c>
    </row>
    <row r="3" spans="2:3" ht="30" customHeight="1" thickTop="1" thickBot="1" x14ac:dyDescent="0.35">
      <c r="B3" s="43" t="s">
        <v>28</v>
      </c>
      <c r="C3" s="45">
        <v>2</v>
      </c>
    </row>
    <row r="4" spans="2:3" ht="30" customHeight="1" thickTop="1" thickBot="1" x14ac:dyDescent="0.35">
      <c r="B4" s="43" t="s">
        <v>24</v>
      </c>
      <c r="C4" s="45">
        <v>1</v>
      </c>
    </row>
    <row r="5" spans="2:3" ht="30" customHeight="1" thickTop="1" thickBot="1" x14ac:dyDescent="0.35">
      <c r="B5" s="43" t="s">
        <v>25</v>
      </c>
      <c r="C5" s="45">
        <v>1</v>
      </c>
    </row>
    <row r="6" spans="2:3" ht="30" customHeight="1" thickTop="1" thickBot="1" x14ac:dyDescent="0.35">
      <c r="B6" s="43" t="s">
        <v>26</v>
      </c>
      <c r="C6" s="45">
        <v>1</v>
      </c>
    </row>
    <row r="7" spans="2:3" ht="30" customHeight="1" thickTop="1" thickBot="1" x14ac:dyDescent="0.35">
      <c r="B7" s="43" t="s">
        <v>29</v>
      </c>
      <c r="C7" s="45">
        <v>1</v>
      </c>
    </row>
    <row r="8" spans="2:3" ht="30" customHeight="1" thickTop="1" thickBot="1" x14ac:dyDescent="0.35">
      <c r="B8" s="42"/>
      <c r="C8" s="42"/>
    </row>
    <row r="9" spans="2:3" ht="15.6" thickTop="1" thickBot="1" x14ac:dyDescent="0.35">
      <c r="B9" s="42"/>
      <c r="C9" s="42"/>
    </row>
    <row r="10" spans="2:3" ht="15" thickTop="1" x14ac:dyDescent="0.3"/>
  </sheetData>
  <sortState ref="B1:C10">
    <sortCondition descending="1" ref="C1:C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2025-05-20T12:56:05Z</dcterms:modified>
</cp:coreProperties>
</file>