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mosa_done\"/>
    </mc:Choice>
  </mc:AlternateContent>
  <bookViews>
    <workbookView xWindow="0" yWindow="0" windowWidth="13296" windowHeight="8220"/>
  </bookViews>
  <sheets>
    <sheet name="Sheet1" sheetId="1" r:id="rId1"/>
    <sheet name="Sheet4" sheetId="4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Sheet1!#REF!</definedName>
    <definedName name="__DdeLink__363_4195966084" localSheetId="0">Sheet1!#REF!</definedName>
    <definedName name="__DdeLink__366_1609274354" localSheetId="0">Sheet1!#REF!</definedName>
    <definedName name="__DdeLink__374_2158327081" localSheetId="0">Sheet1!#REF!</definedName>
    <definedName name="__DdeLink__429_690101127" localSheetId="0">Sheet1!#REF!</definedName>
    <definedName name="__DdeLink__450_690101127" localSheetId="0">Sheet1!#REF!</definedName>
    <definedName name="__DdeLink__454_4201205227" localSheetId="0">Sheet1!#REF!</definedName>
    <definedName name="__DdeLink__461_690101127" localSheetId="0">Sheet1!#REF!</definedName>
    <definedName name="__DdeLink__481_750636418" localSheetId="0">Sheet1!#REF!</definedName>
    <definedName name="__DdeLink__502_3099655138" localSheetId="0">Sheet1!#REF!</definedName>
    <definedName name="__DdeLink__525_3099655138" localSheetId="0">Sheet1!#REF!</definedName>
    <definedName name="__DdeLink__533_4201205227" localSheetId="0">Sheet1!#REF!</definedName>
    <definedName name="__DdeLink__573_3099655138" localSheetId="0">Sheet1!#REF!</definedName>
    <definedName name="__DdeLink__588_3099655138" localSheetId="0">Sheet1!#REF!</definedName>
    <definedName name="__DdeLink__741_3099655138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3" i="1" l="1"/>
  <c r="G103" i="1"/>
  <c r="C103" i="1"/>
  <c r="G101" i="1"/>
  <c r="C101" i="1"/>
  <c r="G99" i="1"/>
  <c r="C99" i="1"/>
  <c r="G96" i="1"/>
  <c r="C96" i="1"/>
  <c r="G87" i="1"/>
  <c r="C87" i="1"/>
  <c r="G82" i="1"/>
  <c r="C82" i="1"/>
  <c r="G79" i="1"/>
  <c r="C79" i="1"/>
  <c r="H73" i="1"/>
  <c r="G73" i="1"/>
  <c r="C73" i="1"/>
  <c r="G71" i="1"/>
  <c r="C71" i="1"/>
  <c r="G68" i="1"/>
  <c r="C68" i="1"/>
  <c r="G66" i="1"/>
  <c r="C66" i="1"/>
  <c r="G60" i="1"/>
  <c r="C60" i="1"/>
  <c r="G57" i="1"/>
  <c r="C57" i="1"/>
  <c r="G55" i="1"/>
  <c r="C55" i="1"/>
  <c r="G52" i="1"/>
  <c r="C52" i="1"/>
  <c r="G46" i="1"/>
  <c r="C46" i="1"/>
  <c r="H43" i="1"/>
  <c r="G43" i="1"/>
  <c r="C43" i="1"/>
  <c r="G41" i="1"/>
  <c r="C41" i="1"/>
  <c r="G36" i="1"/>
  <c r="C36" i="1"/>
  <c r="G30" i="1"/>
  <c r="C30" i="1"/>
  <c r="G28" i="1"/>
  <c r="C28" i="1"/>
  <c r="G25" i="1"/>
  <c r="C25" i="1"/>
  <c r="H20" i="1"/>
  <c r="G20" i="1"/>
  <c r="C20" i="1"/>
  <c r="G18" i="1"/>
  <c r="C18" i="1"/>
  <c r="G16" i="1"/>
  <c r="C16" i="1"/>
  <c r="G13" i="1"/>
  <c r="C13" i="1"/>
  <c r="H11" i="1"/>
  <c r="G11" i="1"/>
  <c r="C11" i="1"/>
  <c r="G9" i="1"/>
  <c r="C9" i="1"/>
  <c r="E23" i="3" l="1"/>
  <c r="E22" i="3"/>
  <c r="E21" i="3"/>
  <c r="E10" i="3"/>
  <c r="E9" i="3"/>
  <c r="E2" i="3"/>
  <c r="F9" i="4"/>
  <c r="F3" i="4"/>
  <c r="F2" i="4"/>
  <c r="H100" i="1"/>
  <c r="H101" i="1" s="1"/>
  <c r="H97" i="1"/>
  <c r="H88" i="1"/>
  <c r="H86" i="1"/>
  <c r="H83" i="1"/>
  <c r="H80" i="1"/>
  <c r="H75" i="1"/>
  <c r="H77" i="1"/>
  <c r="H76" i="1"/>
  <c r="H74" i="1"/>
  <c r="H70" i="1"/>
  <c r="H69" i="1"/>
  <c r="H67" i="1"/>
  <c r="H68" i="1" s="1"/>
  <c r="H61" i="1"/>
  <c r="H59" i="1"/>
  <c r="H58" i="1"/>
  <c r="H56" i="1"/>
  <c r="H57" i="1" s="1"/>
  <c r="H53" i="1"/>
  <c r="H47" i="1"/>
  <c r="H45" i="1"/>
  <c r="H44" i="1"/>
  <c r="H46" i="1" s="1"/>
  <c r="H37" i="1"/>
  <c r="H33" i="1"/>
  <c r="H31" i="1"/>
  <c r="H26" i="1"/>
  <c r="H23" i="1"/>
  <c r="H21" i="1"/>
  <c r="H17" i="1"/>
  <c r="H18" i="1" s="1"/>
  <c r="H15" i="1"/>
  <c r="H14" i="1"/>
  <c r="H16" i="1" s="1"/>
  <c r="H12" i="1"/>
  <c r="H13" i="1" s="1"/>
  <c r="H4" i="1"/>
  <c r="H2" i="1"/>
  <c r="H60" i="1" l="1"/>
  <c r="H71" i="1"/>
  <c r="F4" i="4"/>
  <c r="F5" i="4"/>
  <c r="F6" i="4"/>
  <c r="F7" i="4"/>
  <c r="F8" i="4"/>
  <c r="E20" i="4" l="1"/>
  <c r="G104" i="1"/>
  <c r="H98" i="1"/>
  <c r="H99" i="1" s="1"/>
  <c r="H95" i="1"/>
  <c r="H94" i="1"/>
  <c r="H93" i="1"/>
  <c r="H92" i="1"/>
  <c r="H91" i="1"/>
  <c r="H90" i="1"/>
  <c r="H89" i="1"/>
  <c r="H96" i="1" s="1"/>
  <c r="H85" i="1"/>
  <c r="H84" i="1"/>
  <c r="H87" i="1" s="1"/>
  <c r="H81" i="1"/>
  <c r="H82" i="1" s="1"/>
  <c r="H78" i="1"/>
  <c r="H79" i="1" s="1"/>
  <c r="H65" i="1"/>
  <c r="H64" i="1"/>
  <c r="H63" i="1"/>
  <c r="H62" i="1"/>
  <c r="H66" i="1" s="1"/>
  <c r="H54" i="1"/>
  <c r="H55" i="1" s="1"/>
  <c r="H51" i="1"/>
  <c r="H50" i="1"/>
  <c r="H49" i="1"/>
  <c r="H48" i="1"/>
  <c r="H40" i="1"/>
  <c r="H39" i="1"/>
  <c r="H38" i="1"/>
  <c r="H41" i="1" s="1"/>
  <c r="H35" i="1"/>
  <c r="H34" i="1"/>
  <c r="H32" i="1"/>
  <c r="H29" i="1"/>
  <c r="H30" i="1" s="1"/>
  <c r="H27" i="1"/>
  <c r="H28" i="1" s="1"/>
  <c r="H24" i="1"/>
  <c r="H22" i="1"/>
  <c r="H8" i="1"/>
  <c r="H7" i="1"/>
  <c r="H6" i="1"/>
  <c r="H5" i="1"/>
  <c r="H3" i="1"/>
  <c r="H9" i="1" s="1"/>
  <c r="H52" i="1" l="1"/>
  <c r="H25" i="1"/>
  <c r="H36" i="1"/>
</calcChain>
</file>

<file path=xl/sharedStrings.xml><?xml version="1.0" encoding="utf-8"?>
<sst xmlns="http://schemas.openxmlformats.org/spreadsheetml/2006/main" count="279" uniqueCount="242">
  <si>
    <t>Reduplication</t>
  </si>
  <si>
    <t>Metathesis</t>
  </si>
  <si>
    <t>Diphthongization</t>
  </si>
  <si>
    <t xml:space="preserve">Glottalization(substitution of [ʕ] with [ʔ]), </t>
  </si>
  <si>
    <t>Glottalization(substitution of [ɣ] with [ʔ])</t>
  </si>
  <si>
    <t>substitution of [ʔ]with [ʕ]</t>
  </si>
  <si>
    <t>substitution of [ʔ]with [t]</t>
  </si>
  <si>
    <t>substitution of [r] with [ɻ]</t>
  </si>
  <si>
    <t>substitution of [ðˤ] with [l]</t>
  </si>
  <si>
    <t>substitution of [r] with [ʕ]</t>
  </si>
  <si>
    <t>substitution of[b] with [m]</t>
  </si>
  <si>
    <t>substitution of [t]with [ħ]</t>
  </si>
  <si>
    <t>substitution of [q] with [g]</t>
  </si>
  <si>
    <t>substitution of [q] with [ʕ]</t>
  </si>
  <si>
    <t>substitution of [q] with [k]</t>
  </si>
  <si>
    <t>voicing(substitution of [t] with [d])</t>
  </si>
  <si>
    <t>voicing(substitution of [s] with [z])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</si>
  <si>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</si>
  <si>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</si>
  <si>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</si>
  <si>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>substitution of [ɣ] with [ʕ]</t>
  </si>
  <si>
    <t>substitution of [ɣ] with [h]</t>
  </si>
  <si>
    <t>substitution of [χ] with [ħ]</t>
  </si>
  <si>
    <t xml:space="preserve">Aspiration ( substitution of [k]with [kʰ]) , </t>
  </si>
  <si>
    <t xml:space="preserve">Aspiration ( substitution of [t]with [tʰ]) </t>
  </si>
  <si>
    <t xml:space="preserve">depharyngealization(substitution of [sˤ] with [s]), </t>
  </si>
  <si>
    <t xml:space="preserve"> depharyngealization(substitution of [ðˤ] with [ð]), </t>
  </si>
  <si>
    <t>depharyngealization(substitution of [dˤ] with [d]),</t>
  </si>
  <si>
    <t>depharyngealization and aspiration (substitution of [tˤ] with [tʰ]),</t>
  </si>
  <si>
    <t>Devoicing(substitution of [d͡ʒ] with [t͡ʃ])</t>
  </si>
  <si>
    <t>backing (substitution of [f] with [s])</t>
  </si>
  <si>
    <t>devoicing and deinterdentalization substitution of[ð] with [ s],</t>
  </si>
  <si>
    <t>stopping(substitution of[ðˤ] with [dˤ]),</t>
  </si>
  <si>
    <t>degemination(reduce consonant cluster to one single consonant)</t>
  </si>
  <si>
    <t>germination</t>
  </si>
  <si>
    <t>deaffrication(substitution of [d͡ʒ]with [ʒ])</t>
  </si>
  <si>
    <t>substitution of [h]with [χ]</t>
  </si>
  <si>
    <t>substitution of [ħ]with [h]</t>
  </si>
  <si>
    <t>substitution of [h]with [ħ]</t>
  </si>
  <si>
    <t>Epenthesis(insert vowel [ʊ] between  consnant cluster)</t>
  </si>
  <si>
    <t>substitution of [d]with[d͡z]</t>
  </si>
  <si>
    <t>deaffrication and devoicing(substitution of [d͡ʒ]with [k])</t>
  </si>
  <si>
    <t>deaffrication and devoicing(substitution of [d͡ʒ]with [ʃ])</t>
  </si>
  <si>
    <t>devoicing(substitution of [d]with [t])</t>
  </si>
  <si>
    <t>devoicing(substitution of [ɣ]with [χ])</t>
  </si>
  <si>
    <t>substitution of [ʕ]with [ɣ]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</si>
  <si>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</si>
  <si>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</si>
  <si>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</si>
  <si>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</si>
  <si>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[b] phone)</t>
  </si>
  <si>
    <t>syllable structure process (consonant insertion of  [n] phone)</t>
  </si>
  <si>
    <t>syllable structure process (consonant deletion of  [n]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</si>
  <si>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</si>
  <si>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</si>
  <si>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</si>
  <si>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final consonant deletion</t>
  </si>
  <si>
    <t>Definite Article deletion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</si>
  <si>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</si>
  <si>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</si>
  <si>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</si>
  <si>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</si>
  <si>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</si>
  <si>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</si>
  <si>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</si>
  <si>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</si>
  <si>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</si>
  <si>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</si>
  <si>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</si>
  <si>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</si>
  <si>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</si>
  <si>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</si>
  <si>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</si>
  <si>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final consonant deletion affected by colloquial arabic</t>
  </si>
  <si>
    <t>consonant deletion  of [ʔ]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</si>
  <si>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</si>
  <si>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</si>
  <si>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t>Deletion of feminine marker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</si>
  <si>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</si>
  <si>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</si>
  <si>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</si>
  <si>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</si>
  <si>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</si>
  <si>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</si>
  <si>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</si>
  <si>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</si>
  <si>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</si>
  <si>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</si>
  <si>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</si>
  <si>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</si>
  <si>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</si>
  <si>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</si>
  <si>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</si>
  <si>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</si>
  <si>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</si>
  <si>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</si>
  <si>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</si>
  <si>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</si>
  <si>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</si>
  <si>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</si>
  <si>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</si>
  <si>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</si>
  <si>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</si>
  <si>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</si>
  <si>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</si>
  <si>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>r</t>
  </si>
  <si>
    <t>s</t>
  </si>
  <si>
    <t>z</t>
  </si>
  <si>
    <t>sˤ</t>
  </si>
  <si>
    <t>θ</t>
  </si>
  <si>
    <t>ðˤ</t>
  </si>
  <si>
    <t>ð</t>
  </si>
  <si>
    <t>k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</si>
  <si>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</si>
  <si>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</si>
  <si>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</si>
  <si>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</si>
  <si>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</si>
  <si>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</si>
  <si>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</si>
  <si>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</si>
  <si>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</si>
  <si>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</si>
  <si>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</si>
  <si>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</si>
  <si>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</si>
  <si>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</si>
  <si>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</si>
  <si>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</si>
  <si>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</si>
  <si>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</si>
  <si>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</si>
  <si>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</si>
  <si>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</si>
  <si>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</si>
  <si>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</si>
  <si>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depharyngealization  (substitution of [tˤ] with [t]) </t>
  </si>
  <si>
    <t>substitution of [χ] with [h]</t>
  </si>
  <si>
    <t xml:space="preserve">devoicing(substitution of [d]with [d̥])  </t>
  </si>
  <si>
    <t xml:space="preserve">devoicing(substitution of [d]with [t͡s])  </t>
  </si>
  <si>
    <t>devoicing(substitution of [z]with [s]),</t>
  </si>
  <si>
    <t>devoicing(substitution of [dˤ]with [tˤ])</t>
  </si>
  <si>
    <t xml:space="preserve">syllable structure process (first syllable deletion) 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</si>
  <si>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</si>
  <si>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</si>
  <si>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</si>
  <si>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</si>
  <si>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</si>
  <si>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Epenthesis(insert vowel [u:] between  consnant cluster)</t>
  </si>
  <si>
    <t>Epenthesis(insert vowel [i:] between  consnant cluster)</t>
  </si>
  <si>
    <r>
      <rPr>
        <sz val="12"/>
        <color rgb="FF7030A0"/>
        <rFont val="Arial"/>
        <family val="2"/>
      </rPr>
      <t>Monophthongization</t>
    </r>
    <r>
      <rPr>
        <sz val="12"/>
        <color theme="1"/>
        <rFont val="Arial"/>
        <family val="2"/>
      </rPr>
      <t xml:space="preserve"> </t>
    </r>
  </si>
  <si>
    <t>assimilation (the  [d] phone changes to  [n] to become  similar to the nearby  phone[ m])</t>
  </si>
  <si>
    <t>syllable structure process (consonant insertion of  [r] phone)</t>
  </si>
  <si>
    <t>assimilation (the  [ðˤ] phone changes to  [ n]  phone to become  similar to the nearby  phone[ m])</t>
  </si>
  <si>
    <t>substitution of [d]with[z]</t>
  </si>
  <si>
    <t>assimilation (the  [d] phone changes to  [l]  phone to become  similar to the nearby  phone[l])</t>
  </si>
  <si>
    <t xml:space="preserve">pharyngealization(substitution of [ð] with [ðˤ]), </t>
  </si>
  <si>
    <t>insertion of  Definite Article[æl] to the following word</t>
  </si>
  <si>
    <t>misreading</t>
  </si>
  <si>
    <t>backing (substitution of [b] with [t])</t>
  </si>
  <si>
    <t>gliding(substitution of [r] with [w])</t>
  </si>
  <si>
    <t>gliding(substitution of [ʔ] with [j])</t>
  </si>
  <si>
    <t>stopping(substitution of [ɣ]with [q])</t>
  </si>
  <si>
    <t>Vowelization(substitution of [w] with [u:])</t>
  </si>
  <si>
    <t>Vowelization(substitution of [ʔ] with [æ:])</t>
  </si>
  <si>
    <t>assimilation (the  [n] phone changes to  [ð]  phone to become  similar to the nearby  phone[d])</t>
  </si>
  <si>
    <t>d͡ʒ</t>
  </si>
  <si>
    <t>total</t>
  </si>
  <si>
    <t>type of syllable structure error</t>
  </si>
  <si>
    <t>number of error</t>
  </si>
  <si>
    <t>notes</t>
  </si>
  <si>
    <t>[l]</t>
  </si>
  <si>
    <t>[ɻ]</t>
  </si>
  <si>
    <t>[ʁ]</t>
  </si>
  <si>
    <t>[ʀ]</t>
  </si>
  <si>
    <t>[ʕ]</t>
  </si>
  <si>
    <t>[w]</t>
  </si>
  <si>
    <t>[z]</t>
  </si>
  <si>
    <t>[s]</t>
  </si>
  <si>
    <t>[z̥]</t>
  </si>
  <si>
    <t>[dˤ]</t>
  </si>
  <si>
    <t>[ð]</t>
  </si>
  <si>
    <t>[m]</t>
  </si>
  <si>
    <t>[ðˤ]</t>
  </si>
  <si>
    <t>[kʰ]</t>
  </si>
  <si>
    <t>[k]</t>
  </si>
  <si>
    <t>[ʃ]</t>
  </si>
  <si>
    <t>[d͡ʒ̥]</t>
  </si>
  <si>
    <t>[ʒ]</t>
  </si>
  <si>
    <t>[t͡ʃ]</t>
  </si>
  <si>
    <t>[g]</t>
  </si>
  <si>
    <t>[ɣ]</t>
  </si>
  <si>
    <t>[h]</t>
  </si>
  <si>
    <t>[ħ]</t>
  </si>
  <si>
    <t>[χ]</t>
  </si>
  <si>
    <t>[ʔ]</t>
  </si>
  <si>
    <t>[q]</t>
  </si>
  <si>
    <t>[t]</t>
  </si>
  <si>
    <t>[j]</t>
  </si>
  <si>
    <t>[æ:]</t>
  </si>
  <si>
    <t>[n]</t>
  </si>
  <si>
    <t>[d]</t>
  </si>
  <si>
    <t>[p]</t>
  </si>
  <si>
    <t>[pʰ]</t>
  </si>
  <si>
    <t>[tʰ]</t>
  </si>
  <si>
    <t>[t͡s]</t>
  </si>
  <si>
    <t>[d̥]</t>
  </si>
  <si>
    <t>[d͡z]</t>
  </si>
  <si>
    <t>[tˤ]</t>
  </si>
  <si>
    <t>[u:]</t>
  </si>
  <si>
    <t>[-]</t>
  </si>
  <si>
    <t>percentage</t>
  </si>
  <si>
    <t>l</t>
  </si>
  <si>
    <t>ل</t>
  </si>
  <si>
    <t>r Total</t>
  </si>
  <si>
    <t>l Total</t>
  </si>
  <si>
    <t>s Total</t>
  </si>
  <si>
    <t>z Total</t>
  </si>
  <si>
    <t>sˤ Total</t>
  </si>
  <si>
    <t>θ Total</t>
  </si>
  <si>
    <t>ðˤ Total</t>
  </si>
  <si>
    <t>ð Total</t>
  </si>
  <si>
    <t>k Total</t>
  </si>
  <si>
    <t>d͡ʒ Total</t>
  </si>
  <si>
    <t>q Total</t>
  </si>
  <si>
    <t>ʃ Total</t>
  </si>
  <si>
    <t>χ Total</t>
  </si>
  <si>
    <t>ɣ Total</t>
  </si>
  <si>
    <t>ʕ Total</t>
  </si>
  <si>
    <t>ħ Total</t>
  </si>
  <si>
    <t>h Total</t>
  </si>
  <si>
    <t>ʔ Total</t>
  </si>
  <si>
    <t>f Total</t>
  </si>
  <si>
    <t>n Total</t>
  </si>
  <si>
    <t>m Total</t>
  </si>
  <si>
    <t>b Total</t>
  </si>
  <si>
    <t>tˤ Total</t>
  </si>
  <si>
    <t>t Total</t>
  </si>
  <si>
    <t>d Total</t>
  </si>
  <si>
    <t>dˤ Total</t>
  </si>
  <si>
    <t>w Total</t>
  </si>
  <si>
    <t>j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</si>
</sst>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sz val="15"/>
      <color rgb="FF000000"/>
      <name val="Segoe UI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b/>
      <sz val="16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</cellStyleXfs>
  <cellXfs count="179">
    <xf numFmtId="0" fontId="0" fillId="0" borderId="0" xfId="0"/>
    <xf numFmtId="0" fontId="2" fillId="2" borderId="0" xfId="1"/>
    <xf numFmtId="0" fontId="1" fillId="10" borderId="0" xfId="9"/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vertical="center" wrapText="1"/>
    </xf>
    <xf numFmtId="0" fontId="4" fillId="4" borderId="1" xfId="3" applyBorder="1" applyAlignment="1">
      <alignment vertical="center"/>
    </xf>
    <xf numFmtId="0" fontId="12" fillId="4" borderId="1" xfId="3" applyFont="1" applyBorder="1" applyAlignment="1">
      <alignment vertical="center" wrapText="1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wrapText="1"/>
    </xf>
    <xf numFmtId="0" fontId="2" fillId="2" borderId="1" xfId="1" applyBorder="1"/>
    <xf numFmtId="0" fontId="1" fillId="9" borderId="1" xfId="8" applyBorder="1" applyAlignment="1">
      <alignment vertical="center" wrapText="1"/>
    </xf>
    <xf numFmtId="0" fontId="1" fillId="9" borderId="1" xfId="8" applyBorder="1" applyAlignment="1">
      <alignment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wrapText="1"/>
    </xf>
    <xf numFmtId="0" fontId="3" fillId="3" borderId="1" xfId="2" applyBorder="1"/>
    <xf numFmtId="0" fontId="0" fillId="9" borderId="1" xfId="8" applyFont="1" applyBorder="1" applyAlignment="1">
      <alignment vertical="center" wrapText="1"/>
    </xf>
    <xf numFmtId="0" fontId="12" fillId="3" borderId="1" xfId="2" applyFont="1" applyBorder="1" applyAlignment="1">
      <alignment vertical="center" wrapText="1"/>
    </xf>
    <xf numFmtId="0" fontId="3" fillId="3" borderId="1" xfId="2" applyBorder="1" applyAlignment="1">
      <alignment vertical="center"/>
    </xf>
    <xf numFmtId="0" fontId="12" fillId="2" borderId="1" xfId="1" applyFont="1" applyBorder="1" applyAlignment="1">
      <alignment vertical="center" wrapText="1"/>
    </xf>
    <xf numFmtId="0" fontId="2" fillId="2" borderId="1" xfId="1" applyBorder="1" applyAlignment="1">
      <alignment vertical="center"/>
    </xf>
    <xf numFmtId="0" fontId="2" fillId="2" borderId="1" xfId="1" applyBorder="1" applyAlignment="1">
      <alignment vertical="center" wrapText="1"/>
    </xf>
    <xf numFmtId="0" fontId="12" fillId="5" borderId="1" xfId="4" applyFont="1" applyBorder="1" applyAlignment="1">
      <alignment vertical="center" wrapText="1"/>
    </xf>
    <xf numFmtId="0" fontId="1" fillId="5" borderId="1" xfId="4" applyBorder="1" applyAlignment="1">
      <alignment vertical="center"/>
    </xf>
    <xf numFmtId="0" fontId="0" fillId="5" borderId="1" xfId="4" applyFont="1" applyBorder="1" applyAlignment="1">
      <alignment vertical="center" wrapText="1"/>
    </xf>
    <xf numFmtId="0" fontId="12" fillId="6" borderId="1" xfId="5" applyFont="1" applyBorder="1" applyAlignment="1">
      <alignment vertical="center" wrapText="1"/>
    </xf>
    <xf numFmtId="0" fontId="1" fillId="6" borderId="1" xfId="5" applyBorder="1" applyAlignment="1">
      <alignment vertical="center"/>
    </xf>
    <xf numFmtId="0" fontId="12" fillId="8" borderId="1" xfId="7" applyFont="1" applyBorder="1" applyAlignment="1">
      <alignment vertical="center" wrapText="1"/>
    </xf>
    <xf numFmtId="0" fontId="1" fillId="8" borderId="1" xfId="7" applyBorder="1" applyAlignment="1">
      <alignment vertical="center"/>
    </xf>
    <xf numFmtId="0" fontId="3" fillId="3" borderId="1" xfId="2" applyBorder="1" applyAlignment="1">
      <alignment vertical="center" wrapText="1"/>
    </xf>
    <xf numFmtId="0" fontId="1" fillId="7" borderId="1" xfId="6" applyBorder="1" applyAlignment="1">
      <alignment horizontal="center" vertical="center" wrapText="1" readingOrder="2"/>
    </xf>
    <xf numFmtId="0" fontId="0" fillId="7" borderId="1" xfId="6" applyFont="1" applyBorder="1" applyAlignment="1">
      <alignment vertical="center" wrapText="1"/>
    </xf>
    <xf numFmtId="0" fontId="1" fillId="7" borderId="1" xfId="6" applyBorder="1" applyAlignment="1">
      <alignment vertical="center"/>
    </xf>
    <xf numFmtId="0" fontId="0" fillId="7" borderId="1" xfId="6" applyFont="1" applyBorder="1" applyAlignment="1">
      <alignment horizontal="center" vertical="center" wrapText="1" readingOrder="2"/>
    </xf>
    <xf numFmtId="0" fontId="0" fillId="11" borderId="1" xfId="10" applyFont="1" applyBorder="1" applyAlignment="1">
      <alignment horizontal="center" vertical="center"/>
    </xf>
    <xf numFmtId="0" fontId="1" fillId="11" borderId="1" xfId="10" applyBorder="1" applyAlignment="1">
      <alignment horizontal="center" vertical="center"/>
    </xf>
    <xf numFmtId="0" fontId="0" fillId="11" borderId="1" xfId="10" applyFont="1" applyBorder="1" applyAlignment="1">
      <alignment horizontal="center" vertical="center" wrapText="1" readingOrder="2"/>
    </xf>
    <xf numFmtId="0" fontId="1" fillId="11" borderId="1" xfId="10" applyBorder="1" applyAlignment="1">
      <alignment vertical="center" wrapText="1"/>
    </xf>
    <xf numFmtId="0" fontId="1" fillId="11" borderId="1" xfId="10" applyBorder="1" applyAlignment="1">
      <alignment vertical="center"/>
    </xf>
    <xf numFmtId="0" fontId="4" fillId="4" borderId="1" xfId="3" applyBorder="1" applyAlignment="1">
      <alignment horizontal="center" vertical="center" wrapText="1" readingOrder="2"/>
    </xf>
    <xf numFmtId="0" fontId="12" fillId="7" borderId="1" xfId="6" applyFont="1" applyBorder="1" applyAlignment="1">
      <alignment vertical="center" wrapText="1"/>
    </xf>
    <xf numFmtId="0" fontId="3" fillId="3" borderId="1" xfId="2" applyBorder="1" applyAlignment="1">
      <alignment horizontal="center" vertical="center" wrapText="1" readingOrder="2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14" fillId="2" borderId="1" xfId="1" applyFont="1" applyBorder="1" applyAlignment="1">
      <alignment horizontal="center" vertical="center"/>
    </xf>
    <xf numFmtId="0" fontId="14" fillId="12" borderId="1" xfId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10" fontId="10" fillId="0" borderId="5" xfId="0" applyNumberFormat="1" applyFont="1" applyBorder="1" applyAlignment="1">
      <alignment vertical="center" wrapText="1"/>
    </xf>
    <xf numFmtId="10" fontId="4" fillId="4" borderId="1" xfId="3" applyNumberFormat="1" applyBorder="1" applyAlignment="1">
      <alignment vertical="center"/>
    </xf>
    <xf numFmtId="10" fontId="2" fillId="2" borderId="1" xfId="1" applyNumberFormat="1" applyBorder="1"/>
    <xf numFmtId="10" fontId="1" fillId="9" borderId="1" xfId="8" applyNumberFormat="1" applyBorder="1" applyAlignment="1">
      <alignment vertical="center"/>
    </xf>
    <xf numFmtId="10" fontId="3" fillId="3" borderId="1" xfId="2" applyNumberFormat="1" applyBorder="1"/>
    <xf numFmtId="10" fontId="3" fillId="3" borderId="1" xfId="2" applyNumberFormat="1" applyBorder="1" applyAlignment="1">
      <alignment vertical="center"/>
    </xf>
    <xf numFmtId="10" fontId="2" fillId="2" borderId="1" xfId="1" applyNumberFormat="1" applyBorder="1" applyAlignment="1">
      <alignment vertical="center"/>
    </xf>
    <xf numFmtId="10" fontId="1" fillId="5" borderId="1" xfId="4" applyNumberFormat="1" applyBorder="1" applyAlignment="1">
      <alignment vertical="center"/>
    </xf>
    <xf numFmtId="10" fontId="1" fillId="6" borderId="1" xfId="5" applyNumberFormat="1" applyBorder="1" applyAlignment="1">
      <alignment vertical="center"/>
    </xf>
    <xf numFmtId="10" fontId="1" fillId="8" borderId="1" xfId="7" applyNumberFormat="1" applyBorder="1" applyAlignment="1">
      <alignment vertical="center"/>
    </xf>
    <xf numFmtId="10" fontId="1" fillId="7" borderId="1" xfId="6" applyNumberFormat="1" applyBorder="1" applyAlignment="1">
      <alignment vertical="center"/>
    </xf>
    <xf numFmtId="10" fontId="1" fillId="11" borderId="1" xfId="10" applyNumberFormat="1" applyBorder="1" applyAlignment="1">
      <alignment vertical="center"/>
    </xf>
    <xf numFmtId="10" fontId="0" fillId="0" borderId="2" xfId="0" applyNumberFormat="1" applyBorder="1"/>
    <xf numFmtId="10" fontId="0" fillId="0" borderId="0" xfId="0" applyNumberFormat="1" applyBorder="1"/>
    <xf numFmtId="10" fontId="0" fillId="0" borderId="1" xfId="0" applyNumberFormat="1" applyBorder="1"/>
    <xf numFmtId="0" fontId="3" fillId="3" borderId="0" xfId="2"/>
    <xf numFmtId="0" fontId="3" fillId="13" borderId="0" xfId="2" applyFill="1"/>
    <xf numFmtId="0" fontId="0" fillId="7" borderId="1" xfId="6" applyFont="1" applyBorder="1" applyAlignment="1">
      <alignment vertical="center"/>
    </xf>
    <xf numFmtId="10" fontId="14" fillId="12" borderId="1" xfId="1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7" fillId="0" borderId="2" xfId="0" applyFont="1" applyBorder="1" applyAlignment="1">
      <alignment vertical="center" wrapText="1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/>
    </xf>
    <xf numFmtId="0" fontId="3" fillId="3" borderId="2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1" fillId="7" borderId="4" xfId="6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 wrapText="1" readingOrder="2"/>
    </xf>
    <xf numFmtId="0" fontId="1" fillId="8" borderId="1" xfId="7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4" fillId="4" borderId="4" xfId="3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1" xfId="8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4" xfId="6" applyBorder="1" applyAlignment="1">
      <alignment horizontal="center" vertical="center"/>
    </xf>
    <xf numFmtId="0" fontId="0" fillId="7" borderId="2" xfId="6" applyFont="1" applyBorder="1" applyAlignment="1">
      <alignment horizontal="center" vertical="center"/>
    </xf>
    <xf numFmtId="0" fontId="0" fillId="7" borderId="4" xfId="6" applyFont="1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0" fillId="8" borderId="1" xfId="7" applyFont="1" applyBorder="1" applyAlignment="1">
      <alignment horizontal="center" vertical="center"/>
    </xf>
    <xf numFmtId="0" fontId="1" fillId="8" borderId="1" xfId="7" applyBorder="1" applyAlignment="1">
      <alignment horizontal="center" vertical="center"/>
    </xf>
    <xf numFmtId="0" fontId="0" fillId="8" borderId="1" xfId="7" applyFont="1" applyBorder="1" applyAlignment="1">
      <alignment horizontal="center" vertical="center" wrapText="1" readingOrder="2"/>
    </xf>
    <xf numFmtId="0" fontId="1" fillId="8" borderId="1" xfId="7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 wrapText="1" readingOrder="2"/>
    </xf>
    <xf numFmtId="0" fontId="0" fillId="9" borderId="1" xfId="8" applyFont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4" xfId="7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0" fontId="1" fillId="5" borderId="1" xfId="4" applyBorder="1" applyAlignment="1">
      <alignment horizontal="center" vertical="center"/>
    </xf>
    <xf numFmtId="0" fontId="0" fillId="6" borderId="1" xfId="5" applyFont="1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 wrapText="1" readingOrder="2"/>
    </xf>
    <xf numFmtId="0" fontId="0" fillId="6" borderId="1" xfId="5" applyFont="1" applyBorder="1" applyAlignment="1">
      <alignment horizontal="center" vertical="center"/>
    </xf>
    <xf numFmtId="0" fontId="1" fillId="6" borderId="1" xfId="5" applyBorder="1" applyAlignment="1">
      <alignment horizontal="center" vertical="center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0" fillId="9" borderId="1" xfId="8" applyFont="1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/>
    </xf>
    <xf numFmtId="0" fontId="16" fillId="4" borderId="1" xfId="3" applyFont="1" applyBorder="1" applyAlignment="1">
      <alignment horizontal="center" vertical="center"/>
    </xf>
    <xf numFmtId="0" fontId="17" fillId="3" borderId="1" xfId="2" applyFont="1" applyBorder="1" applyAlignment="1">
      <alignment horizontal="center" vertical="center"/>
    </xf>
    <xf numFmtId="0" fontId="18" fillId="2" borderId="1" xfId="1" applyFont="1" applyBorder="1" applyAlignment="1">
      <alignment horizontal="center" vertical="center"/>
    </xf>
    <xf numFmtId="0" fontId="15" fillId="9" borderId="1" xfId="8" applyFont="1" applyBorder="1" applyAlignment="1">
      <alignment horizontal="center" vertical="center"/>
    </xf>
    <xf numFmtId="0" fontId="15" fillId="5" borderId="1" xfId="4" applyFont="1" applyBorder="1" applyAlignment="1">
      <alignment horizontal="center" vertical="center"/>
    </xf>
    <xf numFmtId="0" fontId="15" fillId="6" borderId="1" xfId="5" applyFont="1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5" fillId="8" borderId="1" xfId="7" applyFont="1" applyBorder="1" applyAlignment="1">
      <alignment horizontal="center" vertical="center"/>
    </xf>
    <xf numFmtId="0" fontId="16" fillId="4" borderId="2" xfId="3" applyFont="1" applyBorder="1" applyAlignment="1">
      <alignment horizontal="center" vertical="center"/>
    </xf>
    <xf numFmtId="0" fontId="15" fillId="7" borderId="4" xfId="6" applyFont="1" applyBorder="1" applyAlignment="1">
      <alignment horizontal="center" vertical="center"/>
    </xf>
    <xf numFmtId="0" fontId="1" fillId="11" borderId="2" xfId="10" applyBorder="1" applyAlignment="1">
      <alignment horizontal="center" vertical="center"/>
    </xf>
    <xf numFmtId="0" fontId="0" fillId="11" borderId="2" xfId="10" applyFont="1" applyBorder="1" applyAlignment="1">
      <alignment horizontal="center" vertical="center" wrapText="1" readingOrder="2"/>
    </xf>
    <xf numFmtId="0" fontId="15" fillId="11" borderId="2" xfId="10" applyFont="1" applyBorder="1" applyAlignment="1">
      <alignment horizontal="center" vertical="center"/>
    </xf>
    <xf numFmtId="0" fontId="16" fillId="4" borderId="4" xfId="3" applyFont="1" applyBorder="1" applyAlignment="1">
      <alignment horizontal="center" vertical="center"/>
    </xf>
    <xf numFmtId="0" fontId="15" fillId="7" borderId="1" xfId="6" applyFont="1" applyBorder="1" applyAlignment="1">
      <alignment horizontal="center" vertical="center"/>
    </xf>
  </cellXfs>
  <cellStyles count="11">
    <cellStyle name="20% - Accent1" xfId="9" builtinId="30"/>
    <cellStyle name="20% - Accent2" xfId="10" builtinId="34"/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Sheet1!$F$2:$F$8</c:f>
              <c:strCache>
                <c:ptCount val="7"/>
                <c:pt idx="0">
                  <c:v>[ʁ]</c:v>
                </c:pt>
                <c:pt idx="1">
                  <c:v>[ʀ]</c:v>
                </c:pt>
                <c:pt idx="2">
                  <c:v>[ɻ]</c:v>
                </c:pt>
                <c:pt idx="3">
                  <c:v>[l]</c:v>
                </c:pt>
                <c:pt idx="4">
                  <c:v>[w]</c:v>
                </c:pt>
                <c:pt idx="5">
                  <c:v>[-]</c:v>
                </c:pt>
                <c:pt idx="6">
                  <c:v>[ʕ]</c:v>
                </c:pt>
              </c:strCache>
            </c:strRef>
          </c:cat>
          <c:val>
            <c:numRef>
              <c:f>Sheet1!$G$2:$G$8</c:f>
              <c:numCache>
                <c:formatCode>General</c:formatCode>
                <c:ptCount val="7"/>
                <c:pt idx="0">
                  <c:v>69</c:v>
                </c:pt>
                <c:pt idx="1">
                  <c:v>26</c:v>
                </c:pt>
                <c:pt idx="2">
                  <c:v>21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9-418B-AA00-972429809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6993088"/>
        <c:axId val="114699392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Sheet1!$F$2:$F$8</c:f>
              <c:strCache>
                <c:ptCount val="7"/>
                <c:pt idx="0">
                  <c:v>[ʁ]</c:v>
                </c:pt>
                <c:pt idx="1">
                  <c:v>[ʀ]</c:v>
                </c:pt>
                <c:pt idx="2">
                  <c:v>[ɻ]</c:v>
                </c:pt>
                <c:pt idx="3">
                  <c:v>[l]</c:v>
                </c:pt>
                <c:pt idx="4">
                  <c:v>[w]</c:v>
                </c:pt>
                <c:pt idx="5">
                  <c:v>[-]</c:v>
                </c:pt>
                <c:pt idx="6">
                  <c:v>[ʕ]</c:v>
                </c:pt>
              </c:strCache>
            </c:strRef>
          </c:cat>
          <c:val>
            <c:numRef>
              <c:f>Sheet1!$H$2:$H$8</c:f>
              <c:numCache>
                <c:formatCode>0.00%</c:formatCode>
                <c:ptCount val="7"/>
                <c:pt idx="0">
                  <c:v>0.30396475770925108</c:v>
                </c:pt>
                <c:pt idx="1">
                  <c:v>0.11453744493392071</c:v>
                </c:pt>
                <c:pt idx="2">
                  <c:v>9.2511013215859028E-2</c:v>
                </c:pt>
                <c:pt idx="3">
                  <c:v>2.643171806167401E-2</c:v>
                </c:pt>
                <c:pt idx="4">
                  <c:v>1.3215859030837005E-2</c:v>
                </c:pt>
                <c:pt idx="5">
                  <c:v>8.8105726872246704E-3</c:v>
                </c:pt>
                <c:pt idx="6">
                  <c:v>4.4052863436123352E-3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69-418B-AA00-972429809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881120"/>
        <c:axId val="1145882784"/>
      </c:lineChart>
      <c:catAx>
        <c:axId val="11469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993920"/>
        <c:crosses val="autoZero"/>
        <c:auto val="1"/>
        <c:lblAlgn val="ctr"/>
        <c:lblOffset val="100"/>
        <c:noMultiLvlLbl val="0"/>
      </c:catAx>
      <c:valAx>
        <c:axId val="114699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993088"/>
        <c:crosses val="autoZero"/>
        <c:crossBetween val="between"/>
      </c:valAx>
      <c:valAx>
        <c:axId val="114588278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81120"/>
        <c:crosses val="max"/>
        <c:crossBetween val="between"/>
      </c:valAx>
      <c:catAx>
        <c:axId val="1145881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458827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Sheet1!$F$12</c:f>
              <c:strCache>
                <c:ptCount val="1"/>
                <c:pt idx="0">
                  <c:v>[z]</c:v>
                </c:pt>
              </c:strCache>
            </c:strRef>
          </c:cat>
          <c:val>
            <c:numRef>
              <c:f>Sheet1!$G$12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4-4209-9984-03F7C0C68BF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Sheet1!$F$12</c:f>
              <c:strCache>
                <c:ptCount val="1"/>
                <c:pt idx="0">
                  <c:v>[z]</c:v>
                </c:pt>
              </c:strCache>
            </c:strRef>
          </c:cat>
          <c:val>
            <c:numRef>
              <c:f>Sheet1!$H$12</c:f>
              <c:numCache>
                <c:formatCode>0.00%</c:formatCode>
                <c:ptCount val="1"/>
                <c:pt idx="0">
                  <c:v>7.874015748031496E-3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4-4209-9984-03F7C0C68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1339424"/>
        <c:axId val="1221334016"/>
      </c:barChart>
      <c:catAx>
        <c:axId val="12213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334016"/>
        <c:crosses val="autoZero"/>
        <c:auto val="1"/>
        <c:lblAlgn val="ctr"/>
        <c:lblOffset val="100"/>
        <c:noMultiLvlLbl val="0"/>
      </c:catAx>
      <c:valAx>
        <c:axId val="122133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339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[z]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Sheet1!$F$14:$F$15</c:f>
              <c:strCache>
                <c:ptCount val="2"/>
                <c:pt idx="0">
                  <c:v>[s]</c:v>
                </c:pt>
                <c:pt idx="1">
                  <c:v>[z̥]</c:v>
                </c:pt>
              </c:strCache>
            </c:strRef>
          </c:cat>
          <c:val>
            <c:numRef>
              <c:f>Sheet1!$G$14:$G$15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D-4F7D-A26A-5C28C8339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024160"/>
        <c:axId val="92602748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Sheet1!$F$14:$F$15</c:f>
              <c:strCache>
                <c:ptCount val="2"/>
                <c:pt idx="0">
                  <c:v>[s]</c:v>
                </c:pt>
                <c:pt idx="1">
                  <c:v>[z̥]</c:v>
                </c:pt>
              </c:strCache>
            </c:strRef>
          </c:cat>
          <c:val>
            <c:numRef>
              <c:f>Sheet1!$H$14:$H$15</c:f>
              <c:numCache>
                <c:formatCode>0.00%</c:formatCode>
                <c:ptCount val="2"/>
                <c:pt idx="0">
                  <c:v>0.125</c:v>
                </c:pt>
                <c:pt idx="1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FD-4F7D-A26A-5C28C8339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790960"/>
        <c:axId val="926026240"/>
      </c:lineChart>
      <c:catAx>
        <c:axId val="92602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027488"/>
        <c:crosses val="autoZero"/>
        <c:auto val="1"/>
        <c:lblAlgn val="ctr"/>
        <c:lblOffset val="100"/>
        <c:noMultiLvlLbl val="0"/>
      </c:catAx>
      <c:valAx>
        <c:axId val="92602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024160"/>
        <c:crosses val="autoZero"/>
        <c:crossBetween val="between"/>
      </c:valAx>
      <c:valAx>
        <c:axId val="92602624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790960"/>
        <c:crosses val="max"/>
        <c:crossBetween val="between"/>
      </c:valAx>
      <c:catAx>
        <c:axId val="866790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602624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Sheet1!$F$17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Sheet1!$G$17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C-4431-A684-BB281A2F8C9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Sheet1!$F$17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Sheet1!$H$17</c:f>
              <c:numCache>
                <c:formatCode>0.00%</c:formatCode>
                <c:ptCount val="1"/>
                <c:pt idx="0">
                  <c:v>8.9285714285714288E-2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9C-4431-A684-BB281A2F8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029152"/>
        <c:axId val="926024992"/>
      </c:barChart>
      <c:catAx>
        <c:axId val="92602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024992"/>
        <c:crosses val="autoZero"/>
        <c:auto val="1"/>
        <c:lblAlgn val="ctr"/>
        <c:lblOffset val="100"/>
        <c:noMultiLvlLbl val="0"/>
      </c:catAx>
      <c:valAx>
        <c:axId val="92602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0291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Sheet1!$F$21:$F$24</c:f>
              <c:strCache>
                <c:ptCount val="4"/>
                <c:pt idx="0">
                  <c:v>[ð]</c:v>
                </c:pt>
                <c:pt idx="1">
                  <c:v>[dˤ]</c:v>
                </c:pt>
                <c:pt idx="2">
                  <c:v>[l]</c:v>
                </c:pt>
                <c:pt idx="3">
                  <c:v>[n]</c:v>
                </c:pt>
              </c:strCache>
            </c:strRef>
          </c:cat>
          <c:val>
            <c:numRef>
              <c:f>Sheet1!$G$21:$G$24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D-4A0F-A3EF-38C774890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8275184"/>
        <c:axId val="92827560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Sheet1!$F$21:$F$24</c:f>
              <c:strCache>
                <c:ptCount val="4"/>
                <c:pt idx="0">
                  <c:v>[ð]</c:v>
                </c:pt>
                <c:pt idx="1">
                  <c:v>[dˤ]</c:v>
                </c:pt>
                <c:pt idx="2">
                  <c:v>[l]</c:v>
                </c:pt>
                <c:pt idx="3">
                  <c:v>[n]</c:v>
                </c:pt>
              </c:strCache>
            </c:strRef>
          </c:cat>
          <c:val>
            <c:numRef>
              <c:f>Sheet1!$H$21:$H$24</c:f>
              <c:numCache>
                <c:formatCode>0.00%</c:formatCode>
                <c:ptCount val="4"/>
                <c:pt idx="0">
                  <c:v>0.17647058823529413</c:v>
                </c:pt>
                <c:pt idx="1">
                  <c:v>0.11764705882352941</c:v>
                </c:pt>
                <c:pt idx="2">
                  <c:v>5.8823529411764705E-2</c:v>
                </c:pt>
                <c:pt idx="3">
                  <c:v>5.8823529411764705E-2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DD-4A0F-A3EF-38C774890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267696"/>
        <c:axId val="928266864"/>
      </c:lineChart>
      <c:catAx>
        <c:axId val="92827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75600"/>
        <c:crosses val="autoZero"/>
        <c:auto val="1"/>
        <c:lblAlgn val="ctr"/>
        <c:lblOffset val="100"/>
        <c:noMultiLvlLbl val="0"/>
      </c:catAx>
      <c:valAx>
        <c:axId val="92827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75184"/>
        <c:crosses val="autoZero"/>
        <c:crossBetween val="between"/>
      </c:valAx>
      <c:valAx>
        <c:axId val="92826686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67696"/>
        <c:crosses val="max"/>
        <c:crossBetween val="between"/>
      </c:valAx>
      <c:catAx>
        <c:axId val="9282676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82668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Sheet1!$F$26:$F$27</c:f>
              <c:strCache>
                <c:ptCount val="2"/>
                <c:pt idx="0">
                  <c:v>[s]</c:v>
                </c:pt>
                <c:pt idx="1">
                  <c:v>[ðˤ]</c:v>
                </c:pt>
              </c:strCache>
            </c:strRef>
          </c:cat>
          <c:val>
            <c:numRef>
              <c:f>Sheet1!$G$26:$G$27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3-4E27-9CF5-03B7F51C1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70479"/>
        <c:axId val="6667339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Sheet1!$F$26:$F$27</c:f>
              <c:strCache>
                <c:ptCount val="2"/>
                <c:pt idx="0">
                  <c:v>[s]</c:v>
                </c:pt>
                <c:pt idx="1">
                  <c:v>[ðˤ]</c:v>
                </c:pt>
              </c:strCache>
            </c:strRef>
          </c:cat>
          <c:val>
            <c:numRef>
              <c:f>Sheet1!$H$26:$H$27</c:f>
              <c:numCache>
                <c:formatCode>0.00%</c:formatCode>
                <c:ptCount val="2"/>
                <c:pt idx="0">
                  <c:v>0.1111111111111111</c:v>
                </c:pt>
                <c:pt idx="1">
                  <c:v>2.7777777777777776E-2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73-4E27-9CF5-03B7F51C1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196095"/>
        <c:axId val="67192351"/>
      </c:lineChart>
      <c:catAx>
        <c:axId val="6667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3391"/>
        <c:crosses val="autoZero"/>
        <c:auto val="1"/>
        <c:lblAlgn val="ctr"/>
        <c:lblOffset val="100"/>
        <c:noMultiLvlLbl val="0"/>
      </c:catAx>
      <c:valAx>
        <c:axId val="6667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0479"/>
        <c:crosses val="autoZero"/>
        <c:crossBetween val="between"/>
      </c:valAx>
      <c:valAx>
        <c:axId val="6719235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6095"/>
        <c:crosses val="max"/>
        <c:crossBetween val="between"/>
      </c:valAx>
      <c:catAx>
        <c:axId val="67196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719235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Sheet1!$F$29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Sheet1!$G$29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3-40FF-AE82-A7C3F40C70E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Sheet1!$F$29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Sheet1!$H$29</c:f>
              <c:numCache>
                <c:formatCode>0.00%</c:formatCode>
                <c:ptCount val="1"/>
                <c:pt idx="0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23-40FF-AE82-A7C3F40C7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8767"/>
        <c:axId val="67189439"/>
      </c:barChart>
      <c:catAx>
        <c:axId val="932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9439"/>
        <c:crosses val="autoZero"/>
        <c:auto val="1"/>
        <c:lblAlgn val="ctr"/>
        <c:lblOffset val="100"/>
        <c:noMultiLvlLbl val="0"/>
      </c:catAx>
      <c:valAx>
        <c:axId val="6718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8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Sheet1!$F$31:$F$35</c:f>
              <c:strCache>
                <c:ptCount val="5"/>
                <c:pt idx="0">
                  <c:v>[ʒ]</c:v>
                </c:pt>
                <c:pt idx="1">
                  <c:v>[k]</c:v>
                </c:pt>
                <c:pt idx="2">
                  <c:v>[d͡ʒ̥]</c:v>
                </c:pt>
                <c:pt idx="3">
                  <c:v>[ʃ]</c:v>
                </c:pt>
                <c:pt idx="4">
                  <c:v>[t͡ʃ]</c:v>
                </c:pt>
              </c:strCache>
            </c:strRef>
          </c:cat>
          <c:val>
            <c:numRef>
              <c:f>Sheet1!$G$31:$G$35</c:f>
              <c:numCache>
                <c:formatCode>General</c:formatCode>
                <c:ptCount val="5"/>
                <c:pt idx="0">
                  <c:v>25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9-4125-BF2E-796CDF1DE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140495"/>
        <c:axId val="14314132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Sheet1!$F$31:$F$35</c:f>
              <c:strCache>
                <c:ptCount val="5"/>
                <c:pt idx="0">
                  <c:v>[ʒ]</c:v>
                </c:pt>
                <c:pt idx="1">
                  <c:v>[k]</c:v>
                </c:pt>
                <c:pt idx="2">
                  <c:v>[d͡ʒ̥]</c:v>
                </c:pt>
                <c:pt idx="3">
                  <c:v>[ʃ]</c:v>
                </c:pt>
                <c:pt idx="4">
                  <c:v>[t͡ʃ]</c:v>
                </c:pt>
              </c:strCache>
            </c:strRef>
          </c:cat>
          <c:val>
            <c:numRef>
              <c:f>Sheet1!$H$31:$H$35</c:f>
              <c:numCache>
                <c:formatCode>0.00%</c:formatCode>
                <c:ptCount val="5"/>
                <c:pt idx="0">
                  <c:v>0.33333333333333331</c:v>
                </c:pt>
                <c:pt idx="1">
                  <c:v>2.6666666666666668E-2</c:v>
                </c:pt>
                <c:pt idx="2">
                  <c:v>2.6666666666666668E-2</c:v>
                </c:pt>
                <c:pt idx="3">
                  <c:v>1.3333333333333334E-2</c:v>
                </c:pt>
                <c:pt idx="4">
                  <c:v>1.3333333333333334E-2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19-4125-BF2E-796CDF1DE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43407"/>
        <c:axId val="143145487"/>
      </c:lineChart>
      <c:catAx>
        <c:axId val="14314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41327"/>
        <c:crosses val="autoZero"/>
        <c:auto val="1"/>
        <c:lblAlgn val="ctr"/>
        <c:lblOffset val="100"/>
        <c:noMultiLvlLbl val="0"/>
      </c:catAx>
      <c:valAx>
        <c:axId val="14314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40495"/>
        <c:crosses val="autoZero"/>
        <c:crossBetween val="between"/>
      </c:valAx>
      <c:valAx>
        <c:axId val="14314548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43407"/>
        <c:crosses val="max"/>
        <c:crossBetween val="between"/>
      </c:valAx>
      <c:catAx>
        <c:axId val="1431434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14548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[q]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Sheet1!$F$37:$F$40</c:f>
              <c:strCache>
                <c:ptCount val="4"/>
                <c:pt idx="0">
                  <c:v>[g]</c:v>
                </c:pt>
                <c:pt idx="1">
                  <c:v>[k]</c:v>
                </c:pt>
                <c:pt idx="2">
                  <c:v>[ʕ]</c:v>
                </c:pt>
                <c:pt idx="3">
                  <c:v>[ɣ]</c:v>
                </c:pt>
              </c:strCache>
            </c:strRef>
          </c:cat>
          <c:val>
            <c:numRef>
              <c:f>Sheet1!$G$37:$G$40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8-4CC2-8F46-D6464D11A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33407"/>
        <c:axId val="6542758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Sheet1!$F$37:$F$40</c:f>
              <c:strCache>
                <c:ptCount val="4"/>
                <c:pt idx="0">
                  <c:v>[g]</c:v>
                </c:pt>
                <c:pt idx="1">
                  <c:v>[k]</c:v>
                </c:pt>
                <c:pt idx="2">
                  <c:v>[ʕ]</c:v>
                </c:pt>
                <c:pt idx="3">
                  <c:v>[ɣ]</c:v>
                </c:pt>
              </c:strCache>
            </c:strRef>
          </c:cat>
          <c:val>
            <c:numRef>
              <c:f>Sheet1!$H$37:$H$40</c:f>
              <c:numCache>
                <c:formatCode>0.00%</c:formatCode>
                <c:ptCount val="4"/>
                <c:pt idx="0">
                  <c:v>5.2631578947368418E-2</c:v>
                </c:pt>
                <c:pt idx="1">
                  <c:v>5.2631578947368418E-2</c:v>
                </c:pt>
                <c:pt idx="2">
                  <c:v>3.5087719298245612E-2</c:v>
                </c:pt>
                <c:pt idx="3">
                  <c:v>1.7543859649122806E-2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88-4CC2-8F46-D6464D11A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29055"/>
        <c:axId val="65431327"/>
      </c:lineChart>
      <c:catAx>
        <c:axId val="6543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27583"/>
        <c:crosses val="autoZero"/>
        <c:auto val="1"/>
        <c:lblAlgn val="ctr"/>
        <c:lblOffset val="100"/>
        <c:noMultiLvlLbl val="0"/>
      </c:catAx>
      <c:valAx>
        <c:axId val="6542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33407"/>
        <c:crosses val="autoZero"/>
        <c:crossBetween val="between"/>
      </c:valAx>
      <c:valAx>
        <c:axId val="6543132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29055"/>
        <c:crosses val="max"/>
        <c:crossBetween val="between"/>
      </c:valAx>
      <c:catAx>
        <c:axId val="1289290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54313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[χ]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Sheet1!$F$44:$F$45</c:f>
              <c:strCache>
                <c:ptCount val="2"/>
                <c:pt idx="0">
                  <c:v>[ħ]</c:v>
                </c:pt>
                <c:pt idx="1">
                  <c:v>[h]</c:v>
                </c:pt>
              </c:strCache>
            </c:strRef>
          </c:cat>
          <c:val>
            <c:numRef>
              <c:f>Sheet1!$G$44:$G$45</c:f>
              <c:numCache>
                <c:formatCode>General</c:formatCode>
                <c:ptCount val="2"/>
                <c:pt idx="0">
                  <c:v>23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B-441F-8150-129A7754C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14063"/>
        <c:axId val="14251115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Sheet1!$F$44:$F$45</c:f>
              <c:strCache>
                <c:ptCount val="2"/>
                <c:pt idx="0">
                  <c:v>[ħ]</c:v>
                </c:pt>
                <c:pt idx="1">
                  <c:v>[h]</c:v>
                </c:pt>
              </c:strCache>
            </c:strRef>
          </c:cat>
          <c:val>
            <c:numRef>
              <c:f>Sheet1!$H$44:$H$45</c:f>
              <c:numCache>
                <c:formatCode>0.00%</c:formatCode>
                <c:ptCount val="2"/>
                <c:pt idx="0">
                  <c:v>0.54761904761904767</c:v>
                </c:pt>
                <c:pt idx="1">
                  <c:v>0.19047619047619047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B-441F-8150-129A7754C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42575"/>
        <c:axId val="142514895"/>
      </c:lineChart>
      <c:catAx>
        <c:axId val="14251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1151"/>
        <c:crosses val="autoZero"/>
        <c:auto val="1"/>
        <c:lblAlgn val="ctr"/>
        <c:lblOffset val="100"/>
        <c:noMultiLvlLbl val="0"/>
      </c:catAx>
      <c:valAx>
        <c:axId val="14251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4063"/>
        <c:crosses val="autoZero"/>
        <c:crossBetween val="between"/>
      </c:valAx>
      <c:valAx>
        <c:axId val="14251489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42575"/>
        <c:crosses val="max"/>
        <c:crossBetween val="between"/>
      </c:valAx>
      <c:catAx>
        <c:axId val="1431425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51489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[ɣ]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Sheet1!$F$47:$F$51</c:f>
              <c:strCache>
                <c:ptCount val="5"/>
                <c:pt idx="0">
                  <c:v>[ʕ]</c:v>
                </c:pt>
                <c:pt idx="1">
                  <c:v>[ʔ]</c:v>
                </c:pt>
                <c:pt idx="2">
                  <c:v>[χ]</c:v>
                </c:pt>
                <c:pt idx="3">
                  <c:v>[h]</c:v>
                </c:pt>
                <c:pt idx="4">
                  <c:v>[q]</c:v>
                </c:pt>
              </c:strCache>
            </c:strRef>
          </c:cat>
          <c:val>
            <c:numRef>
              <c:f>Sheet1!$G$47:$G$51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A-4D4C-8903-E3EA0CECA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05743"/>
        <c:axId val="14250407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Sheet1!$F$47:$F$51</c:f>
              <c:strCache>
                <c:ptCount val="5"/>
                <c:pt idx="0">
                  <c:v>[ʕ]</c:v>
                </c:pt>
                <c:pt idx="1">
                  <c:v>[ʔ]</c:v>
                </c:pt>
                <c:pt idx="2">
                  <c:v>[χ]</c:v>
                </c:pt>
                <c:pt idx="3">
                  <c:v>[h]</c:v>
                </c:pt>
                <c:pt idx="4">
                  <c:v>[q]</c:v>
                </c:pt>
              </c:strCache>
            </c:strRef>
          </c:cat>
          <c:val>
            <c:numRef>
              <c:f>Sheet1!$H$47:$H$51</c:f>
              <c:numCache>
                <c:formatCode>0.00%</c:formatCode>
                <c:ptCount val="5"/>
                <c:pt idx="0">
                  <c:v>0.17073170731707318</c:v>
                </c:pt>
                <c:pt idx="1">
                  <c:v>0.12195121951219512</c:v>
                </c:pt>
                <c:pt idx="2">
                  <c:v>2.4390243902439025E-2</c:v>
                </c:pt>
                <c:pt idx="3">
                  <c:v>2.4390243902439025E-2</c:v>
                </c:pt>
                <c:pt idx="4">
                  <c:v>2.4390243902439025E-2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6A-4D4C-8903-E3EA0CECA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99087"/>
        <c:axId val="142506575"/>
      </c:lineChart>
      <c:catAx>
        <c:axId val="14250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04079"/>
        <c:crosses val="autoZero"/>
        <c:auto val="1"/>
        <c:lblAlgn val="ctr"/>
        <c:lblOffset val="100"/>
        <c:noMultiLvlLbl val="0"/>
      </c:catAx>
      <c:valAx>
        <c:axId val="14250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05743"/>
        <c:crosses val="autoZero"/>
        <c:crossBetween val="between"/>
      </c:valAx>
      <c:valAx>
        <c:axId val="14250657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9087"/>
        <c:crosses val="max"/>
        <c:crossBetween val="between"/>
      </c:valAx>
      <c:catAx>
        <c:axId val="14249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50657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[ʕ]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Sheet1!$F$53:$F$54</c:f>
              <c:strCache>
                <c:ptCount val="2"/>
                <c:pt idx="0">
                  <c:v>[ʔ]</c:v>
                </c:pt>
                <c:pt idx="1">
                  <c:v>[ɣ]</c:v>
                </c:pt>
              </c:strCache>
            </c:strRef>
          </c:cat>
          <c:val>
            <c:numRef>
              <c:f>Sheet1!$G$53:$G$54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F-4706-A10D-7AA774FED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96511"/>
        <c:axId val="6719692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Sheet1!$F$53:$F$54</c:f>
              <c:strCache>
                <c:ptCount val="2"/>
                <c:pt idx="0">
                  <c:v>[ʔ]</c:v>
                </c:pt>
                <c:pt idx="1">
                  <c:v>[ɣ]</c:v>
                </c:pt>
              </c:strCache>
            </c:strRef>
          </c:cat>
          <c:val>
            <c:numRef>
              <c:f>Sheet1!$H$53:$H$54</c:f>
              <c:numCache>
                <c:formatCode>0.00%</c:formatCode>
                <c:ptCount val="2"/>
                <c:pt idx="0">
                  <c:v>2.6548672566371681E-2</c:v>
                </c:pt>
                <c:pt idx="1">
                  <c:v>1.7699115044247787E-2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2F-4706-A10D-7AA774FED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192767"/>
        <c:axId val="67191935"/>
      </c:lineChart>
      <c:catAx>
        <c:axId val="671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6927"/>
        <c:crosses val="autoZero"/>
        <c:auto val="1"/>
        <c:lblAlgn val="ctr"/>
        <c:lblOffset val="100"/>
        <c:noMultiLvlLbl val="0"/>
      </c:catAx>
      <c:valAx>
        <c:axId val="6719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6511"/>
        <c:crosses val="autoZero"/>
        <c:crossBetween val="between"/>
      </c:valAx>
      <c:valAx>
        <c:axId val="6719193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2767"/>
        <c:crosses val="max"/>
        <c:crossBetween val="between"/>
      </c:valAx>
      <c:catAx>
        <c:axId val="671927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719193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[ħ]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Sheet1!$F$56</c:f>
              <c:strCache>
                <c:ptCount val="1"/>
                <c:pt idx="0">
                  <c:v>[h]</c:v>
                </c:pt>
              </c:strCache>
            </c:strRef>
          </c:cat>
          <c:val>
            <c:numRef>
              <c:f>Sheet1!$G$56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5-43C7-BD1F-966A0AA63BB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Sheet1!$F$56</c:f>
              <c:strCache>
                <c:ptCount val="1"/>
                <c:pt idx="0">
                  <c:v>[h]</c:v>
                </c:pt>
              </c:strCache>
            </c:strRef>
          </c:cat>
          <c:val>
            <c:numRef>
              <c:f>Sheet1!$H$56</c:f>
              <c:numCache>
                <c:formatCode>0.00%</c:formatCode>
                <c:ptCount val="1"/>
                <c:pt idx="0">
                  <c:v>8.8607594936708861E-2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85-43C7-BD1F-966A0AA63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10735"/>
        <c:axId val="142506159"/>
      </c:barChart>
      <c:catAx>
        <c:axId val="14251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06159"/>
        <c:crosses val="autoZero"/>
        <c:auto val="1"/>
        <c:lblAlgn val="ctr"/>
        <c:lblOffset val="100"/>
        <c:noMultiLvlLbl val="0"/>
      </c:catAx>
      <c:valAx>
        <c:axId val="14250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107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Sheet1!$F$58:$F$59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Sheet1!$G$58:$G$59</c:f>
              <c:numCache>
                <c:formatCode>General</c:formatCode>
                <c:ptCount val="2"/>
                <c:pt idx="0">
                  <c:v>31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E-457E-A714-71654D0C3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01615"/>
        <c:axId val="5950286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Sheet1!$F$58:$F$59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Sheet1!$H$58:$H$59</c:f>
              <c:numCache>
                <c:formatCode>0.00%</c:formatCode>
                <c:ptCount val="2"/>
                <c:pt idx="0">
                  <c:v>0.39743589743589741</c:v>
                </c:pt>
                <c:pt idx="1">
                  <c:v>1.282051282051282E-2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BE-457E-A714-71654D0C3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25727"/>
        <c:axId val="59499119"/>
      </c:lineChart>
      <c:catAx>
        <c:axId val="5950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02863"/>
        <c:crosses val="autoZero"/>
        <c:auto val="1"/>
        <c:lblAlgn val="ctr"/>
        <c:lblOffset val="100"/>
        <c:noMultiLvlLbl val="0"/>
      </c:catAx>
      <c:valAx>
        <c:axId val="5950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01615"/>
        <c:crosses val="autoZero"/>
        <c:crossBetween val="between"/>
      </c:valAx>
      <c:valAx>
        <c:axId val="5949911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25727"/>
        <c:crosses val="max"/>
        <c:crossBetween val="between"/>
      </c:valAx>
      <c:catAx>
        <c:axId val="1289257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949911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[ʔ]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Sheet1!$F$61:$F$65</c:f>
              <c:strCache>
                <c:ptCount val="5"/>
                <c:pt idx="0">
                  <c:v>[ʕ]</c:v>
                </c:pt>
                <c:pt idx="1">
                  <c:v>[j]</c:v>
                </c:pt>
                <c:pt idx="2">
                  <c:v>[-]</c:v>
                </c:pt>
                <c:pt idx="3">
                  <c:v>[æ:]</c:v>
                </c:pt>
                <c:pt idx="4">
                  <c:v>[t]</c:v>
                </c:pt>
              </c:strCache>
            </c:strRef>
          </c:cat>
          <c:val>
            <c:numRef>
              <c:f>Sheet1!$G$61:$G$65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0-4DB2-827E-8487421D5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89855"/>
        <c:axId val="6719151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Sheet1!$F$61:$F$65</c:f>
              <c:strCache>
                <c:ptCount val="5"/>
                <c:pt idx="0">
                  <c:v>[ʕ]</c:v>
                </c:pt>
                <c:pt idx="1">
                  <c:v>[j]</c:v>
                </c:pt>
                <c:pt idx="2">
                  <c:v>[-]</c:v>
                </c:pt>
                <c:pt idx="3">
                  <c:v>[æ:]</c:v>
                </c:pt>
                <c:pt idx="4">
                  <c:v>[t]</c:v>
                </c:pt>
              </c:strCache>
            </c:strRef>
          </c:cat>
          <c:val>
            <c:numRef>
              <c:f>Sheet1!$H$61:$H$65</c:f>
              <c:numCache>
                <c:formatCode>0.00%</c:formatCode>
                <c:ptCount val="5"/>
                <c:pt idx="0">
                  <c:v>2.403846153846154E-2</c:v>
                </c:pt>
                <c:pt idx="1">
                  <c:v>1.4423076923076924E-2</c:v>
                </c:pt>
                <c:pt idx="2">
                  <c:v>9.6153846153846159E-3</c:v>
                </c:pt>
                <c:pt idx="3">
                  <c:v>9.6153846153846159E-3</c:v>
                </c:pt>
                <c:pt idx="4">
                  <c:v>4.807692307692308E-3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A0-4DB2-827E-8487421D5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193599"/>
        <c:axId val="67193183"/>
      </c:lineChart>
      <c:catAx>
        <c:axId val="6718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1519"/>
        <c:crosses val="autoZero"/>
        <c:auto val="1"/>
        <c:lblAlgn val="ctr"/>
        <c:lblOffset val="100"/>
        <c:noMultiLvlLbl val="0"/>
      </c:catAx>
      <c:valAx>
        <c:axId val="6719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9855"/>
        <c:crosses val="autoZero"/>
        <c:crossBetween val="between"/>
      </c:valAx>
      <c:valAx>
        <c:axId val="6719318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3599"/>
        <c:crosses val="max"/>
        <c:crossBetween val="between"/>
      </c:valAx>
      <c:catAx>
        <c:axId val="671935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719318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[f]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Sheet1!$F$67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Sheet1!$G$67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4-4A58-9ADE-4958EB914EB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Sheet1!$F$67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Sheet1!$H$67</c:f>
              <c:numCache>
                <c:formatCode>0.00%</c:formatCode>
                <c:ptCount val="1"/>
                <c:pt idx="0">
                  <c:v>2.3809523809523808E-2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C4-4A58-9ADE-4958EB914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140911"/>
        <c:axId val="143145903"/>
      </c:barChart>
      <c:catAx>
        <c:axId val="14314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45903"/>
        <c:crosses val="autoZero"/>
        <c:auto val="1"/>
        <c:lblAlgn val="ctr"/>
        <c:lblOffset val="100"/>
        <c:noMultiLvlLbl val="0"/>
      </c:catAx>
      <c:valAx>
        <c:axId val="14314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40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[n]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Sheet1!$F$69:$F$70</c:f>
              <c:strCache>
                <c:ptCount val="2"/>
                <c:pt idx="0">
                  <c:v>[-]</c:v>
                </c:pt>
                <c:pt idx="1">
                  <c:v>[ð]</c:v>
                </c:pt>
              </c:strCache>
            </c:strRef>
          </c:cat>
          <c:val>
            <c:numRef>
              <c:f>Sheet1!$G$69:$G$70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3-4125-9F7E-EFF931B2A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55823"/>
        <c:axId val="14426081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Sheet1!$F$69:$F$70</c:f>
              <c:strCache>
                <c:ptCount val="2"/>
                <c:pt idx="0">
                  <c:v>[-]</c:v>
                </c:pt>
                <c:pt idx="1">
                  <c:v>[ð]</c:v>
                </c:pt>
              </c:strCache>
            </c:strRef>
          </c:cat>
          <c:val>
            <c:numRef>
              <c:f>Sheet1!$H$69:$H$70</c:f>
              <c:numCache>
                <c:formatCode>0.00%</c:formatCode>
                <c:ptCount val="2"/>
                <c:pt idx="0">
                  <c:v>6.3291139240506328E-3</c:v>
                </c:pt>
                <c:pt idx="1">
                  <c:v>6.3291139240506328E-3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33-4125-9F7E-EFF931B2A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61647"/>
        <c:axId val="144253327"/>
      </c:lineChart>
      <c:catAx>
        <c:axId val="14425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0815"/>
        <c:crosses val="autoZero"/>
        <c:auto val="1"/>
        <c:lblAlgn val="ctr"/>
        <c:lblOffset val="100"/>
        <c:noMultiLvlLbl val="0"/>
      </c:catAx>
      <c:valAx>
        <c:axId val="14426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5823"/>
        <c:crosses val="autoZero"/>
        <c:crossBetween val="between"/>
      </c:valAx>
      <c:valAx>
        <c:axId val="14425332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1647"/>
        <c:crosses val="max"/>
        <c:crossBetween val="between"/>
      </c:valAx>
      <c:catAx>
        <c:axId val="1442616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25332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Sheet1!$F$74:$F$78</c:f>
              <c:strCache>
                <c:ptCount val="5"/>
                <c:pt idx="0">
                  <c:v>[p]</c:v>
                </c:pt>
                <c:pt idx="1">
                  <c:v>[pʰ]</c:v>
                </c:pt>
                <c:pt idx="2">
                  <c:v>[m]</c:v>
                </c:pt>
                <c:pt idx="3">
                  <c:v>[t]</c:v>
                </c:pt>
                <c:pt idx="4">
                  <c:v>[-]</c:v>
                </c:pt>
              </c:strCache>
            </c:strRef>
          </c:cat>
          <c:val>
            <c:numRef>
              <c:f>Sheet1!$G$74:$G$78</c:f>
              <c:numCache>
                <c:formatCode>General</c:formatCode>
                <c:ptCount val="5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7-4FF9-8356-6055CA15E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56239"/>
        <c:axId val="14425748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Sheet1!$F$74:$F$78</c:f>
              <c:strCache>
                <c:ptCount val="5"/>
                <c:pt idx="0">
                  <c:v>[p]</c:v>
                </c:pt>
                <c:pt idx="1">
                  <c:v>[pʰ]</c:v>
                </c:pt>
                <c:pt idx="2">
                  <c:v>[m]</c:v>
                </c:pt>
                <c:pt idx="3">
                  <c:v>[t]</c:v>
                </c:pt>
                <c:pt idx="4">
                  <c:v>[-]</c:v>
                </c:pt>
              </c:strCache>
            </c:strRef>
          </c:cat>
          <c:val>
            <c:numRef>
              <c:f>Sheet1!$H$74:$H$78</c:f>
              <c:numCache>
                <c:formatCode>0.00%</c:formatCode>
                <c:ptCount val="5"/>
                <c:pt idx="0">
                  <c:v>3.5502958579881658E-2</c:v>
                </c:pt>
                <c:pt idx="1">
                  <c:v>5.9171597633136093E-3</c:v>
                </c:pt>
                <c:pt idx="2">
                  <c:v>5.9171597633136093E-3</c:v>
                </c:pt>
                <c:pt idx="3">
                  <c:v>5.9171597633136093E-3</c:v>
                </c:pt>
                <c:pt idx="4">
                  <c:v>5.9171597633136093E-3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77-4FF9-8356-6055CA15E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03663"/>
        <c:axId val="144257903"/>
      </c:lineChart>
      <c:catAx>
        <c:axId val="14425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7487"/>
        <c:crosses val="autoZero"/>
        <c:auto val="1"/>
        <c:lblAlgn val="ctr"/>
        <c:lblOffset val="100"/>
        <c:noMultiLvlLbl val="0"/>
      </c:catAx>
      <c:valAx>
        <c:axId val="14425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6239"/>
        <c:crosses val="autoZero"/>
        <c:crossBetween val="between"/>
      </c:valAx>
      <c:valAx>
        <c:axId val="1442579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03663"/>
        <c:crosses val="max"/>
        <c:crossBetween val="between"/>
      </c:valAx>
      <c:catAx>
        <c:axId val="142503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25790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Sheet1!$F$80:$F$81</c:f>
              <c:strCache>
                <c:ptCount val="2"/>
                <c:pt idx="0">
                  <c:v>[t]</c:v>
                </c:pt>
                <c:pt idx="1">
                  <c:v>[tʰ]</c:v>
                </c:pt>
              </c:strCache>
            </c:strRef>
          </c:cat>
          <c:val>
            <c:numRef>
              <c:f>Sheet1!$G$80:$G$81</c:f>
              <c:numCache>
                <c:formatCode>General</c:formatCode>
                <c:ptCount val="2"/>
                <c:pt idx="0">
                  <c:v>9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3-4915-9AC0-35D634A1B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155471"/>
        <c:axId val="14313966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Sheet1!$F$80:$F$81</c:f>
              <c:strCache>
                <c:ptCount val="2"/>
                <c:pt idx="0">
                  <c:v>[t]</c:v>
                </c:pt>
                <c:pt idx="1">
                  <c:v>[tʰ]</c:v>
                </c:pt>
              </c:strCache>
            </c:strRef>
          </c:cat>
          <c:val>
            <c:numRef>
              <c:f>Sheet1!$H$80:$H$81</c:f>
              <c:numCache>
                <c:formatCode>0.00%</c:formatCode>
                <c:ptCount val="2"/>
                <c:pt idx="0">
                  <c:v>0.16071428571428573</c:v>
                </c:pt>
                <c:pt idx="1">
                  <c:v>5.3571428571428568E-2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33-4915-9AC0-35D634A1B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44655"/>
        <c:axId val="143140079"/>
      </c:lineChart>
      <c:catAx>
        <c:axId val="14315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39663"/>
        <c:crosses val="autoZero"/>
        <c:auto val="1"/>
        <c:lblAlgn val="ctr"/>
        <c:lblOffset val="100"/>
        <c:noMultiLvlLbl val="0"/>
      </c:catAx>
      <c:valAx>
        <c:axId val="14313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55471"/>
        <c:crosses val="autoZero"/>
        <c:crossBetween val="between"/>
      </c:valAx>
      <c:valAx>
        <c:axId val="14314007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44655"/>
        <c:crosses val="max"/>
        <c:crossBetween val="between"/>
      </c:valAx>
      <c:catAx>
        <c:axId val="143144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14007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Sheet1!$F$83:$F$86</c:f>
              <c:strCache>
                <c:ptCount val="4"/>
                <c:pt idx="0">
                  <c:v>[t͡s]</c:v>
                </c:pt>
                <c:pt idx="1">
                  <c:v>[tʰ]</c:v>
                </c:pt>
                <c:pt idx="2">
                  <c:v>[ħ]</c:v>
                </c:pt>
                <c:pt idx="3">
                  <c:v>[d]</c:v>
                </c:pt>
              </c:strCache>
            </c:strRef>
          </c:cat>
          <c:val>
            <c:numRef>
              <c:f>Sheet1!$G$83:$G$86</c:f>
              <c:numCache>
                <c:formatCode>General</c:formatCode>
                <c:ptCount val="4"/>
                <c:pt idx="0">
                  <c:v>22</c:v>
                </c:pt>
                <c:pt idx="1">
                  <c:v>13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6-43AA-A6D4-8CB136B63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06991"/>
        <c:axId val="14250491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Sheet1!$F$83:$F$86</c:f>
              <c:strCache>
                <c:ptCount val="4"/>
                <c:pt idx="0">
                  <c:v>[t͡s]</c:v>
                </c:pt>
                <c:pt idx="1">
                  <c:v>[tʰ]</c:v>
                </c:pt>
                <c:pt idx="2">
                  <c:v>[ħ]</c:v>
                </c:pt>
                <c:pt idx="3">
                  <c:v>[d]</c:v>
                </c:pt>
              </c:strCache>
            </c:strRef>
          </c:cat>
          <c:val>
            <c:numRef>
              <c:f>Sheet1!$H$83:$H$86</c:f>
              <c:numCache>
                <c:formatCode>0.00%</c:formatCode>
                <c:ptCount val="4"/>
                <c:pt idx="0">
                  <c:v>0.1476510067114094</c:v>
                </c:pt>
                <c:pt idx="1">
                  <c:v>8.7248322147651006E-2</c:v>
                </c:pt>
                <c:pt idx="2">
                  <c:v>6.7114093959731542E-3</c:v>
                </c:pt>
                <c:pt idx="3">
                  <c:v>6.7114093959731542E-3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16-43AA-A6D4-8CB136B63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09487"/>
        <c:axId val="142508655"/>
      </c:lineChart>
      <c:catAx>
        <c:axId val="14250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04911"/>
        <c:crosses val="autoZero"/>
        <c:auto val="1"/>
        <c:lblAlgn val="ctr"/>
        <c:lblOffset val="100"/>
        <c:noMultiLvlLbl val="0"/>
      </c:catAx>
      <c:valAx>
        <c:axId val="14250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06991"/>
        <c:crosses val="autoZero"/>
        <c:crossBetween val="between"/>
      </c:valAx>
      <c:valAx>
        <c:axId val="14250865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09487"/>
        <c:crosses val="max"/>
        <c:crossBetween val="between"/>
      </c:valAx>
      <c:catAx>
        <c:axId val="1425094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50865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Sheet1!$F$88:$F$95</c:f>
              <c:strCache>
                <c:ptCount val="8"/>
                <c:pt idx="0">
                  <c:v>[t]</c:v>
                </c:pt>
                <c:pt idx="1">
                  <c:v>[d̥]</c:v>
                </c:pt>
                <c:pt idx="2">
                  <c:v>[n]</c:v>
                </c:pt>
                <c:pt idx="3">
                  <c:v>[t͡s]</c:v>
                </c:pt>
                <c:pt idx="4">
                  <c:v>[z]</c:v>
                </c:pt>
                <c:pt idx="5">
                  <c:v>[tʰ]</c:v>
                </c:pt>
                <c:pt idx="6">
                  <c:v>[d͡z]</c:v>
                </c:pt>
                <c:pt idx="7">
                  <c:v>[l]</c:v>
                </c:pt>
              </c:strCache>
            </c:strRef>
          </c:cat>
          <c:val>
            <c:numRef>
              <c:f>Sheet1!$G$88:$G$95</c:f>
              <c:numCache>
                <c:formatCode>General</c:formatCode>
                <c:ptCount val="8"/>
                <c:pt idx="0">
                  <c:v>12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5-45F8-A154-C0714A74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150063"/>
        <c:axId val="14315297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Sheet1!$F$88:$F$95</c:f>
              <c:strCache>
                <c:ptCount val="8"/>
                <c:pt idx="0">
                  <c:v>[t]</c:v>
                </c:pt>
                <c:pt idx="1">
                  <c:v>[d̥]</c:v>
                </c:pt>
                <c:pt idx="2">
                  <c:v>[n]</c:v>
                </c:pt>
                <c:pt idx="3">
                  <c:v>[t͡s]</c:v>
                </c:pt>
                <c:pt idx="4">
                  <c:v>[z]</c:v>
                </c:pt>
                <c:pt idx="5">
                  <c:v>[tʰ]</c:v>
                </c:pt>
                <c:pt idx="6">
                  <c:v>[d͡z]</c:v>
                </c:pt>
                <c:pt idx="7">
                  <c:v>[l]</c:v>
                </c:pt>
              </c:strCache>
            </c:strRef>
          </c:cat>
          <c:val>
            <c:numRef>
              <c:f>Sheet1!$H$88:$H$95</c:f>
              <c:numCache>
                <c:formatCode>0.00%</c:formatCode>
                <c:ptCount val="8"/>
                <c:pt idx="0">
                  <c:v>8.8235294117647065E-2</c:v>
                </c:pt>
                <c:pt idx="1">
                  <c:v>4.4117647058823532E-2</c:v>
                </c:pt>
                <c:pt idx="2">
                  <c:v>2.2058823529411766E-2</c:v>
                </c:pt>
                <c:pt idx="3">
                  <c:v>1.4705882352941176E-2</c:v>
                </c:pt>
                <c:pt idx="4">
                  <c:v>1.4705882352941176E-2</c:v>
                </c:pt>
                <c:pt idx="5">
                  <c:v>7.3529411764705881E-3</c:v>
                </c:pt>
                <c:pt idx="6">
                  <c:v>7.3529411764705881E-3</c:v>
                </c:pt>
                <c:pt idx="7">
                  <c:v>7.3529411764705881E-3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5-45F8-A154-C0714A74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54639"/>
        <c:axId val="143153391"/>
      </c:lineChart>
      <c:catAx>
        <c:axId val="14315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52975"/>
        <c:crosses val="autoZero"/>
        <c:auto val="1"/>
        <c:lblAlgn val="ctr"/>
        <c:lblOffset val="100"/>
        <c:noMultiLvlLbl val="0"/>
      </c:catAx>
      <c:valAx>
        <c:axId val="14315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50063"/>
        <c:crosses val="autoZero"/>
        <c:crossBetween val="between"/>
      </c:valAx>
      <c:valAx>
        <c:axId val="14315339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54639"/>
        <c:crosses val="max"/>
        <c:crossBetween val="between"/>
      </c:valAx>
      <c:catAx>
        <c:axId val="143154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15339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Sheet1!$F$97:$F$98</c:f>
              <c:strCache>
                <c:ptCount val="2"/>
                <c:pt idx="0">
                  <c:v>[d]</c:v>
                </c:pt>
                <c:pt idx="1">
                  <c:v>[tˤ]</c:v>
                </c:pt>
              </c:strCache>
            </c:strRef>
          </c:cat>
          <c:val>
            <c:numRef>
              <c:f>Sheet1!$G$97:$G$98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D-40E1-8AD8-D13AC1476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6132191"/>
        <c:axId val="23612844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Sheet1!$F$97:$F$98</c:f>
              <c:strCache>
                <c:ptCount val="2"/>
                <c:pt idx="0">
                  <c:v>[d]</c:v>
                </c:pt>
                <c:pt idx="1">
                  <c:v>[tˤ]</c:v>
                </c:pt>
              </c:strCache>
            </c:strRef>
          </c:cat>
          <c:val>
            <c:numRef>
              <c:f>Sheet1!$H$97:$H$98</c:f>
              <c:numCache>
                <c:formatCode>0.00%</c:formatCode>
                <c:ptCount val="2"/>
                <c:pt idx="0">
                  <c:v>0.2</c:v>
                </c:pt>
                <c:pt idx="1">
                  <c:v>3.3333333333333333E-2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D-40E1-8AD8-D13AC1476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99919"/>
        <c:axId val="142499503"/>
      </c:lineChart>
      <c:catAx>
        <c:axId val="23613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128447"/>
        <c:crosses val="autoZero"/>
        <c:auto val="1"/>
        <c:lblAlgn val="ctr"/>
        <c:lblOffset val="100"/>
        <c:noMultiLvlLbl val="0"/>
      </c:catAx>
      <c:valAx>
        <c:axId val="23612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132191"/>
        <c:crosses val="autoZero"/>
        <c:crossBetween val="between"/>
      </c:valAx>
      <c:valAx>
        <c:axId val="1424995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99919"/>
        <c:crosses val="max"/>
        <c:crossBetween val="between"/>
      </c:valAx>
      <c:catAx>
        <c:axId val="142499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49950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[w]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Sheet1!$F$100</c:f>
              <c:strCache>
                <c:ptCount val="1"/>
                <c:pt idx="0">
                  <c:v>[u:]</c:v>
                </c:pt>
              </c:strCache>
            </c:strRef>
          </c:cat>
          <c:val>
            <c:numRef>
              <c:f>Sheet1!$G$100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B-445E-8AEA-8DECE684D3B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Sheet1!$F$100</c:f>
              <c:strCache>
                <c:ptCount val="1"/>
                <c:pt idx="0">
                  <c:v>[u:]</c:v>
                </c:pt>
              </c:strCache>
            </c:strRef>
          </c:cat>
          <c:val>
            <c:numRef>
              <c:f>Sheet1!$H$100</c:f>
              <c:numCache>
                <c:formatCode>0.00%</c:formatCode>
                <c:ptCount val="1"/>
                <c:pt idx="0">
                  <c:v>4.3956043956043959E-2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1B-445E-8AEA-8DECE684D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49999"/>
        <c:axId val="144253743"/>
      </c:barChart>
      <c:catAx>
        <c:axId val="14424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3743"/>
        <c:crosses val="autoZero"/>
        <c:auto val="1"/>
        <c:lblAlgn val="ctr"/>
        <c:lblOffset val="100"/>
        <c:noMultiLvlLbl val="0"/>
      </c:catAx>
      <c:valAx>
        <c:axId val="14425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499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 structure processes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Sheet4!$D$2:$D$19</c:f>
              <c:strCache>
                <c:ptCount val="18"/>
                <c:pt idx="0">
                  <c:v>degemination(reduce consonant cluster to one single consonant)</c:v>
                </c:pt>
                <c:pt idx="1">
                  <c:v>Epenthesis(insert vowel [u:] between  consnant cluster)</c:v>
                </c:pt>
                <c:pt idx="2">
                  <c:v>Epenthesis(insert vowel [i:] between  consnant cluster)</c:v>
                </c:pt>
                <c:pt idx="3">
                  <c:v>Epenthesis(insert vowel [ʊ] between  consnant cluster)</c:v>
                </c:pt>
                <c:pt idx="4">
                  <c:v>Epenthesis(insertion of [ ɑ] phone between consonant cluster)</c:v>
                </c:pt>
                <c:pt idx="5">
                  <c:v>Epenthesis(insertion of [ æ] phone between consonant cluster)</c:v>
                </c:pt>
                <c:pt idx="6">
                  <c:v>Epenthesis(insertion of [ɪ] phone between consonant cluster)</c:v>
                </c:pt>
                <c:pt idx="7">
                  <c:v>final consonant deletion</c:v>
                </c:pt>
                <c:pt idx="8">
                  <c:v>syllable structure process (final syllable deletion)</c:v>
                </c:pt>
                <c:pt idx="9">
                  <c:v>germination</c:v>
                </c:pt>
                <c:pt idx="10">
                  <c:v>Metathesis</c:v>
                </c:pt>
                <c:pt idx="11">
                  <c:v>syllable structure process (weak syllable deletion)</c:v>
                </c:pt>
                <c:pt idx="12">
                  <c:v>Monophthongization </c:v>
                </c:pt>
                <c:pt idx="13">
                  <c:v>Reduplication</c:v>
                </c:pt>
                <c:pt idx="14">
                  <c:v>syllable structure process (consonant insertion of  [n] phone)</c:v>
                </c:pt>
                <c:pt idx="15">
                  <c:v>syllable structure process (consonant insertion of  [r] phone)</c:v>
                </c:pt>
                <c:pt idx="16">
                  <c:v>syllable structure process (first syllable deletion) </c:v>
                </c:pt>
                <c:pt idx="17">
                  <c:v>Diphthongization</c:v>
                </c:pt>
              </c:strCache>
            </c:strRef>
          </c:cat>
          <c:val>
            <c:numRef>
              <c:f>Sheet4!$E$2:$E$19</c:f>
              <c:numCache>
                <c:formatCode>General</c:formatCode>
                <c:ptCount val="18"/>
                <c:pt idx="0">
                  <c:v>21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8</c:v>
                </c:pt>
                <c:pt idx="5">
                  <c:v>15</c:v>
                </c:pt>
                <c:pt idx="6">
                  <c:v>2</c:v>
                </c:pt>
                <c:pt idx="7">
                  <c:v>31</c:v>
                </c:pt>
                <c:pt idx="8">
                  <c:v>11</c:v>
                </c:pt>
                <c:pt idx="9">
                  <c:v>8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C-4A47-9858-B8441E9DF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6120543"/>
        <c:axId val="23612095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AB-4478-B767-1A2AE656FCAC}"/>
              </c:ext>
            </c:extLst>
          </c:dPt>
          <c:cat>
            <c:strRef>
              <c:f>Sheet4!$D$2:$D$19</c:f>
              <c:strCache>
                <c:ptCount val="18"/>
                <c:pt idx="0">
                  <c:v>degemination(reduce consonant cluster to one single consonant)</c:v>
                </c:pt>
                <c:pt idx="1">
                  <c:v>Epenthesis(insert vowel [u:] between  consnant cluster)</c:v>
                </c:pt>
                <c:pt idx="2">
                  <c:v>Epenthesis(insert vowel [i:] between  consnant cluster)</c:v>
                </c:pt>
                <c:pt idx="3">
                  <c:v>Epenthesis(insert vowel [ʊ] between  consnant cluster)</c:v>
                </c:pt>
                <c:pt idx="4">
                  <c:v>Epenthesis(insertion of [ ɑ] phone between consonant cluster)</c:v>
                </c:pt>
                <c:pt idx="5">
                  <c:v>Epenthesis(insertion of [ æ] phone between consonant cluster)</c:v>
                </c:pt>
                <c:pt idx="6">
                  <c:v>Epenthesis(insertion of [ɪ] phone between consonant cluster)</c:v>
                </c:pt>
                <c:pt idx="7">
                  <c:v>final consonant deletion</c:v>
                </c:pt>
                <c:pt idx="8">
                  <c:v>syllable structure process (final syllable deletion)</c:v>
                </c:pt>
                <c:pt idx="9">
                  <c:v>germination</c:v>
                </c:pt>
                <c:pt idx="10">
                  <c:v>Metathesis</c:v>
                </c:pt>
                <c:pt idx="11">
                  <c:v>syllable structure process (weak syllable deletion)</c:v>
                </c:pt>
                <c:pt idx="12">
                  <c:v>Monophthongization </c:v>
                </c:pt>
                <c:pt idx="13">
                  <c:v>Reduplication</c:v>
                </c:pt>
                <c:pt idx="14">
                  <c:v>syllable structure process (consonant insertion of  [n] phone)</c:v>
                </c:pt>
                <c:pt idx="15">
                  <c:v>syllable structure process (consonant insertion of  [r] phone)</c:v>
                </c:pt>
                <c:pt idx="16">
                  <c:v>syllable structure process (first syllable deletion) </c:v>
                </c:pt>
                <c:pt idx="17">
                  <c:v>Diphthongization</c:v>
                </c:pt>
              </c:strCache>
            </c:strRef>
          </c:cat>
          <c:val>
            <c:numRef>
              <c:f>Sheet4!$F$2:$F$19</c:f>
              <c:numCache>
                <c:formatCode>0.00%</c:formatCode>
                <c:ptCount val="18"/>
                <c:pt idx="0">
                  <c:v>0.25301204819277107</c:v>
                </c:pt>
                <c:pt idx="1">
                  <c:v>4.1493775933609959E-3</c:v>
                </c:pt>
                <c:pt idx="2">
                  <c:v>8.2987551867219917E-3</c:v>
                </c:pt>
                <c:pt idx="3">
                  <c:v>1.2448132780082987E-2</c:v>
                </c:pt>
                <c:pt idx="4">
                  <c:v>3.3195020746887967E-2</c:v>
                </c:pt>
                <c:pt idx="5">
                  <c:v>6.2240663900414939E-2</c:v>
                </c:pt>
                <c:pt idx="6">
                  <c:v>8.2987551867219917E-3</c:v>
                </c:pt>
                <c:pt idx="7">
                  <c:v>7.4519230769230768E-2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8C-4A47-9858-B8441E9DF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123871"/>
        <c:axId val="236123039"/>
      </c:lineChart>
      <c:catAx>
        <c:axId val="23612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120959"/>
        <c:crosses val="autoZero"/>
        <c:auto val="1"/>
        <c:lblAlgn val="ctr"/>
        <c:lblOffset val="100"/>
        <c:noMultiLvlLbl val="0"/>
      </c:catAx>
      <c:valAx>
        <c:axId val="23612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120543"/>
        <c:crosses val="autoZero"/>
        <c:crossBetween val="between"/>
      </c:valAx>
      <c:valAx>
        <c:axId val="236123039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236123871"/>
        <c:crosses val="max"/>
        <c:crossBetween val="between"/>
      </c:valAx>
      <c:catAx>
        <c:axId val="2361238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612303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Sheet3!$C$2:$C$24</c:f>
              <c:strCache>
                <c:ptCount val="23"/>
                <c:pt idx="0">
                  <c:v>Definite Article deletion</c:v>
                </c:pt>
                <c:pt idx="1">
                  <c:v>insertion of  Definite Article[æl] to the following word</c:v>
                </c:pt>
                <c:pt idx="2">
                  <c:v>replace the Modern Standard Arabic consonant [ð]with the colloquial arabic consonant [z]</c:v>
                </c:pt>
                <c:pt idx="3">
                  <c:v>Deletion of feminine marker</c:v>
                </c:pt>
                <c:pt idx="4">
                  <c:v>replace feminine with masculine</c:v>
                </c:pt>
                <c:pt idx="5">
                  <c:v>replace the Modern Standard Arabic consonant [θ]with the colloquial arabic consonant [s]</c:v>
                </c:pt>
                <c:pt idx="6">
                  <c:v>insertion of  Definite Article to the following word</c:v>
                </c:pt>
                <c:pt idx="7">
                  <c:v>replace the Modern Standard Arabic diphthong [æw]with the colloquial arabic vowel[o:]</c:v>
                </c:pt>
                <c:pt idx="8">
                  <c:v>replace the Modern Standard Arabic diphthong [æj]with the colloquial arabic vowel[e:]</c:v>
                </c:pt>
                <c:pt idx="9">
                  <c:v>replace the Modern Standard Arabic consonant [d͡ʒ]with the colloquial arabic consonant [g]</c:v>
                </c:pt>
                <c:pt idx="10">
                  <c:v>replace  [j]with  [i:] affected by colloquial Arabic</c:v>
                </c:pt>
                <c:pt idx="11">
                  <c:v>consonant deletion  of [ʔ] phone affected by colloquial Arabic</c:v>
                </c:pt>
                <c:pt idx="12">
                  <c:v>replace the Modern Standard Arabic consonant [ðˤ]with the colloquial arabic consonant [zˤ]</c:v>
                </c:pt>
                <c:pt idx="13">
                  <c:v>replace the Modern Standard Arabic adjective with the Colloquial Arabic one</c:v>
                </c:pt>
                <c:pt idx="14">
                  <c:v>replace  [ʔ]with  [j] affected by colloquial arabic</c:v>
                </c:pt>
                <c:pt idx="15">
                  <c:v>insertion of  Definite Article</c:v>
                </c:pt>
                <c:pt idx="16">
                  <c:v>replace the Modern Standard Arabic consonant [q]with the colloquial arabic consonant [ʔ]</c:v>
                </c:pt>
                <c:pt idx="17">
                  <c:v>misreading</c:v>
                </c:pt>
                <c:pt idx="18">
                  <c:v>consonant insertion of  [h] phone in final position</c:v>
                </c:pt>
                <c:pt idx="19">
                  <c:v>replace the Modern Standard Arabic diphthong [ ɑj]with the colloquial arabic vowel[e:]</c:v>
                </c:pt>
                <c:pt idx="20">
                  <c:v>replace the Modern Standard Arabic diphthong [æw]with the colloquial arabic vowel[u:]</c:v>
                </c:pt>
                <c:pt idx="21">
                  <c:v>replace the Modern Standard Arabic diphthong [ɑw]with the colloquial arabic vowel[o:]</c:v>
                </c:pt>
                <c:pt idx="22">
                  <c:v>final consonant deletion affected by colloquial arabic</c:v>
                </c:pt>
              </c:strCache>
            </c:strRef>
          </c:cat>
          <c:val>
            <c:numRef>
              <c:f>Sheet3!$D$2:$D$24</c:f>
              <c:numCache>
                <c:formatCode>General</c:formatCode>
                <c:ptCount val="23"/>
                <c:pt idx="0">
                  <c:v>17</c:v>
                </c:pt>
                <c:pt idx="1">
                  <c:v>17</c:v>
                </c:pt>
                <c:pt idx="2">
                  <c:v>15</c:v>
                </c:pt>
                <c:pt idx="3">
                  <c:v>13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A-4146-B053-8ABF6330B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6130943"/>
        <c:axId val="23613135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Sheet3!$C$2:$C$24</c:f>
              <c:strCache>
                <c:ptCount val="23"/>
                <c:pt idx="0">
                  <c:v>Definite Article deletion</c:v>
                </c:pt>
                <c:pt idx="1">
                  <c:v>insertion of  Definite Article[æl] to the following word</c:v>
                </c:pt>
                <c:pt idx="2">
                  <c:v>replace the Modern Standard Arabic consonant [ð]with the colloquial arabic consonant [z]</c:v>
                </c:pt>
                <c:pt idx="3">
                  <c:v>Deletion of feminine marker</c:v>
                </c:pt>
                <c:pt idx="4">
                  <c:v>replace feminine with masculine</c:v>
                </c:pt>
                <c:pt idx="5">
                  <c:v>replace the Modern Standard Arabic consonant [θ]with the colloquial arabic consonant [s]</c:v>
                </c:pt>
                <c:pt idx="6">
                  <c:v>insertion of  Definite Article to the following word</c:v>
                </c:pt>
                <c:pt idx="7">
                  <c:v>replace the Modern Standard Arabic diphthong [æw]with the colloquial arabic vowel[o:]</c:v>
                </c:pt>
                <c:pt idx="8">
                  <c:v>replace the Modern Standard Arabic diphthong [æj]with the colloquial arabic vowel[e:]</c:v>
                </c:pt>
                <c:pt idx="9">
                  <c:v>replace the Modern Standard Arabic consonant [d͡ʒ]with the colloquial arabic consonant [g]</c:v>
                </c:pt>
                <c:pt idx="10">
                  <c:v>replace  [j]with  [i:] affected by colloquial Arabic</c:v>
                </c:pt>
                <c:pt idx="11">
                  <c:v>consonant deletion  of [ʔ] phone affected by colloquial Arabic</c:v>
                </c:pt>
                <c:pt idx="12">
                  <c:v>replace the Modern Standard Arabic consonant [ðˤ]with the colloquial arabic consonant [zˤ]</c:v>
                </c:pt>
                <c:pt idx="13">
                  <c:v>replace the Modern Standard Arabic adjective with the Colloquial Arabic one</c:v>
                </c:pt>
                <c:pt idx="14">
                  <c:v>replace  [ʔ]with  [j] affected by colloquial arabic</c:v>
                </c:pt>
                <c:pt idx="15">
                  <c:v>insertion of  Definite Article</c:v>
                </c:pt>
                <c:pt idx="16">
                  <c:v>replace the Modern Standard Arabic consonant [q]with the colloquial arabic consonant [ʔ]</c:v>
                </c:pt>
                <c:pt idx="17">
                  <c:v>misreading</c:v>
                </c:pt>
                <c:pt idx="18">
                  <c:v>consonant insertion of  [h] phone in final position</c:v>
                </c:pt>
                <c:pt idx="19">
                  <c:v>replace the Modern Standard Arabic diphthong [ ɑj]with the colloquial arabic vowel[e:]</c:v>
                </c:pt>
                <c:pt idx="20">
                  <c:v>replace the Modern Standard Arabic diphthong [æw]with the colloquial arabic vowel[u:]</c:v>
                </c:pt>
                <c:pt idx="21">
                  <c:v>replace the Modern Standard Arabic diphthong [ɑw]with the colloquial arabic vowel[o:]</c:v>
                </c:pt>
                <c:pt idx="22">
                  <c:v>final consonant deletion affected by colloquial arabic</c:v>
                </c:pt>
              </c:strCache>
            </c:strRef>
          </c:cat>
          <c:val>
            <c:numRef>
              <c:f>Sheet3!$E$2:$E$24</c:f>
              <c:numCache>
                <c:formatCode>0.00%</c:formatCode>
                <c:ptCount val="23"/>
                <c:pt idx="0">
                  <c:v>0.12056737588652482</c:v>
                </c:pt>
                <c:pt idx="7">
                  <c:v>0.1875</c:v>
                </c:pt>
                <c:pt idx="8">
                  <c:v>0.20833333333333334</c:v>
                </c:pt>
                <c:pt idx="19">
                  <c:v>0.14285714285714285</c:v>
                </c:pt>
                <c:pt idx="20">
                  <c:v>3.125E-2</c:v>
                </c:pt>
                <c:pt idx="21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1A-4146-B053-8ABF6330B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122623"/>
        <c:axId val="236123455"/>
      </c:lineChart>
      <c:catAx>
        <c:axId val="23613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131359"/>
        <c:crosses val="autoZero"/>
        <c:auto val="1"/>
        <c:lblAlgn val="ctr"/>
        <c:lblOffset val="100"/>
        <c:noMultiLvlLbl val="0"/>
      </c:catAx>
      <c:valAx>
        <c:axId val="23613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130943"/>
        <c:crosses val="autoZero"/>
        <c:crossBetween val="between"/>
      </c:valAx>
      <c:valAx>
        <c:axId val="236123455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236122623"/>
        <c:crosses val="max"/>
        <c:crossBetween val="between"/>
      </c:valAx>
      <c:catAx>
        <c:axId val="2361226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612345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1</xdr:row>
      <xdr:rowOff>22860</xdr:rowOff>
    </xdr:from>
    <xdr:to>
      <xdr:col>15</xdr:col>
      <xdr:colOff>320040</xdr:colOff>
      <xdr:row>7</xdr:row>
      <xdr:rowOff>708660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262890</xdr:rowOff>
    </xdr:from>
    <xdr:to>
      <xdr:col>15</xdr:col>
      <xdr:colOff>304800</xdr:colOff>
      <xdr:row>11</xdr:row>
      <xdr:rowOff>2118360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45720</xdr:colOff>
      <xdr:row>13</xdr:row>
      <xdr:rowOff>137160</xdr:rowOff>
    </xdr:from>
    <xdr:to>
      <xdr:col>15</xdr:col>
      <xdr:colOff>350520</xdr:colOff>
      <xdr:row>14</xdr:row>
      <xdr:rowOff>1150620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</xdr:colOff>
      <xdr:row>16</xdr:row>
      <xdr:rowOff>60960</xdr:rowOff>
    </xdr:from>
    <xdr:to>
      <xdr:col>15</xdr:col>
      <xdr:colOff>312420</xdr:colOff>
      <xdr:row>16</xdr:row>
      <xdr:rowOff>1630680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15240</xdr:colOff>
      <xdr:row>20</xdr:row>
      <xdr:rowOff>83820</xdr:rowOff>
    </xdr:from>
    <xdr:to>
      <xdr:col>15</xdr:col>
      <xdr:colOff>320040</xdr:colOff>
      <xdr:row>23</xdr:row>
      <xdr:rowOff>731520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30480</xdr:colOff>
      <xdr:row>25</xdr:row>
      <xdr:rowOff>76200</xdr:rowOff>
    </xdr:from>
    <xdr:to>
      <xdr:col>15</xdr:col>
      <xdr:colOff>335280</xdr:colOff>
      <xdr:row>26</xdr:row>
      <xdr:rowOff>1234440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38100</xdr:colOff>
      <xdr:row>28</xdr:row>
      <xdr:rowOff>60960</xdr:rowOff>
    </xdr:from>
    <xdr:to>
      <xdr:col>15</xdr:col>
      <xdr:colOff>342900</xdr:colOff>
      <xdr:row>28</xdr:row>
      <xdr:rowOff>1752600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7620</xdr:colOff>
      <xdr:row>30</xdr:row>
      <xdr:rowOff>83820</xdr:rowOff>
    </xdr:from>
    <xdr:to>
      <xdr:col>15</xdr:col>
      <xdr:colOff>312420</xdr:colOff>
      <xdr:row>34</xdr:row>
      <xdr:rowOff>708660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0</xdr:colOff>
      <xdr:row>36</xdr:row>
      <xdr:rowOff>91440</xdr:rowOff>
    </xdr:from>
    <xdr:to>
      <xdr:col>15</xdr:col>
      <xdr:colOff>304800</xdr:colOff>
      <xdr:row>39</xdr:row>
      <xdr:rowOff>731520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22860</xdr:colOff>
      <xdr:row>43</xdr:row>
      <xdr:rowOff>45720</xdr:rowOff>
    </xdr:from>
    <xdr:to>
      <xdr:col>15</xdr:col>
      <xdr:colOff>327660</xdr:colOff>
      <xdr:row>44</xdr:row>
      <xdr:rowOff>304800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30480</xdr:colOff>
      <xdr:row>46</xdr:row>
      <xdr:rowOff>76200</xdr:rowOff>
    </xdr:from>
    <xdr:to>
      <xdr:col>15</xdr:col>
      <xdr:colOff>335280</xdr:colOff>
      <xdr:row>50</xdr:row>
      <xdr:rowOff>746760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38100</xdr:colOff>
      <xdr:row>52</xdr:row>
      <xdr:rowOff>53340</xdr:rowOff>
    </xdr:from>
    <xdr:to>
      <xdr:col>15</xdr:col>
      <xdr:colOff>342900</xdr:colOff>
      <xdr:row>53</xdr:row>
      <xdr:rowOff>1524000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15240</xdr:colOff>
      <xdr:row>55</xdr:row>
      <xdr:rowOff>3810</xdr:rowOff>
    </xdr:from>
    <xdr:to>
      <xdr:col>15</xdr:col>
      <xdr:colOff>320040</xdr:colOff>
      <xdr:row>55</xdr:row>
      <xdr:rowOff>1897380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53340</xdr:colOff>
      <xdr:row>57</xdr:row>
      <xdr:rowOff>68580</xdr:rowOff>
    </xdr:from>
    <xdr:to>
      <xdr:col>15</xdr:col>
      <xdr:colOff>358140</xdr:colOff>
      <xdr:row>58</xdr:row>
      <xdr:rowOff>1973580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22860</xdr:colOff>
      <xdr:row>60</xdr:row>
      <xdr:rowOff>45720</xdr:rowOff>
    </xdr:from>
    <xdr:to>
      <xdr:col>15</xdr:col>
      <xdr:colOff>327660</xdr:colOff>
      <xdr:row>64</xdr:row>
      <xdr:rowOff>701040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30480</xdr:colOff>
      <xdr:row>66</xdr:row>
      <xdr:rowOff>60960</xdr:rowOff>
    </xdr:from>
    <xdr:to>
      <xdr:col>15</xdr:col>
      <xdr:colOff>335280</xdr:colOff>
      <xdr:row>66</xdr:row>
      <xdr:rowOff>1584960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22860</xdr:colOff>
      <xdr:row>68</xdr:row>
      <xdr:rowOff>297180</xdr:rowOff>
    </xdr:from>
    <xdr:to>
      <xdr:col>15</xdr:col>
      <xdr:colOff>327660</xdr:colOff>
      <xdr:row>69</xdr:row>
      <xdr:rowOff>1165860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30480</xdr:colOff>
      <xdr:row>73</xdr:row>
      <xdr:rowOff>53340</xdr:rowOff>
    </xdr:from>
    <xdr:to>
      <xdr:col>15</xdr:col>
      <xdr:colOff>502920</xdr:colOff>
      <xdr:row>77</xdr:row>
      <xdr:rowOff>723900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22860</xdr:colOff>
      <xdr:row>79</xdr:row>
      <xdr:rowOff>76200</xdr:rowOff>
    </xdr:from>
    <xdr:to>
      <xdr:col>15</xdr:col>
      <xdr:colOff>441960</xdr:colOff>
      <xdr:row>80</xdr:row>
      <xdr:rowOff>1325880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45720</xdr:colOff>
      <xdr:row>82</xdr:row>
      <xdr:rowOff>129540</xdr:rowOff>
    </xdr:from>
    <xdr:to>
      <xdr:col>15</xdr:col>
      <xdr:colOff>350520</xdr:colOff>
      <xdr:row>85</xdr:row>
      <xdr:rowOff>754380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15240</xdr:colOff>
      <xdr:row>87</xdr:row>
      <xdr:rowOff>15240</xdr:rowOff>
    </xdr:from>
    <xdr:to>
      <xdr:col>15</xdr:col>
      <xdr:colOff>320040</xdr:colOff>
      <xdr:row>94</xdr:row>
      <xdr:rowOff>701040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22860</xdr:colOff>
      <xdr:row>96</xdr:row>
      <xdr:rowOff>30480</xdr:rowOff>
    </xdr:from>
    <xdr:to>
      <xdr:col>15</xdr:col>
      <xdr:colOff>327660</xdr:colOff>
      <xdr:row>97</xdr:row>
      <xdr:rowOff>1287780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60960</xdr:colOff>
      <xdr:row>99</xdr:row>
      <xdr:rowOff>76200</xdr:rowOff>
    </xdr:from>
    <xdr:to>
      <xdr:col>15</xdr:col>
      <xdr:colOff>365760</xdr:colOff>
      <xdr:row>99</xdr:row>
      <xdr:rowOff>1821180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0</xdr:row>
      <xdr:rowOff>68580</xdr:rowOff>
    </xdr:from>
    <xdr:to>
      <xdr:col>21</xdr:col>
      <xdr:colOff>53340</xdr:colOff>
      <xdr:row>19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0</xdr:row>
      <xdr:rowOff>461010</xdr:rowOff>
    </xdr:from>
    <xdr:to>
      <xdr:col>26</xdr:col>
      <xdr:colOff>144780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5"/>
  <sheetViews>
    <sheetView tabSelected="1" topLeftCell="A21" zoomScaleNormal="100" workbookViewId="0">
      <selection activeCell="D21" sqref="D21:D24"/>
    </sheetView>
  </sheetViews>
  <sheetFormatPr defaultRowHeight="15.6" thickTop="1" thickBottom="1" outlineLevelRow="2" x14ac:dyDescent="0.35"/>
  <cols>
    <col min="2" max="3" width="11.21875" style="42" customWidth="1"/>
    <col min="4" max="4" width="10.33203125" style="42" customWidth="1"/>
    <col min="5" max="5" width="34.6640625" style="43" customWidth="1"/>
    <col min="6" max="6" width="6.33203125" style="42" customWidth="1"/>
    <col min="7" max="7" width="7.21875" style="42" customWidth="1"/>
    <col min="8" max="8" width="9" style="84" customWidth="1"/>
  </cols>
  <sheetData>
    <row r="1" spans="1:20" ht="60" customHeight="1" thickBot="1" x14ac:dyDescent="0.35">
      <c r="B1" s="64" t="s">
        <v>131</v>
      </c>
      <c r="C1" s="64" t="s">
        <v>167</v>
      </c>
      <c r="D1" s="65" t="s">
        <v>132</v>
      </c>
      <c r="E1" s="66" t="s">
        <v>133</v>
      </c>
      <c r="F1" s="66"/>
      <c r="G1" s="66" t="s">
        <v>169</v>
      </c>
      <c r="H1" s="70" t="s">
        <v>211</v>
      </c>
    </row>
    <row r="2" spans="1:20" ht="60" customHeight="1" outlineLevel="2" thickTop="1" thickBot="1" x14ac:dyDescent="0.35">
      <c r="B2" s="127" t="s">
        <v>105</v>
      </c>
      <c r="C2" s="116">
        <v>227</v>
      </c>
      <c r="D2" s="126" t="s">
        <v>104</v>
      </c>
      <c r="E2" s="6" t="s">
        <v>143</v>
      </c>
      <c r="F2" s="5" t="s">
        <v>173</v>
      </c>
      <c r="G2" s="5">
        <v>69</v>
      </c>
      <c r="H2" s="71">
        <f>G2/227</f>
        <v>0.30396475770925108</v>
      </c>
    </row>
    <row r="3" spans="1:20" ht="60" customHeight="1" outlineLevel="2" thickTop="1" thickBot="1" x14ac:dyDescent="0.35">
      <c r="B3" s="127"/>
      <c r="C3" s="117"/>
      <c r="D3" s="126"/>
      <c r="E3" s="6" t="s">
        <v>144</v>
      </c>
      <c r="F3" s="5" t="s">
        <v>174</v>
      </c>
      <c r="G3" s="5">
        <v>26</v>
      </c>
      <c r="H3" s="71">
        <f t="shared" ref="H3:H8" si="0">G3/227</f>
        <v>0.11453744493392071</v>
      </c>
    </row>
    <row r="4" spans="1:20" ht="60" customHeight="1" outlineLevel="2" thickTop="1" thickBot="1" x14ac:dyDescent="0.35">
      <c r="B4" s="127"/>
      <c r="C4" s="117"/>
      <c r="D4" s="126"/>
      <c r="E4" s="6" t="s">
        <v>7</v>
      </c>
      <c r="F4" s="5" t="s">
        <v>172</v>
      </c>
      <c r="G4" s="5">
        <v>21</v>
      </c>
      <c r="H4" s="71">
        <f>G4/227</f>
        <v>9.2511013215859028E-2</v>
      </c>
    </row>
    <row r="5" spans="1:20" ht="60" customHeight="1" outlineLevel="2" thickTop="1" thickBot="1" x14ac:dyDescent="0.35">
      <c r="B5" s="127"/>
      <c r="C5" s="117"/>
      <c r="D5" s="126"/>
      <c r="E5" s="4" t="s">
        <v>147</v>
      </c>
      <c r="F5" s="5" t="s">
        <v>171</v>
      </c>
      <c r="G5" s="5">
        <v>6</v>
      </c>
      <c r="H5" s="71">
        <f t="shared" si="0"/>
        <v>2.643171806167401E-2</v>
      </c>
    </row>
    <row r="6" spans="1:20" ht="60" customHeight="1" outlineLevel="2" thickTop="1" thickBot="1" x14ac:dyDescent="0.35">
      <c r="B6" s="127"/>
      <c r="C6" s="117"/>
      <c r="D6" s="126"/>
      <c r="E6" s="4" t="s">
        <v>160</v>
      </c>
      <c r="F6" s="5" t="s">
        <v>176</v>
      </c>
      <c r="G6" s="5">
        <v>3</v>
      </c>
      <c r="H6" s="71">
        <f t="shared" si="0"/>
        <v>1.3215859030837005E-2</v>
      </c>
    </row>
    <row r="7" spans="1:20" ht="60" customHeight="1" outlineLevel="2" thickTop="1" thickBot="1" x14ac:dyDescent="0.35">
      <c r="B7" s="127"/>
      <c r="C7" s="117"/>
      <c r="D7" s="126"/>
      <c r="E7" s="4" t="s">
        <v>53</v>
      </c>
      <c r="F7" s="5" t="s">
        <v>210</v>
      </c>
      <c r="G7" s="5">
        <v>2</v>
      </c>
      <c r="H7" s="71">
        <f t="shared" si="0"/>
        <v>8.8105726872246704E-3</v>
      </c>
    </row>
    <row r="8" spans="1:20" ht="60" customHeight="1" outlineLevel="2" thickTop="1" thickBot="1" x14ac:dyDescent="0.35">
      <c r="B8" s="127"/>
      <c r="C8" s="118"/>
      <c r="D8" s="126"/>
      <c r="E8" s="4" t="s">
        <v>9</v>
      </c>
      <c r="F8" s="5" t="s">
        <v>175</v>
      </c>
      <c r="G8" s="5">
        <v>1</v>
      </c>
      <c r="H8" s="71">
        <f t="shared" si="0"/>
        <v>4.4052863436123352E-3</v>
      </c>
    </row>
    <row r="9" spans="1:20" ht="22.8" customHeight="1" outlineLevel="1" thickTop="1" thickBot="1" x14ac:dyDescent="0.35">
      <c r="B9" s="164" t="s">
        <v>214</v>
      </c>
      <c r="C9" s="101">
        <f>SUBTOTAL(9,C2:C8)</f>
        <v>227</v>
      </c>
      <c r="D9" s="91"/>
      <c r="E9" s="4"/>
      <c r="F9" s="5"/>
      <c r="G9" s="5">
        <f>SUBTOTAL(9,G2:G8)</f>
        <v>128</v>
      </c>
      <c r="H9" s="71">
        <f>SUBTOTAL(9,H2:H8)</f>
        <v>0.5638766519823788</v>
      </c>
    </row>
    <row r="10" spans="1:20" s="85" customFormat="1" ht="22.8" customHeight="1" outlineLevel="2" thickTop="1" thickBot="1" x14ac:dyDescent="0.35">
      <c r="A10" s="86"/>
      <c r="B10" s="68" t="s">
        <v>212</v>
      </c>
      <c r="C10" s="69">
        <v>314</v>
      </c>
      <c r="D10" s="67" t="s">
        <v>213</v>
      </c>
      <c r="E10" s="29"/>
      <c r="F10" s="18"/>
      <c r="G10" s="18"/>
      <c r="H10" s="75">
        <v>0</v>
      </c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</row>
    <row r="11" spans="1:20" s="85" customFormat="1" ht="22.8" customHeight="1" outlineLevel="1" thickTop="1" thickBot="1" x14ac:dyDescent="0.35">
      <c r="A11" s="86"/>
      <c r="B11" s="165" t="s">
        <v>215</v>
      </c>
      <c r="C11" s="98">
        <f>SUBTOTAL(9,C10:C10)</f>
        <v>314</v>
      </c>
      <c r="D11" s="95"/>
      <c r="E11" s="29"/>
      <c r="F11" s="18"/>
      <c r="G11" s="18">
        <f>SUBTOTAL(9,G10:G10)</f>
        <v>0</v>
      </c>
      <c r="H11" s="75">
        <f>SUBTOTAL(9,H10:H10)</f>
        <v>0</v>
      </c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</row>
    <row r="12" spans="1:20" ht="169.8" customHeight="1" outlineLevel="2" thickTop="1" thickBot="1" x14ac:dyDescent="0.35">
      <c r="B12" s="7" t="s">
        <v>106</v>
      </c>
      <c r="C12" s="7">
        <v>127</v>
      </c>
      <c r="D12" s="8" t="s">
        <v>78</v>
      </c>
      <c r="E12" s="9" t="s">
        <v>16</v>
      </c>
      <c r="F12" s="10" t="s">
        <v>177</v>
      </c>
      <c r="G12" s="10">
        <v>1</v>
      </c>
      <c r="H12" s="72">
        <f>G12/C12</f>
        <v>7.874015748031496E-3</v>
      </c>
    </row>
    <row r="13" spans="1:20" ht="24.6" customHeight="1" outlineLevel="1" thickTop="1" thickBot="1" x14ac:dyDescent="0.35">
      <c r="B13" s="166" t="s">
        <v>216</v>
      </c>
      <c r="C13" s="105">
        <f>SUBTOTAL(9,C12:C12)</f>
        <v>127</v>
      </c>
      <c r="D13" s="104"/>
      <c r="E13" s="9"/>
      <c r="F13" s="10"/>
      <c r="G13" s="10">
        <f>SUBTOTAL(9,G12:G12)</f>
        <v>1</v>
      </c>
      <c r="H13" s="72">
        <f>SUBTOTAL(9,H12:H12)</f>
        <v>7.874015748031496E-3</v>
      </c>
    </row>
    <row r="14" spans="1:20" ht="88.2" customHeight="1" outlineLevel="2" thickTop="1" thickBot="1" x14ac:dyDescent="0.35">
      <c r="B14" s="143" t="s">
        <v>107</v>
      </c>
      <c r="C14" s="124">
        <v>16</v>
      </c>
      <c r="D14" s="161" t="s">
        <v>79</v>
      </c>
      <c r="E14" s="11" t="s">
        <v>140</v>
      </c>
      <c r="F14" s="12" t="s">
        <v>178</v>
      </c>
      <c r="G14" s="12">
        <v>2</v>
      </c>
      <c r="H14" s="73">
        <f>G14/16</f>
        <v>0.125</v>
      </c>
    </row>
    <row r="15" spans="1:20" ht="93" customHeight="1" outlineLevel="2" thickTop="1" thickBot="1" x14ac:dyDescent="0.35">
      <c r="B15" s="124"/>
      <c r="C15" s="124"/>
      <c r="D15" s="162"/>
      <c r="E15" s="11" t="s">
        <v>145</v>
      </c>
      <c r="F15" s="12" t="s">
        <v>179</v>
      </c>
      <c r="G15" s="12">
        <v>1</v>
      </c>
      <c r="H15" s="73">
        <f>G15/16</f>
        <v>6.25E-2</v>
      </c>
    </row>
    <row r="16" spans="1:20" ht="24.6" customHeight="1" outlineLevel="1" thickTop="1" thickBot="1" x14ac:dyDescent="0.35">
      <c r="B16" s="167" t="s">
        <v>217</v>
      </c>
      <c r="C16" s="94">
        <f>SUBTOTAL(9,C14:C15)</f>
        <v>16</v>
      </c>
      <c r="D16" s="93"/>
      <c r="E16" s="11"/>
      <c r="F16" s="12"/>
      <c r="G16" s="12">
        <f>SUBTOTAL(9,G14:G15)</f>
        <v>3</v>
      </c>
      <c r="H16" s="73">
        <f>SUBTOTAL(9,H14:H15)</f>
        <v>0.1875</v>
      </c>
    </row>
    <row r="17" spans="2:8" ht="132.6" customHeight="1" outlineLevel="2" thickTop="1" thickBot="1" x14ac:dyDescent="0.35">
      <c r="B17" s="125" t="s">
        <v>108</v>
      </c>
      <c r="C17" s="13">
        <v>56</v>
      </c>
      <c r="D17" s="142" t="s">
        <v>80</v>
      </c>
      <c r="E17" s="14" t="s">
        <v>25</v>
      </c>
      <c r="F17" s="15" t="s">
        <v>178</v>
      </c>
      <c r="G17" s="15">
        <v>5</v>
      </c>
      <c r="H17" s="74">
        <f>G17/C17</f>
        <v>8.9285714285714288E-2</v>
      </c>
    </row>
    <row r="18" spans="2:8" ht="24.6" customHeight="1" outlineLevel="1" thickTop="1" thickBot="1" x14ac:dyDescent="0.35">
      <c r="B18" s="165" t="s">
        <v>218</v>
      </c>
      <c r="C18" s="96">
        <f>SUBTOTAL(9,C17:C17)</f>
        <v>56</v>
      </c>
      <c r="D18" s="95"/>
      <c r="E18" s="14"/>
      <c r="F18" s="15"/>
      <c r="G18" s="15">
        <f>SUBTOTAL(9,G17:G17)</f>
        <v>5</v>
      </c>
      <c r="H18" s="74">
        <f>SUBTOTAL(9,H17:H17)</f>
        <v>8.9285714285714288E-2</v>
      </c>
    </row>
    <row r="19" spans="2:8" ht="21.6" customHeight="1" outlineLevel="2" thickTop="1" thickBot="1" x14ac:dyDescent="0.35">
      <c r="B19" s="7" t="s">
        <v>109</v>
      </c>
      <c r="C19" s="7">
        <v>27</v>
      </c>
      <c r="D19" s="8" t="s">
        <v>81</v>
      </c>
      <c r="E19" s="9">
        <v>0</v>
      </c>
      <c r="F19" s="10">
        <v>0</v>
      </c>
      <c r="G19" s="10">
        <v>0</v>
      </c>
      <c r="H19" s="72">
        <v>0</v>
      </c>
    </row>
    <row r="20" spans="2:8" ht="21.6" customHeight="1" outlineLevel="1" thickTop="1" thickBot="1" x14ac:dyDescent="0.35">
      <c r="B20" s="166" t="s">
        <v>219</v>
      </c>
      <c r="C20" s="106">
        <f>SUBTOTAL(9,C19:C19)</f>
        <v>27</v>
      </c>
      <c r="D20" s="104"/>
      <c r="E20" s="9"/>
      <c r="F20" s="10"/>
      <c r="G20" s="10">
        <f>SUBTOTAL(9,G19:G19)</f>
        <v>0</v>
      </c>
      <c r="H20" s="72">
        <f>SUBTOTAL(9,H19:H19)</f>
        <v>0</v>
      </c>
    </row>
    <row r="21" spans="2:8" ht="60" customHeight="1" outlineLevel="2" thickTop="1" thickBot="1" x14ac:dyDescent="0.35">
      <c r="B21" s="127" t="s">
        <v>110</v>
      </c>
      <c r="C21" s="116">
        <v>17</v>
      </c>
      <c r="D21" s="126" t="s">
        <v>82</v>
      </c>
      <c r="E21" s="4" t="s">
        <v>26</v>
      </c>
      <c r="F21" s="5" t="s">
        <v>181</v>
      </c>
      <c r="G21" s="5">
        <v>3</v>
      </c>
      <c r="H21" s="71">
        <f>G21/17</f>
        <v>0.17647058823529413</v>
      </c>
    </row>
    <row r="22" spans="2:8" ht="60" customHeight="1" outlineLevel="2" thickTop="1" thickBot="1" x14ac:dyDescent="0.35">
      <c r="B22" s="127"/>
      <c r="C22" s="117"/>
      <c r="D22" s="126"/>
      <c r="E22" s="4" t="s">
        <v>32</v>
      </c>
      <c r="F22" s="5" t="s">
        <v>180</v>
      </c>
      <c r="G22" s="5">
        <v>2</v>
      </c>
      <c r="H22" s="71">
        <f>G22/17</f>
        <v>0.11764705882352941</v>
      </c>
    </row>
    <row r="23" spans="2:8" ht="60" customHeight="1" outlineLevel="2" thickTop="1" thickBot="1" x14ac:dyDescent="0.35">
      <c r="B23" s="127"/>
      <c r="C23" s="117"/>
      <c r="D23" s="126"/>
      <c r="E23" s="4" t="s">
        <v>8</v>
      </c>
      <c r="F23" s="5" t="s">
        <v>171</v>
      </c>
      <c r="G23" s="5">
        <v>1</v>
      </c>
      <c r="H23" s="71">
        <f>G23/17</f>
        <v>5.8823529411764705E-2</v>
      </c>
    </row>
    <row r="24" spans="2:8" ht="60" customHeight="1" outlineLevel="2" thickTop="1" thickBot="1" x14ac:dyDescent="0.35">
      <c r="B24" s="127"/>
      <c r="C24" s="118"/>
      <c r="D24" s="126"/>
      <c r="E24" s="4" t="s">
        <v>153</v>
      </c>
      <c r="F24" s="5" t="s">
        <v>200</v>
      </c>
      <c r="G24" s="5">
        <v>1</v>
      </c>
      <c r="H24" s="71">
        <f>G24/17</f>
        <v>5.8823529411764705E-2</v>
      </c>
    </row>
    <row r="25" spans="2:8" ht="24.6" customHeight="1" outlineLevel="1" thickTop="1" thickBot="1" x14ac:dyDescent="0.35">
      <c r="B25" s="164" t="s">
        <v>220</v>
      </c>
      <c r="C25" s="100">
        <f>SUBTOTAL(9,C21:C24)</f>
        <v>17</v>
      </c>
      <c r="D25" s="91"/>
      <c r="E25" s="4"/>
      <c r="F25" s="5"/>
      <c r="G25" s="5">
        <f>SUBTOTAL(9,G21:G24)</f>
        <v>7</v>
      </c>
      <c r="H25" s="71">
        <f>SUBTOTAL(9,H21:H24)</f>
        <v>0.41176470588235298</v>
      </c>
    </row>
    <row r="26" spans="2:8" ht="106.2" customHeight="1" outlineLevel="2" thickTop="1" thickBot="1" x14ac:dyDescent="0.35">
      <c r="B26" s="143" t="s">
        <v>111</v>
      </c>
      <c r="C26" s="119">
        <v>36</v>
      </c>
      <c r="D26" s="143" t="s">
        <v>83</v>
      </c>
      <c r="E26" s="16" t="s">
        <v>31</v>
      </c>
      <c r="F26" s="12" t="s">
        <v>178</v>
      </c>
      <c r="G26" s="12">
        <v>4</v>
      </c>
      <c r="H26" s="73">
        <f>G26/36</f>
        <v>0.1111111111111111</v>
      </c>
    </row>
    <row r="27" spans="2:8" ht="102" customHeight="1" outlineLevel="2" thickTop="1" thickBot="1" x14ac:dyDescent="0.35">
      <c r="B27" s="124"/>
      <c r="C27" s="120"/>
      <c r="D27" s="124"/>
      <c r="E27" s="16" t="s">
        <v>156</v>
      </c>
      <c r="F27" s="12" t="s">
        <v>183</v>
      </c>
      <c r="G27" s="12">
        <v>1</v>
      </c>
      <c r="H27" s="73">
        <f>G27/36</f>
        <v>2.7777777777777776E-2</v>
      </c>
    </row>
    <row r="28" spans="2:8" ht="22.8" customHeight="1" outlineLevel="1" thickTop="1" thickBot="1" x14ac:dyDescent="0.35">
      <c r="B28" s="167" t="s">
        <v>221</v>
      </c>
      <c r="C28" s="115">
        <f>SUBTOTAL(9,C26:C27)</f>
        <v>36</v>
      </c>
      <c r="D28" s="94"/>
      <c r="E28" s="16"/>
      <c r="F28" s="12"/>
      <c r="G28" s="12">
        <f>SUBTOTAL(9,G26:G27)</f>
        <v>5</v>
      </c>
      <c r="H28" s="73">
        <f>SUBTOTAL(9,H26:H27)</f>
        <v>0.1388888888888889</v>
      </c>
    </row>
    <row r="29" spans="2:8" ht="139.19999999999999" customHeight="1" outlineLevel="2" thickTop="1" thickBot="1" x14ac:dyDescent="0.35">
      <c r="B29" s="125" t="s">
        <v>112</v>
      </c>
      <c r="C29" s="13">
        <v>84</v>
      </c>
      <c r="D29" s="142" t="s">
        <v>84</v>
      </c>
      <c r="E29" s="17" t="s">
        <v>23</v>
      </c>
      <c r="F29" s="18" t="s">
        <v>184</v>
      </c>
      <c r="G29" s="18">
        <v>16</v>
      </c>
      <c r="H29" s="75">
        <f>G29/C29</f>
        <v>0.19047619047619047</v>
      </c>
    </row>
    <row r="30" spans="2:8" ht="19.8" customHeight="1" outlineLevel="1" thickTop="1" thickBot="1" x14ac:dyDescent="0.35">
      <c r="B30" s="165" t="s">
        <v>222</v>
      </c>
      <c r="C30" s="97">
        <f>SUBTOTAL(9,C29:C29)</f>
        <v>84</v>
      </c>
      <c r="D30" s="95"/>
      <c r="E30" s="17"/>
      <c r="F30" s="18"/>
      <c r="G30" s="18">
        <f>SUBTOTAL(9,G29:G29)</f>
        <v>16</v>
      </c>
      <c r="H30" s="75">
        <f>SUBTOTAL(9,H29:H29)</f>
        <v>0.19047619047619047</v>
      </c>
    </row>
    <row r="31" spans="2:8" ht="60" customHeight="1" outlineLevel="2" thickTop="1" thickBot="1" x14ac:dyDescent="0.35">
      <c r="B31" s="145" t="s">
        <v>166</v>
      </c>
      <c r="C31" s="121">
        <v>75</v>
      </c>
      <c r="D31" s="144" t="s">
        <v>85</v>
      </c>
      <c r="E31" s="19" t="s">
        <v>35</v>
      </c>
      <c r="F31" s="20" t="s">
        <v>188</v>
      </c>
      <c r="G31" s="20">
        <v>25</v>
      </c>
      <c r="H31" s="76">
        <f>G31/75</f>
        <v>0.33333333333333331</v>
      </c>
    </row>
    <row r="32" spans="2:8" ht="60" customHeight="1" outlineLevel="2" thickTop="1" thickBot="1" x14ac:dyDescent="0.35">
      <c r="B32" s="145"/>
      <c r="C32" s="122"/>
      <c r="D32" s="144"/>
      <c r="E32" s="19" t="s">
        <v>41</v>
      </c>
      <c r="F32" s="20" t="s">
        <v>185</v>
      </c>
      <c r="G32" s="20">
        <v>2</v>
      </c>
      <c r="H32" s="76">
        <f>G32/75</f>
        <v>2.6666666666666668E-2</v>
      </c>
    </row>
    <row r="33" spans="2:23" ht="60" customHeight="1" outlineLevel="2" thickTop="1" thickBot="1" x14ac:dyDescent="0.35">
      <c r="B33" s="145"/>
      <c r="C33" s="122"/>
      <c r="D33" s="144"/>
      <c r="E33" s="19" t="s">
        <v>146</v>
      </c>
      <c r="F33" s="20" t="s">
        <v>187</v>
      </c>
      <c r="G33" s="20">
        <v>2</v>
      </c>
      <c r="H33" s="76">
        <f>G33/75</f>
        <v>2.6666666666666668E-2</v>
      </c>
    </row>
    <row r="34" spans="2:23" ht="60" customHeight="1" outlineLevel="2" thickTop="1" thickBot="1" x14ac:dyDescent="0.35">
      <c r="B34" s="145"/>
      <c r="C34" s="122"/>
      <c r="D34" s="144"/>
      <c r="E34" s="19" t="s">
        <v>42</v>
      </c>
      <c r="F34" s="20" t="s">
        <v>186</v>
      </c>
      <c r="G34" s="20">
        <v>1</v>
      </c>
      <c r="H34" s="76">
        <f>G34/75</f>
        <v>1.3333333333333334E-2</v>
      </c>
    </row>
    <row r="35" spans="2:23" ht="60" customHeight="1" outlineLevel="2" thickTop="1" thickBot="1" x14ac:dyDescent="0.35">
      <c r="B35" s="145"/>
      <c r="C35" s="123"/>
      <c r="D35" s="144"/>
      <c r="E35" s="19" t="s">
        <v>29</v>
      </c>
      <c r="F35" s="20" t="s">
        <v>189</v>
      </c>
      <c r="G35" s="20">
        <v>1</v>
      </c>
      <c r="H35" s="76">
        <f>G35/75</f>
        <v>1.3333333333333334E-2</v>
      </c>
    </row>
    <row r="36" spans="2:23" ht="30.6" customHeight="1" outlineLevel="1" thickTop="1" thickBot="1" x14ac:dyDescent="0.35">
      <c r="B36" s="166" t="s">
        <v>223</v>
      </c>
      <c r="C36" s="107">
        <f>SUBTOTAL(9,C31:C35)</f>
        <v>75</v>
      </c>
      <c r="D36" s="104"/>
      <c r="E36" s="19"/>
      <c r="F36" s="20"/>
      <c r="G36" s="20">
        <f>SUBTOTAL(9,G31:G35)</f>
        <v>31</v>
      </c>
      <c r="H36" s="76">
        <f>SUBTOTAL(9,H31:H35)</f>
        <v>0.41333333333333327</v>
      </c>
    </row>
    <row r="37" spans="2:23" ht="60" customHeight="1" outlineLevel="2" thickTop="1" thickBot="1" x14ac:dyDescent="0.35">
      <c r="B37" s="127" t="s">
        <v>113</v>
      </c>
      <c r="C37" s="116">
        <v>57</v>
      </c>
      <c r="D37" s="126" t="s">
        <v>86</v>
      </c>
      <c r="E37" s="6" t="s">
        <v>12</v>
      </c>
      <c r="F37" s="5" t="s">
        <v>190</v>
      </c>
      <c r="G37" s="5">
        <v>3</v>
      </c>
      <c r="H37" s="71">
        <f>G37/57</f>
        <v>5.2631578947368418E-2</v>
      </c>
    </row>
    <row r="38" spans="2:23" ht="60" customHeight="1" outlineLevel="2" thickTop="1" thickBot="1" x14ac:dyDescent="0.35">
      <c r="B38" s="127"/>
      <c r="C38" s="117"/>
      <c r="D38" s="126"/>
      <c r="E38" s="6" t="s">
        <v>14</v>
      </c>
      <c r="F38" s="5" t="s">
        <v>185</v>
      </c>
      <c r="G38" s="5">
        <v>3</v>
      </c>
      <c r="H38" s="71">
        <f>G38/57</f>
        <v>5.2631578947368418E-2</v>
      </c>
    </row>
    <row r="39" spans="2:23" ht="60" customHeight="1" outlineLevel="2" thickTop="1" thickBot="1" x14ac:dyDescent="0.35">
      <c r="B39" s="127"/>
      <c r="C39" s="117"/>
      <c r="D39" s="126"/>
      <c r="E39" s="6" t="s">
        <v>13</v>
      </c>
      <c r="F39" s="5" t="s">
        <v>175</v>
      </c>
      <c r="G39" s="5">
        <v>2</v>
      </c>
      <c r="H39" s="71">
        <f>G39/57</f>
        <v>3.5087719298245612E-2</v>
      </c>
    </row>
    <row r="40" spans="2:23" ht="60" customHeight="1" outlineLevel="2" thickTop="1" thickBot="1" x14ac:dyDescent="0.35">
      <c r="B40" s="127"/>
      <c r="C40" s="118"/>
      <c r="D40" s="126"/>
      <c r="E40" s="6" t="s">
        <v>134</v>
      </c>
      <c r="F40" s="5" t="s">
        <v>191</v>
      </c>
      <c r="G40" s="5">
        <v>1</v>
      </c>
      <c r="H40" s="71">
        <f>G40/57</f>
        <v>1.7543859649122806E-2</v>
      </c>
    </row>
    <row r="41" spans="2:23" ht="17.399999999999999" customHeight="1" outlineLevel="1" thickTop="1" thickBot="1" x14ac:dyDescent="0.35">
      <c r="B41" s="164" t="s">
        <v>224</v>
      </c>
      <c r="C41" s="101">
        <f>SUBTOTAL(9,C37:C40)</f>
        <v>57</v>
      </c>
      <c r="D41" s="91"/>
      <c r="E41" s="6"/>
      <c r="F41" s="5"/>
      <c r="G41" s="5">
        <f>SUBTOTAL(9,G37:G40)</f>
        <v>9</v>
      </c>
      <c r="H41" s="71">
        <f>SUBTOTAL(9,H37:H40)</f>
        <v>0.15789473684210525</v>
      </c>
    </row>
    <row r="42" spans="2:23" ht="17.399999999999999" customHeight="1" outlineLevel="2" thickTop="1" thickBot="1" x14ac:dyDescent="0.35">
      <c r="B42" s="7" t="s">
        <v>114</v>
      </c>
      <c r="C42" s="7">
        <v>48</v>
      </c>
      <c r="D42" s="8" t="s">
        <v>87</v>
      </c>
      <c r="E42" s="21">
        <v>0</v>
      </c>
      <c r="F42" s="20">
        <v>0</v>
      </c>
      <c r="G42" s="20">
        <v>0</v>
      </c>
      <c r="H42" s="76">
        <v>0</v>
      </c>
    </row>
    <row r="43" spans="2:23" ht="17.399999999999999" customHeight="1" outlineLevel="1" thickTop="1" thickBot="1" x14ac:dyDescent="0.35">
      <c r="B43" s="166" t="s">
        <v>225</v>
      </c>
      <c r="C43" s="106">
        <f>SUBTOTAL(9,C42:C42)</f>
        <v>48</v>
      </c>
      <c r="D43" s="104"/>
      <c r="E43" s="21"/>
      <c r="F43" s="20"/>
      <c r="G43" s="20">
        <f>SUBTOTAL(9,G42:G42)</f>
        <v>0</v>
      </c>
      <c r="H43" s="76">
        <f>SUBTOTAL(9,H42:H42)</f>
        <v>0</v>
      </c>
    </row>
    <row r="44" spans="2:23" ht="87" customHeight="1" outlineLevel="2" thickTop="1" thickBot="1" x14ac:dyDescent="0.35">
      <c r="B44" s="125" t="s">
        <v>115</v>
      </c>
      <c r="C44" s="135">
        <v>42</v>
      </c>
      <c r="D44" s="142" t="s">
        <v>88</v>
      </c>
      <c r="E44" s="17" t="s">
        <v>22</v>
      </c>
      <c r="F44" s="18" t="s">
        <v>193</v>
      </c>
      <c r="G44" s="18">
        <v>23</v>
      </c>
      <c r="H44" s="75">
        <f>G44/42</f>
        <v>0.54761904761904767</v>
      </c>
    </row>
    <row r="45" spans="2:23" s="1" customFormat="1" ht="122.4" customHeight="1" outlineLevel="2" thickTop="1" thickBot="1" x14ac:dyDescent="0.35">
      <c r="B45" s="125"/>
      <c r="C45" s="137"/>
      <c r="D45" s="142"/>
      <c r="E45" s="17" t="s">
        <v>137</v>
      </c>
      <c r="F45" s="18" t="s">
        <v>192</v>
      </c>
      <c r="G45" s="18">
        <v>8</v>
      </c>
      <c r="H45" s="75">
        <f>G45/42</f>
        <v>0.19047619047619047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2:23" s="1" customFormat="1" ht="19.2" customHeight="1" outlineLevel="1" thickTop="1" thickBot="1" x14ac:dyDescent="0.35">
      <c r="B46" s="165" t="s">
        <v>226</v>
      </c>
      <c r="C46" s="114">
        <f>SUBTOTAL(9,C44:C45)</f>
        <v>42</v>
      </c>
      <c r="D46" s="95"/>
      <c r="E46" s="17"/>
      <c r="F46" s="18"/>
      <c r="G46" s="18">
        <f>SUBTOTAL(9,G44:G45)</f>
        <v>31</v>
      </c>
      <c r="H46" s="75">
        <f>SUBTOTAL(9,H44:H45)</f>
        <v>0.73809523809523814</v>
      </c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</row>
    <row r="47" spans="2:23" ht="60" customHeight="1" outlineLevel="2" thickTop="1" thickBot="1" x14ac:dyDescent="0.35">
      <c r="B47" s="154" t="s">
        <v>116</v>
      </c>
      <c r="C47" s="146">
        <v>41</v>
      </c>
      <c r="D47" s="153" t="s">
        <v>89</v>
      </c>
      <c r="E47" s="22" t="s">
        <v>20</v>
      </c>
      <c r="F47" s="23" t="s">
        <v>175</v>
      </c>
      <c r="G47" s="23">
        <v>7</v>
      </c>
      <c r="H47" s="77">
        <f>G47/41</f>
        <v>0.17073170731707318</v>
      </c>
    </row>
    <row r="48" spans="2:23" ht="60" customHeight="1" outlineLevel="2" thickTop="1" thickBot="1" x14ac:dyDescent="0.35">
      <c r="B48" s="154"/>
      <c r="C48" s="147"/>
      <c r="D48" s="153"/>
      <c r="E48" s="22" t="s">
        <v>4</v>
      </c>
      <c r="F48" s="23" t="s">
        <v>195</v>
      </c>
      <c r="G48" s="23">
        <v>5</v>
      </c>
      <c r="H48" s="77">
        <f>G48/41</f>
        <v>0.12195121951219512</v>
      </c>
    </row>
    <row r="49" spans="2:8" ht="60" customHeight="1" outlineLevel="2" thickTop="1" thickBot="1" x14ac:dyDescent="0.35">
      <c r="B49" s="154"/>
      <c r="C49" s="147"/>
      <c r="D49" s="153"/>
      <c r="E49" s="22" t="s">
        <v>44</v>
      </c>
      <c r="F49" s="23" t="s">
        <v>194</v>
      </c>
      <c r="G49" s="23">
        <v>1</v>
      </c>
      <c r="H49" s="77">
        <f>G49/41</f>
        <v>2.4390243902439025E-2</v>
      </c>
    </row>
    <row r="50" spans="2:8" ht="60" customHeight="1" outlineLevel="2" thickTop="1" thickBot="1" x14ac:dyDescent="0.35">
      <c r="B50" s="154"/>
      <c r="C50" s="147"/>
      <c r="D50" s="153"/>
      <c r="E50" s="22" t="s">
        <v>21</v>
      </c>
      <c r="F50" s="23" t="s">
        <v>192</v>
      </c>
      <c r="G50" s="23">
        <v>1</v>
      </c>
      <c r="H50" s="77">
        <f>G50/41</f>
        <v>2.4390243902439025E-2</v>
      </c>
    </row>
    <row r="51" spans="2:8" ht="60" customHeight="1" outlineLevel="2" thickTop="1" thickBot="1" x14ac:dyDescent="0.35">
      <c r="B51" s="154"/>
      <c r="C51" s="148"/>
      <c r="D51" s="153"/>
      <c r="E51" s="24" t="s">
        <v>162</v>
      </c>
      <c r="F51" s="23" t="s">
        <v>196</v>
      </c>
      <c r="G51" s="23">
        <v>1</v>
      </c>
      <c r="H51" s="77">
        <f>G51/41</f>
        <v>2.4390243902439025E-2</v>
      </c>
    </row>
    <row r="52" spans="2:8" ht="60" customHeight="1" outlineLevel="1" thickTop="1" thickBot="1" x14ac:dyDescent="0.35">
      <c r="B52" s="168" t="s">
        <v>227</v>
      </c>
      <c r="C52" s="111">
        <f>SUBTOTAL(9,C47:C51)</f>
        <v>41</v>
      </c>
      <c r="D52" s="108"/>
      <c r="E52" s="24"/>
      <c r="F52" s="23"/>
      <c r="G52" s="23">
        <f>SUBTOTAL(9,G47:G51)</f>
        <v>15</v>
      </c>
      <c r="H52" s="77">
        <f>SUBTOTAL(9,H47:H51)</f>
        <v>0.36585365853658547</v>
      </c>
    </row>
    <row r="53" spans="2:8" ht="100.2" customHeight="1" outlineLevel="2" thickTop="1" thickBot="1" x14ac:dyDescent="0.35">
      <c r="B53" s="157" t="s">
        <v>117</v>
      </c>
      <c r="C53" s="149">
        <v>113</v>
      </c>
      <c r="D53" s="155" t="s">
        <v>90</v>
      </c>
      <c r="E53" s="25" t="s">
        <v>3</v>
      </c>
      <c r="F53" s="26" t="s">
        <v>195</v>
      </c>
      <c r="G53" s="26">
        <v>3</v>
      </c>
      <c r="H53" s="78">
        <f>G53/113</f>
        <v>2.6548672566371681E-2</v>
      </c>
    </row>
    <row r="54" spans="2:8" ht="123" customHeight="1" outlineLevel="2" thickTop="1" thickBot="1" x14ac:dyDescent="0.35">
      <c r="B54" s="158"/>
      <c r="C54" s="150"/>
      <c r="D54" s="156"/>
      <c r="E54" s="25" t="s">
        <v>45</v>
      </c>
      <c r="F54" s="26" t="s">
        <v>191</v>
      </c>
      <c r="G54" s="26">
        <v>2</v>
      </c>
      <c r="H54" s="78">
        <f>G54/113</f>
        <v>1.7699115044247787E-2</v>
      </c>
    </row>
    <row r="55" spans="2:8" ht="33.6" customHeight="1" outlineLevel="1" thickTop="1" thickBot="1" x14ac:dyDescent="0.35">
      <c r="B55" s="169" t="s">
        <v>228</v>
      </c>
      <c r="C55" s="112">
        <f>SUBTOTAL(9,C53:C54)</f>
        <v>113</v>
      </c>
      <c r="D55" s="109"/>
      <c r="E55" s="25"/>
      <c r="F55" s="26"/>
      <c r="G55" s="26">
        <f>SUBTOTAL(9,G53:G54)</f>
        <v>5</v>
      </c>
      <c r="H55" s="78">
        <f>SUBTOTAL(9,H53:H54)</f>
        <v>4.4247787610619468E-2</v>
      </c>
    </row>
    <row r="56" spans="2:8" ht="152.4" customHeight="1" outlineLevel="2" thickTop="1" thickBot="1" x14ac:dyDescent="0.35">
      <c r="B56" s="145" t="s">
        <v>118</v>
      </c>
      <c r="C56" s="7">
        <v>79</v>
      </c>
      <c r="D56" s="144" t="s">
        <v>91</v>
      </c>
      <c r="E56" s="19" t="s">
        <v>37</v>
      </c>
      <c r="F56" s="20" t="s">
        <v>192</v>
      </c>
      <c r="G56" s="20">
        <v>7</v>
      </c>
      <c r="H56" s="76">
        <f>G56/C56</f>
        <v>8.8607594936708861E-2</v>
      </c>
    </row>
    <row r="57" spans="2:8" ht="23.4" customHeight="1" outlineLevel="1" thickTop="1" thickBot="1" x14ac:dyDescent="0.35">
      <c r="B57" s="166" t="s">
        <v>229</v>
      </c>
      <c r="C57" s="106">
        <f>SUBTOTAL(9,C56:C56)</f>
        <v>79</v>
      </c>
      <c r="D57" s="104"/>
      <c r="E57" s="19"/>
      <c r="F57" s="20"/>
      <c r="G57" s="20">
        <f>SUBTOTAL(9,G56:G56)</f>
        <v>7</v>
      </c>
      <c r="H57" s="76">
        <f>SUBTOTAL(9,H56:H56)</f>
        <v>8.8607594936708861E-2</v>
      </c>
    </row>
    <row r="58" spans="2:8" ht="103.2" customHeight="1" outlineLevel="2" thickTop="1" thickBot="1" x14ac:dyDescent="0.35">
      <c r="B58" s="138" t="s">
        <v>119</v>
      </c>
      <c r="C58" s="151">
        <v>78</v>
      </c>
      <c r="D58" s="140" t="s">
        <v>92</v>
      </c>
      <c r="E58" s="27" t="s">
        <v>38</v>
      </c>
      <c r="F58" s="28" t="s">
        <v>193</v>
      </c>
      <c r="G58" s="28">
        <v>31</v>
      </c>
      <c r="H58" s="79">
        <f>G58/78</f>
        <v>0.39743589743589741</v>
      </c>
    </row>
    <row r="59" spans="2:8" ht="162" customHeight="1" outlineLevel="2" thickTop="1" thickBot="1" x14ac:dyDescent="0.35">
      <c r="B59" s="139"/>
      <c r="C59" s="152"/>
      <c r="D59" s="141"/>
      <c r="E59" s="27" t="s">
        <v>36</v>
      </c>
      <c r="F59" s="28" t="s">
        <v>194</v>
      </c>
      <c r="G59" s="28">
        <v>1</v>
      </c>
      <c r="H59" s="79">
        <f>G59/78</f>
        <v>1.282051282051282E-2</v>
      </c>
    </row>
    <row r="60" spans="2:8" ht="26.4" customHeight="1" outlineLevel="1" thickTop="1" thickBot="1" x14ac:dyDescent="0.35">
      <c r="B60" s="171" t="s">
        <v>230</v>
      </c>
      <c r="C60" s="170">
        <f>SUBTOTAL(9,C58:C59)</f>
        <v>78</v>
      </c>
      <c r="D60" s="110"/>
      <c r="E60" s="27"/>
      <c r="F60" s="28"/>
      <c r="G60" s="28">
        <f>SUBTOTAL(9,G58:G59)</f>
        <v>32</v>
      </c>
      <c r="H60" s="79">
        <f>SUBTOTAL(9,H58:H59)</f>
        <v>0.41025641025641024</v>
      </c>
    </row>
    <row r="61" spans="2:8" ht="60" customHeight="1" outlineLevel="2" thickTop="1" thickBot="1" x14ac:dyDescent="0.35">
      <c r="B61" s="125" t="s">
        <v>120</v>
      </c>
      <c r="C61" s="135">
        <v>208</v>
      </c>
      <c r="D61" s="142" t="s">
        <v>93</v>
      </c>
      <c r="E61" s="29" t="s">
        <v>5</v>
      </c>
      <c r="F61" s="18" t="s">
        <v>175</v>
      </c>
      <c r="G61" s="18">
        <v>5</v>
      </c>
      <c r="H61" s="75">
        <f>G61/208</f>
        <v>2.403846153846154E-2</v>
      </c>
    </row>
    <row r="62" spans="2:8" ht="60" customHeight="1" outlineLevel="2" thickTop="1" thickBot="1" x14ac:dyDescent="0.35">
      <c r="B62" s="125"/>
      <c r="C62" s="136"/>
      <c r="D62" s="142"/>
      <c r="E62" s="29" t="s">
        <v>161</v>
      </c>
      <c r="F62" s="18" t="s">
        <v>198</v>
      </c>
      <c r="G62" s="18">
        <v>3</v>
      </c>
      <c r="H62" s="75">
        <f>G62/208</f>
        <v>1.4423076923076924E-2</v>
      </c>
    </row>
    <row r="63" spans="2:8" ht="60" customHeight="1" outlineLevel="2" thickTop="1" thickBot="1" x14ac:dyDescent="0.35">
      <c r="B63" s="125"/>
      <c r="C63" s="136"/>
      <c r="D63" s="142"/>
      <c r="E63" s="29" t="s">
        <v>49</v>
      </c>
      <c r="F63" s="18" t="s">
        <v>210</v>
      </c>
      <c r="G63" s="18">
        <v>2</v>
      </c>
      <c r="H63" s="75">
        <f>G63/208</f>
        <v>9.6153846153846159E-3</v>
      </c>
    </row>
    <row r="64" spans="2:8" ht="60" customHeight="1" outlineLevel="2" thickTop="1" thickBot="1" x14ac:dyDescent="0.35">
      <c r="B64" s="125"/>
      <c r="C64" s="136"/>
      <c r="D64" s="142"/>
      <c r="E64" s="29" t="s">
        <v>164</v>
      </c>
      <c r="F64" s="18" t="s">
        <v>199</v>
      </c>
      <c r="G64" s="18">
        <v>2</v>
      </c>
      <c r="H64" s="75">
        <f>G64/208</f>
        <v>9.6153846153846159E-3</v>
      </c>
    </row>
    <row r="65" spans="2:8" ht="60" customHeight="1" outlineLevel="2" thickTop="1" thickBot="1" x14ac:dyDescent="0.35">
      <c r="B65" s="125"/>
      <c r="C65" s="137"/>
      <c r="D65" s="142"/>
      <c r="E65" s="29" t="s">
        <v>6</v>
      </c>
      <c r="F65" s="18" t="s">
        <v>197</v>
      </c>
      <c r="G65" s="18">
        <v>1</v>
      </c>
      <c r="H65" s="75">
        <f>G65/208</f>
        <v>4.807692307692308E-3</v>
      </c>
    </row>
    <row r="66" spans="2:8" ht="60" customHeight="1" outlineLevel="1" thickTop="1" thickBot="1" x14ac:dyDescent="0.35">
      <c r="B66" s="165" t="s">
        <v>231</v>
      </c>
      <c r="C66" s="98">
        <f>SUBTOTAL(9,C61:C65)</f>
        <v>208</v>
      </c>
      <c r="D66" s="95"/>
      <c r="E66" s="29"/>
      <c r="F66" s="18"/>
      <c r="G66" s="18">
        <f>SUBTOTAL(9,G61:G65)</f>
        <v>13</v>
      </c>
      <c r="H66" s="75">
        <f>SUBTOTAL(9,H61:H65)</f>
        <v>6.25E-2</v>
      </c>
    </row>
    <row r="67" spans="2:8" ht="125.4" customHeight="1" outlineLevel="2" thickTop="1" thickBot="1" x14ac:dyDescent="0.35">
      <c r="B67" s="127" t="s">
        <v>121</v>
      </c>
      <c r="C67" s="3">
        <v>126</v>
      </c>
      <c r="D67" s="126" t="s">
        <v>94</v>
      </c>
      <c r="E67" s="4" t="s">
        <v>30</v>
      </c>
      <c r="F67" s="5" t="s">
        <v>178</v>
      </c>
      <c r="G67" s="5">
        <v>3</v>
      </c>
      <c r="H67" s="71">
        <f>G67/C67</f>
        <v>2.3809523809523808E-2</v>
      </c>
    </row>
    <row r="68" spans="2:8" ht="20.399999999999999" customHeight="1" outlineLevel="1" thickTop="1" thickBot="1" x14ac:dyDescent="0.35">
      <c r="B68" s="172" t="s">
        <v>232</v>
      </c>
      <c r="C68" s="99">
        <f>SUBTOTAL(9,C67:C67)</f>
        <v>126</v>
      </c>
      <c r="D68" s="91"/>
      <c r="E68" s="4"/>
      <c r="F68" s="5"/>
      <c r="G68" s="5">
        <f>SUBTOTAL(9,G67:G67)</f>
        <v>3</v>
      </c>
      <c r="H68" s="71">
        <f>SUBTOTAL(9,H67:H67)</f>
        <v>2.3809523809523808E-2</v>
      </c>
    </row>
    <row r="69" spans="2:8" ht="85.8" customHeight="1" outlineLevel="2" thickTop="1" thickBot="1" x14ac:dyDescent="0.35">
      <c r="B69" s="130" t="s">
        <v>122</v>
      </c>
      <c r="C69" s="128">
        <v>158</v>
      </c>
      <c r="D69" s="30"/>
      <c r="E69" s="31" t="s">
        <v>52</v>
      </c>
      <c r="F69" s="87" t="s">
        <v>210</v>
      </c>
      <c r="G69" s="32">
        <v>1</v>
      </c>
      <c r="H69" s="80">
        <f>G69/158</f>
        <v>6.3291139240506328E-3</v>
      </c>
    </row>
    <row r="70" spans="2:8" ht="100.8" customHeight="1" outlineLevel="2" thickTop="1" thickBot="1" x14ac:dyDescent="0.35">
      <c r="B70" s="131"/>
      <c r="C70" s="129"/>
      <c r="D70" s="33" t="s">
        <v>95</v>
      </c>
      <c r="E70" s="31" t="s">
        <v>165</v>
      </c>
      <c r="F70" s="87" t="s">
        <v>181</v>
      </c>
      <c r="G70" s="32">
        <v>1</v>
      </c>
      <c r="H70" s="80">
        <f>G70/158</f>
        <v>6.3291139240506328E-3</v>
      </c>
    </row>
    <row r="71" spans="2:8" ht="21" customHeight="1" outlineLevel="1" thickTop="1" thickBot="1" x14ac:dyDescent="0.35">
      <c r="B71" s="173" t="s">
        <v>233</v>
      </c>
      <c r="C71" s="103">
        <f>SUBTOTAL(9,C69:C70)</f>
        <v>158</v>
      </c>
      <c r="D71" s="33"/>
      <c r="E71" s="31"/>
      <c r="F71" s="32"/>
      <c r="G71" s="32">
        <f>SUBTOTAL(9,G69:G70)</f>
        <v>2</v>
      </c>
      <c r="H71" s="80">
        <f>SUBTOTAL(9,H69:H70)</f>
        <v>1.2658227848101266E-2</v>
      </c>
    </row>
    <row r="72" spans="2:8" s="2" customFormat="1" ht="19.2" customHeight="1" outlineLevel="2" thickTop="1" thickBot="1" x14ac:dyDescent="0.35">
      <c r="B72" s="34" t="s">
        <v>123</v>
      </c>
      <c r="C72" s="35">
        <v>208</v>
      </c>
      <c r="D72" s="36" t="s">
        <v>96</v>
      </c>
      <c r="E72" s="37">
        <v>0</v>
      </c>
      <c r="F72" s="38">
        <v>0</v>
      </c>
      <c r="G72" s="38">
        <v>0</v>
      </c>
      <c r="H72" s="81">
        <v>0</v>
      </c>
    </row>
    <row r="73" spans="2:8" s="2" customFormat="1" ht="19.2" customHeight="1" outlineLevel="1" thickTop="1" thickBot="1" x14ac:dyDescent="0.35">
      <c r="B73" s="176" t="s">
        <v>234</v>
      </c>
      <c r="C73" s="174">
        <f>SUBTOTAL(9,C72:C72)</f>
        <v>208</v>
      </c>
      <c r="D73" s="175"/>
      <c r="E73" s="37"/>
      <c r="F73" s="38"/>
      <c r="G73" s="38">
        <f>SUBTOTAL(9,G72:G72)</f>
        <v>0</v>
      </c>
      <c r="H73" s="81">
        <f>SUBTOTAL(9,H72:H72)</f>
        <v>0</v>
      </c>
    </row>
    <row r="74" spans="2:8" ht="60" customHeight="1" outlineLevel="2" thickTop="1" thickBot="1" x14ac:dyDescent="0.35">
      <c r="B74" s="116" t="s">
        <v>124</v>
      </c>
      <c r="C74" s="116">
        <v>169</v>
      </c>
      <c r="D74" s="132" t="s">
        <v>97</v>
      </c>
      <c r="E74" s="6" t="s">
        <v>47</v>
      </c>
      <c r="F74" s="5" t="s">
        <v>202</v>
      </c>
      <c r="G74" s="5">
        <v>6</v>
      </c>
      <c r="H74" s="71">
        <f>G74/169</f>
        <v>3.5502958579881658E-2</v>
      </c>
    </row>
    <row r="75" spans="2:8" ht="60" customHeight="1" outlineLevel="2" thickTop="1" thickBot="1" x14ac:dyDescent="0.35">
      <c r="B75" s="117"/>
      <c r="C75" s="117"/>
      <c r="D75" s="133"/>
      <c r="E75" s="6" t="s">
        <v>46</v>
      </c>
      <c r="F75" s="5" t="s">
        <v>203</v>
      </c>
      <c r="G75" s="5">
        <v>1</v>
      </c>
      <c r="H75" s="71">
        <f>G75/169</f>
        <v>5.9171597633136093E-3</v>
      </c>
    </row>
    <row r="76" spans="2:8" ht="60" customHeight="1" outlineLevel="2" thickTop="1" thickBot="1" x14ac:dyDescent="0.35">
      <c r="B76" s="117"/>
      <c r="C76" s="117"/>
      <c r="D76" s="133"/>
      <c r="E76" s="4" t="s">
        <v>10</v>
      </c>
      <c r="F76" s="5" t="s">
        <v>182</v>
      </c>
      <c r="G76" s="5">
        <v>1</v>
      </c>
      <c r="H76" s="71">
        <f>G76/169</f>
        <v>5.9171597633136093E-3</v>
      </c>
    </row>
    <row r="77" spans="2:8" ht="60" customHeight="1" outlineLevel="2" thickTop="1" thickBot="1" x14ac:dyDescent="0.35">
      <c r="B77" s="117"/>
      <c r="C77" s="117"/>
      <c r="D77" s="133"/>
      <c r="E77" s="4" t="s">
        <v>159</v>
      </c>
      <c r="F77" s="5" t="s">
        <v>197</v>
      </c>
      <c r="G77" s="5">
        <v>1</v>
      </c>
      <c r="H77" s="71">
        <f>G77/169</f>
        <v>5.9171597633136093E-3</v>
      </c>
    </row>
    <row r="78" spans="2:8" ht="60" customHeight="1" outlineLevel="2" thickTop="1" thickBot="1" x14ac:dyDescent="0.35">
      <c r="B78" s="118"/>
      <c r="C78" s="118"/>
      <c r="D78" s="134"/>
      <c r="E78" s="4" t="s">
        <v>50</v>
      </c>
      <c r="F78" s="5" t="s">
        <v>210</v>
      </c>
      <c r="G78" s="5">
        <v>1</v>
      </c>
      <c r="H78" s="71">
        <f>G78/169</f>
        <v>5.9171597633136093E-3</v>
      </c>
    </row>
    <row r="79" spans="2:8" ht="21.6" customHeight="1" outlineLevel="1" thickTop="1" thickBot="1" x14ac:dyDescent="0.35">
      <c r="B79" s="177" t="s">
        <v>235</v>
      </c>
      <c r="C79" s="100">
        <f>SUBTOTAL(9,C74:C78)</f>
        <v>169</v>
      </c>
      <c r="D79" s="113"/>
      <c r="E79" s="4"/>
      <c r="F79" s="5"/>
      <c r="G79" s="5">
        <f>SUBTOTAL(9,G74:G78)</f>
        <v>10</v>
      </c>
      <c r="H79" s="71">
        <f>SUBTOTAL(9,H74:H78)</f>
        <v>5.9171597633136105E-2</v>
      </c>
    </row>
    <row r="80" spans="2:8" ht="101.4" customHeight="1" outlineLevel="2" thickTop="1" thickBot="1" x14ac:dyDescent="0.35">
      <c r="B80" s="125" t="s">
        <v>125</v>
      </c>
      <c r="C80" s="135">
        <v>56</v>
      </c>
      <c r="D80" s="142" t="s">
        <v>98</v>
      </c>
      <c r="E80" s="17" t="s">
        <v>136</v>
      </c>
      <c r="F80" s="18" t="s">
        <v>197</v>
      </c>
      <c r="G80" s="18">
        <v>9</v>
      </c>
      <c r="H80" s="75">
        <f>G80/56</f>
        <v>0.16071428571428573</v>
      </c>
    </row>
    <row r="81" spans="2:8" ht="108.6" customHeight="1" outlineLevel="2" thickTop="1" thickBot="1" x14ac:dyDescent="0.35">
      <c r="B81" s="125"/>
      <c r="C81" s="137"/>
      <c r="D81" s="142"/>
      <c r="E81" s="17" t="s">
        <v>28</v>
      </c>
      <c r="F81" s="18" t="s">
        <v>204</v>
      </c>
      <c r="G81" s="18">
        <v>3</v>
      </c>
      <c r="H81" s="75">
        <f>G81/56</f>
        <v>5.3571428571428568E-2</v>
      </c>
    </row>
    <row r="82" spans="2:8" ht="22.8" customHeight="1" outlineLevel="1" thickTop="1" thickBot="1" x14ac:dyDescent="0.35">
      <c r="B82" s="165" t="s">
        <v>236</v>
      </c>
      <c r="C82" s="114">
        <f>SUBTOTAL(9,C80:C81)</f>
        <v>56</v>
      </c>
      <c r="D82" s="95"/>
      <c r="E82" s="17"/>
      <c r="F82" s="18"/>
      <c r="G82" s="18">
        <f>SUBTOTAL(9,G80:G81)</f>
        <v>12</v>
      </c>
      <c r="H82" s="75">
        <f>SUBTOTAL(9,H80:H81)</f>
        <v>0.2142857142857143</v>
      </c>
    </row>
    <row r="83" spans="2:8" ht="60" customHeight="1" outlineLevel="2" thickTop="1" thickBot="1" x14ac:dyDescent="0.35">
      <c r="B83" s="127" t="s">
        <v>126</v>
      </c>
      <c r="C83" s="116">
        <v>149</v>
      </c>
      <c r="D83" s="126" t="s">
        <v>99</v>
      </c>
      <c r="E83" s="6" t="s">
        <v>135</v>
      </c>
      <c r="F83" s="5" t="s">
        <v>205</v>
      </c>
      <c r="G83" s="5">
        <v>22</v>
      </c>
      <c r="H83" s="71">
        <f>G83/149</f>
        <v>0.1476510067114094</v>
      </c>
    </row>
    <row r="84" spans="2:8" ht="60" customHeight="1" outlineLevel="2" thickTop="1" thickBot="1" x14ac:dyDescent="0.35">
      <c r="B84" s="127"/>
      <c r="C84" s="117"/>
      <c r="D84" s="126"/>
      <c r="E84" s="6" t="s">
        <v>24</v>
      </c>
      <c r="F84" s="5" t="s">
        <v>204</v>
      </c>
      <c r="G84" s="5">
        <v>13</v>
      </c>
      <c r="H84" s="71">
        <f>G84/149</f>
        <v>8.7248322147651006E-2</v>
      </c>
    </row>
    <row r="85" spans="2:8" ht="60" customHeight="1" outlineLevel="2" thickTop="1" thickBot="1" x14ac:dyDescent="0.35">
      <c r="B85" s="127"/>
      <c r="C85" s="117"/>
      <c r="D85" s="126"/>
      <c r="E85" s="4" t="s">
        <v>11</v>
      </c>
      <c r="F85" s="5" t="s">
        <v>193</v>
      </c>
      <c r="G85" s="5">
        <v>1</v>
      </c>
      <c r="H85" s="71">
        <f>G85/149</f>
        <v>6.7114093959731542E-3</v>
      </c>
    </row>
    <row r="86" spans="2:8" ht="60" customHeight="1" outlineLevel="2" thickTop="1" thickBot="1" x14ac:dyDescent="0.35">
      <c r="B86" s="127"/>
      <c r="C86" s="118"/>
      <c r="D86" s="126"/>
      <c r="E86" s="4" t="s">
        <v>15</v>
      </c>
      <c r="F86" s="5" t="s">
        <v>201</v>
      </c>
      <c r="G86" s="5">
        <v>1</v>
      </c>
      <c r="H86" s="71">
        <f>G86/149</f>
        <v>6.7114093959731542E-3</v>
      </c>
    </row>
    <row r="87" spans="2:8" ht="27" customHeight="1" outlineLevel="1" thickTop="1" thickBot="1" x14ac:dyDescent="0.35">
      <c r="B87" s="164" t="s">
        <v>237</v>
      </c>
      <c r="C87" s="100">
        <f>SUBTOTAL(9,C83:C86)</f>
        <v>149</v>
      </c>
      <c r="D87" s="91"/>
      <c r="E87" s="4"/>
      <c r="F87" s="5"/>
      <c r="G87" s="5">
        <f>SUBTOTAL(9,G83:G86)</f>
        <v>37</v>
      </c>
      <c r="H87" s="71">
        <f>SUBTOTAL(9,H83:H86)</f>
        <v>0.24832214765100669</v>
      </c>
    </row>
    <row r="88" spans="2:8" ht="60" customHeight="1" outlineLevel="2" thickTop="1" thickBot="1" x14ac:dyDescent="0.35">
      <c r="B88" s="145" t="s">
        <v>127</v>
      </c>
      <c r="C88" s="121">
        <v>136</v>
      </c>
      <c r="D88" s="144" t="s">
        <v>100</v>
      </c>
      <c r="E88" s="19" t="s">
        <v>43</v>
      </c>
      <c r="F88" s="20" t="s">
        <v>197</v>
      </c>
      <c r="G88" s="20">
        <v>12</v>
      </c>
      <c r="H88" s="76">
        <f>G88/136</f>
        <v>8.8235294117647065E-2</v>
      </c>
    </row>
    <row r="89" spans="2:8" ht="60" customHeight="1" outlineLevel="2" thickTop="1" thickBot="1" x14ac:dyDescent="0.35">
      <c r="B89" s="145"/>
      <c r="C89" s="122"/>
      <c r="D89" s="144"/>
      <c r="E89" s="19" t="s">
        <v>138</v>
      </c>
      <c r="F89" s="20" t="s">
        <v>206</v>
      </c>
      <c r="G89" s="20">
        <v>6</v>
      </c>
      <c r="H89" s="76">
        <f t="shared" ref="H89:H95" si="1">G89/136</f>
        <v>4.4117647058823532E-2</v>
      </c>
    </row>
    <row r="90" spans="2:8" ht="60" customHeight="1" outlineLevel="2" thickTop="1" thickBot="1" x14ac:dyDescent="0.35">
      <c r="B90" s="145"/>
      <c r="C90" s="122"/>
      <c r="D90" s="144"/>
      <c r="E90" s="21" t="s">
        <v>151</v>
      </c>
      <c r="F90" s="20" t="s">
        <v>200</v>
      </c>
      <c r="G90" s="20">
        <v>3</v>
      </c>
      <c r="H90" s="76">
        <f t="shared" si="1"/>
        <v>2.2058823529411766E-2</v>
      </c>
    </row>
    <row r="91" spans="2:8" ht="60" customHeight="1" outlineLevel="2" thickTop="1" thickBot="1" x14ac:dyDescent="0.35">
      <c r="B91" s="145"/>
      <c r="C91" s="122"/>
      <c r="D91" s="144"/>
      <c r="E91" s="19" t="s">
        <v>139</v>
      </c>
      <c r="F91" s="20" t="s">
        <v>205</v>
      </c>
      <c r="G91" s="20">
        <v>2</v>
      </c>
      <c r="H91" s="76">
        <f t="shared" si="1"/>
        <v>1.4705882352941176E-2</v>
      </c>
    </row>
    <row r="92" spans="2:8" ht="60" customHeight="1" outlineLevel="2" thickTop="1" thickBot="1" x14ac:dyDescent="0.35">
      <c r="B92" s="145"/>
      <c r="C92" s="122"/>
      <c r="D92" s="144"/>
      <c r="E92" s="21" t="s">
        <v>154</v>
      </c>
      <c r="F92" s="20" t="s">
        <v>177</v>
      </c>
      <c r="G92" s="20">
        <v>2</v>
      </c>
      <c r="H92" s="76">
        <f t="shared" si="1"/>
        <v>1.4705882352941176E-2</v>
      </c>
    </row>
    <row r="93" spans="2:8" ht="60" customHeight="1" outlineLevel="2" thickTop="1" thickBot="1" x14ac:dyDescent="0.35">
      <c r="B93" s="145"/>
      <c r="C93" s="122"/>
      <c r="D93" s="144"/>
      <c r="E93" s="19" t="s">
        <v>48</v>
      </c>
      <c r="F93" s="20" t="s">
        <v>204</v>
      </c>
      <c r="G93" s="20">
        <v>1</v>
      </c>
      <c r="H93" s="76">
        <f t="shared" si="1"/>
        <v>7.3529411764705881E-3</v>
      </c>
    </row>
    <row r="94" spans="2:8" ht="60" customHeight="1" outlineLevel="2" thickTop="1" thickBot="1" x14ac:dyDescent="0.35">
      <c r="B94" s="145"/>
      <c r="C94" s="122"/>
      <c r="D94" s="144"/>
      <c r="E94" s="21" t="s">
        <v>40</v>
      </c>
      <c r="F94" s="20" t="s">
        <v>207</v>
      </c>
      <c r="G94" s="20">
        <v>1</v>
      </c>
      <c r="H94" s="76">
        <f t="shared" si="1"/>
        <v>7.3529411764705881E-3</v>
      </c>
    </row>
    <row r="95" spans="2:8" ht="60" customHeight="1" outlineLevel="2" thickTop="1" thickBot="1" x14ac:dyDescent="0.35">
      <c r="B95" s="145"/>
      <c r="C95" s="123"/>
      <c r="D95" s="144"/>
      <c r="E95" s="21" t="s">
        <v>155</v>
      </c>
      <c r="F95" s="20" t="s">
        <v>171</v>
      </c>
      <c r="G95" s="20">
        <v>1</v>
      </c>
      <c r="H95" s="76">
        <f t="shared" si="1"/>
        <v>7.3529411764705881E-3</v>
      </c>
    </row>
    <row r="96" spans="2:8" ht="60" customHeight="1" outlineLevel="1" thickTop="1" thickBot="1" x14ac:dyDescent="0.35">
      <c r="B96" s="166" t="s">
        <v>238</v>
      </c>
      <c r="C96" s="107">
        <f>SUBTOTAL(9,C88:C95)</f>
        <v>136</v>
      </c>
      <c r="D96" s="104"/>
      <c r="E96" s="21"/>
      <c r="F96" s="20"/>
      <c r="G96" s="20">
        <f>SUBTOTAL(9,G88:G95)</f>
        <v>28</v>
      </c>
      <c r="H96" s="76">
        <f>SUBTOTAL(9,H88:H95)</f>
        <v>0.20588235294117649</v>
      </c>
    </row>
    <row r="97" spans="2:8" ht="92.4" customHeight="1" outlineLevel="2" thickTop="1" thickBot="1" x14ac:dyDescent="0.35">
      <c r="B97" s="159" t="s">
        <v>128</v>
      </c>
      <c r="C97" s="128">
        <v>30</v>
      </c>
      <c r="D97" s="160" t="s">
        <v>101</v>
      </c>
      <c r="E97" s="40" t="s">
        <v>27</v>
      </c>
      <c r="F97" s="32" t="s">
        <v>201</v>
      </c>
      <c r="G97" s="32">
        <v>6</v>
      </c>
      <c r="H97" s="80">
        <f>G97/30</f>
        <v>0.2</v>
      </c>
    </row>
    <row r="98" spans="2:8" ht="105" customHeight="1" outlineLevel="2" thickTop="1" thickBot="1" x14ac:dyDescent="0.35">
      <c r="B98" s="159"/>
      <c r="C98" s="129"/>
      <c r="D98" s="160"/>
      <c r="E98" s="40" t="s">
        <v>141</v>
      </c>
      <c r="F98" s="32" t="s">
        <v>208</v>
      </c>
      <c r="G98" s="32">
        <v>1</v>
      </c>
      <c r="H98" s="80">
        <f>G98/30</f>
        <v>3.3333333333333333E-2</v>
      </c>
    </row>
    <row r="99" spans="2:8" ht="27" customHeight="1" outlineLevel="1" thickTop="1" thickBot="1" x14ac:dyDescent="0.35">
      <c r="B99" s="178" t="s">
        <v>239</v>
      </c>
      <c r="C99" s="103">
        <f>SUBTOTAL(9,C97:C98)</f>
        <v>30</v>
      </c>
      <c r="D99" s="102"/>
      <c r="E99" s="40"/>
      <c r="F99" s="32"/>
      <c r="G99" s="32">
        <f>SUBTOTAL(9,G97:G98)</f>
        <v>7</v>
      </c>
      <c r="H99" s="80">
        <f>SUBTOTAL(9,H97:H98)</f>
        <v>0.23333333333333334</v>
      </c>
    </row>
    <row r="100" spans="2:8" ht="145.80000000000001" customHeight="1" outlineLevel="2" thickTop="1" thickBot="1" x14ac:dyDescent="0.35">
      <c r="B100" s="3" t="s">
        <v>129</v>
      </c>
      <c r="C100" s="3">
        <v>91</v>
      </c>
      <c r="D100" s="39" t="s">
        <v>102</v>
      </c>
      <c r="E100" s="4" t="s">
        <v>163</v>
      </c>
      <c r="F100" s="5" t="s">
        <v>209</v>
      </c>
      <c r="G100" s="5">
        <v>4</v>
      </c>
      <c r="H100" s="71">
        <f>G100/91</f>
        <v>4.3956043956043959E-2</v>
      </c>
    </row>
    <row r="101" spans="2:8" ht="24.6" customHeight="1" outlineLevel="1" thickTop="1" thickBot="1" x14ac:dyDescent="0.35">
      <c r="B101" s="164" t="s">
        <v>240</v>
      </c>
      <c r="C101" s="92">
        <f>SUBTOTAL(9,C100:C100)</f>
        <v>91</v>
      </c>
      <c r="D101" s="91"/>
      <c r="E101" s="4"/>
      <c r="F101" s="5"/>
      <c r="G101" s="5">
        <f>SUBTOTAL(9,G100:G100)</f>
        <v>4</v>
      </c>
      <c r="H101" s="71">
        <f>SUBTOTAL(9,H100:H100)</f>
        <v>4.3956043956043959E-2</v>
      </c>
    </row>
    <row r="102" spans="2:8" ht="25.2" customHeight="1" outlineLevel="2" thickTop="1" thickBot="1" x14ac:dyDescent="0.35">
      <c r="B102" s="13" t="s">
        <v>130</v>
      </c>
      <c r="C102" s="13">
        <v>102</v>
      </c>
      <c r="D102" s="41" t="s">
        <v>103</v>
      </c>
      <c r="E102" s="29">
        <v>0</v>
      </c>
      <c r="F102" s="18">
        <v>0</v>
      </c>
      <c r="G102" s="18">
        <v>0</v>
      </c>
      <c r="H102" s="75">
        <v>0</v>
      </c>
    </row>
    <row r="103" spans="2:8" ht="24.6" customHeight="1" outlineLevel="1" thickTop="1" thickBot="1" x14ac:dyDescent="0.35">
      <c r="B103" s="165" t="s">
        <v>241</v>
      </c>
      <c r="C103" s="96">
        <f>SUBTOTAL(9,C102:C102)</f>
        <v>102</v>
      </c>
      <c r="D103" s="95"/>
      <c r="E103" s="29"/>
      <c r="F103" s="18"/>
      <c r="G103" s="18">
        <f>SUBTOTAL(9,G102:G102)</f>
        <v>0</v>
      </c>
      <c r="H103" s="75">
        <f>SUBTOTAL(9,H102:H102)</f>
        <v>0</v>
      </c>
    </row>
    <row r="104" spans="2:8" ht="17.399999999999999" customHeight="1" outlineLevel="2" thickTop="1" thickBot="1" x14ac:dyDescent="0.35">
      <c r="B104" s="50" t="s">
        <v>167</v>
      </c>
      <c r="C104" s="7"/>
      <c r="D104" s="8"/>
      <c r="E104" s="9"/>
      <c r="F104" s="20"/>
      <c r="G104" s="20">
        <f>SUM(G2:G100)</f>
        <v>818</v>
      </c>
      <c r="H104" s="76"/>
    </row>
    <row r="105" spans="2:8" ht="15" thickTop="1" x14ac:dyDescent="0.3">
      <c r="B105" s="44"/>
      <c r="C105" s="44"/>
      <c r="D105" s="44"/>
      <c r="E105" s="45"/>
      <c r="F105" s="44"/>
      <c r="G105" s="44"/>
      <c r="H105" s="82"/>
    </row>
    <row r="106" spans="2:8" ht="14.4" x14ac:dyDescent="0.3">
      <c r="B106" s="48"/>
      <c r="C106" s="48"/>
      <c r="D106" s="48"/>
      <c r="E106" s="49"/>
      <c r="F106" s="48"/>
      <c r="G106" s="48"/>
      <c r="H106" s="83"/>
    </row>
    <row r="107" spans="2:8" ht="14.4" x14ac:dyDescent="0.3">
      <c r="B107" s="48"/>
      <c r="C107" s="48"/>
      <c r="D107" s="48"/>
      <c r="E107" s="49"/>
      <c r="F107" s="48"/>
      <c r="G107" s="48"/>
      <c r="H107" s="83"/>
    </row>
    <row r="108" spans="2:8" ht="14.4" x14ac:dyDescent="0.3">
      <c r="B108" s="48"/>
      <c r="C108" s="48"/>
      <c r="D108" s="48"/>
      <c r="E108" s="49"/>
      <c r="F108" s="48"/>
      <c r="G108" s="48"/>
      <c r="H108" s="83"/>
    </row>
    <row r="109" spans="2:8" ht="14.4" x14ac:dyDescent="0.3">
      <c r="B109" s="48"/>
      <c r="C109" s="48"/>
      <c r="D109" s="48"/>
      <c r="E109" s="49"/>
      <c r="F109" s="48"/>
      <c r="G109" s="48"/>
      <c r="H109" s="83"/>
    </row>
    <row r="110" spans="2:8" ht="14.4" x14ac:dyDescent="0.3">
      <c r="B110" s="48"/>
      <c r="C110" s="48"/>
      <c r="D110" s="48"/>
      <c r="E110" s="49"/>
      <c r="F110" s="48"/>
      <c r="G110" s="48"/>
      <c r="H110" s="83"/>
    </row>
    <row r="111" spans="2:8" ht="14.4" x14ac:dyDescent="0.3">
      <c r="B111" s="48"/>
      <c r="C111" s="48"/>
      <c r="D111" s="48"/>
      <c r="E111" s="49"/>
      <c r="F111" s="48"/>
      <c r="G111" s="48"/>
      <c r="H111" s="83"/>
    </row>
    <row r="112" spans="2:8" ht="14.4" x14ac:dyDescent="0.3">
      <c r="B112" s="48"/>
      <c r="C112" s="48"/>
      <c r="D112" s="48"/>
      <c r="E112" s="49"/>
      <c r="F112" s="48"/>
      <c r="G112" s="48"/>
      <c r="H112" s="83"/>
    </row>
    <row r="113" spans="2:8" ht="14.4" x14ac:dyDescent="0.3">
      <c r="B113" s="48"/>
      <c r="C113" s="48"/>
      <c r="D113" s="48"/>
      <c r="E113" s="49"/>
      <c r="F113" s="48"/>
      <c r="G113" s="48"/>
      <c r="H113" s="83"/>
    </row>
    <row r="114" spans="2:8" ht="14.4" x14ac:dyDescent="0.3">
      <c r="B114" s="48"/>
      <c r="C114" s="48"/>
      <c r="D114" s="48"/>
      <c r="E114" s="49"/>
      <c r="F114" s="48"/>
      <c r="G114" s="48"/>
      <c r="H114" s="83"/>
    </row>
    <row r="115" spans="2:8" ht="14.4" x14ac:dyDescent="0.3">
      <c r="B115" s="48"/>
      <c r="C115" s="48"/>
      <c r="D115" s="48"/>
      <c r="E115" s="49"/>
      <c r="F115" s="48"/>
      <c r="G115" s="48"/>
      <c r="H115" s="83"/>
    </row>
    <row r="116" spans="2:8" ht="14.4" x14ac:dyDescent="0.3">
      <c r="B116" s="48"/>
      <c r="C116" s="48"/>
      <c r="D116" s="48"/>
      <c r="E116" s="49"/>
      <c r="F116" s="48"/>
      <c r="G116" s="48"/>
      <c r="H116" s="83"/>
    </row>
    <row r="117" spans="2:8" ht="14.4" x14ac:dyDescent="0.3">
      <c r="B117" s="48"/>
      <c r="C117" s="48"/>
      <c r="D117" s="48"/>
      <c r="E117" s="49"/>
      <c r="F117" s="48"/>
      <c r="G117" s="48"/>
      <c r="H117" s="83"/>
    </row>
    <row r="118" spans="2:8" ht="14.4" x14ac:dyDescent="0.3">
      <c r="B118" s="48"/>
      <c r="C118" s="48"/>
      <c r="D118" s="48"/>
      <c r="E118" s="49"/>
      <c r="F118" s="48"/>
      <c r="G118" s="48"/>
      <c r="H118" s="83"/>
    </row>
    <row r="119" spans="2:8" ht="14.4" x14ac:dyDescent="0.3">
      <c r="B119" s="48"/>
      <c r="C119" s="48"/>
      <c r="D119" s="48"/>
      <c r="E119" s="49"/>
      <c r="F119" s="48"/>
      <c r="G119" s="48"/>
      <c r="H119" s="83"/>
    </row>
    <row r="120" spans="2:8" ht="14.4" x14ac:dyDescent="0.3">
      <c r="B120" s="48"/>
      <c r="C120" s="48"/>
      <c r="D120" s="48"/>
      <c r="E120" s="49"/>
      <c r="F120" s="48"/>
      <c r="G120" s="48"/>
      <c r="H120" s="83"/>
    </row>
    <row r="121" spans="2:8" ht="14.4" x14ac:dyDescent="0.3">
      <c r="B121" s="48"/>
      <c r="C121" s="48"/>
      <c r="D121" s="48"/>
      <c r="E121" s="49"/>
      <c r="F121" s="48"/>
      <c r="G121" s="48"/>
      <c r="H121" s="83"/>
    </row>
    <row r="122" spans="2:8" ht="14.4" x14ac:dyDescent="0.3">
      <c r="B122" s="48"/>
      <c r="C122" s="48"/>
      <c r="D122" s="48"/>
      <c r="E122" s="49"/>
      <c r="F122" s="48"/>
      <c r="G122" s="48"/>
      <c r="H122" s="83"/>
    </row>
    <row r="123" spans="2:8" ht="14.4" x14ac:dyDescent="0.3">
      <c r="B123" s="48"/>
      <c r="C123" s="48"/>
      <c r="D123" s="48"/>
      <c r="E123" s="49"/>
      <c r="F123" s="48"/>
      <c r="G123" s="48"/>
      <c r="H123" s="83"/>
    </row>
    <row r="124" spans="2:8" ht="14.4" x14ac:dyDescent="0.3">
      <c r="B124" s="48"/>
      <c r="C124" s="48"/>
      <c r="D124" s="48"/>
      <c r="E124" s="49"/>
      <c r="F124" s="48"/>
      <c r="G124" s="48"/>
      <c r="H124" s="83"/>
    </row>
    <row r="125" spans="2:8" ht="14.4" x14ac:dyDescent="0.3">
      <c r="B125" s="48"/>
      <c r="C125" s="48"/>
      <c r="D125" s="48"/>
      <c r="E125" s="49"/>
      <c r="F125" s="48"/>
      <c r="G125" s="48"/>
      <c r="H125" s="83"/>
    </row>
    <row r="126" spans="2:8" ht="14.4" x14ac:dyDescent="0.3">
      <c r="B126" s="48"/>
      <c r="C126" s="48"/>
      <c r="D126" s="48"/>
      <c r="E126" s="49"/>
      <c r="F126" s="48"/>
      <c r="G126" s="48"/>
      <c r="H126" s="83"/>
    </row>
    <row r="127" spans="2:8" ht="14.4" x14ac:dyDescent="0.3">
      <c r="B127" s="48"/>
      <c r="C127" s="48"/>
      <c r="D127" s="48"/>
      <c r="E127" s="49"/>
      <c r="F127" s="48"/>
      <c r="G127" s="48"/>
      <c r="H127" s="83"/>
    </row>
    <row r="128" spans="2:8" ht="14.4" x14ac:dyDescent="0.3">
      <c r="B128" s="48"/>
      <c r="C128" s="48"/>
      <c r="D128" s="48"/>
      <c r="E128" s="49"/>
      <c r="F128" s="48"/>
      <c r="G128" s="48"/>
      <c r="H128" s="83"/>
    </row>
    <row r="129" spans="1:9" ht="14.4" x14ac:dyDescent="0.3">
      <c r="B129" s="48"/>
      <c r="C129" s="48"/>
      <c r="D129" s="48"/>
      <c r="E129" s="49"/>
      <c r="F129" s="48"/>
      <c r="G129" s="48"/>
      <c r="H129" s="83"/>
    </row>
    <row r="130" spans="1:9" ht="14.4" x14ac:dyDescent="0.3">
      <c r="B130" s="48"/>
      <c r="C130" s="48"/>
      <c r="D130" s="48"/>
      <c r="E130" s="49"/>
      <c r="F130" s="48"/>
      <c r="G130" s="48"/>
      <c r="H130" s="83"/>
    </row>
    <row r="131" spans="1:9" ht="14.4" x14ac:dyDescent="0.3">
      <c r="B131" s="48"/>
      <c r="C131" s="48"/>
      <c r="D131" s="48"/>
      <c r="E131" s="49"/>
      <c r="F131" s="48"/>
      <c r="G131" s="48"/>
      <c r="H131" s="83"/>
    </row>
    <row r="132" spans="1:9" ht="14.4" x14ac:dyDescent="0.3">
      <c r="B132" s="48"/>
      <c r="C132" s="48"/>
      <c r="D132" s="48"/>
      <c r="E132" s="49"/>
      <c r="F132" s="48"/>
      <c r="G132" s="48"/>
      <c r="H132" s="83"/>
    </row>
    <row r="133" spans="1:9" ht="14.4" x14ac:dyDescent="0.3">
      <c r="B133" s="48"/>
      <c r="C133" s="48"/>
      <c r="D133" s="48"/>
      <c r="E133" s="49"/>
      <c r="F133" s="48"/>
      <c r="G133" s="48"/>
      <c r="H133" s="83"/>
    </row>
    <row r="134" spans="1:9" ht="14.4" x14ac:dyDescent="0.3">
      <c r="A134" s="48"/>
      <c r="B134" s="48"/>
      <c r="C134" s="48"/>
      <c r="D134" s="48"/>
      <c r="E134" s="49"/>
      <c r="F134" s="48"/>
      <c r="G134" s="48"/>
      <c r="H134" s="83"/>
      <c r="I134" s="48"/>
    </row>
    <row r="135" spans="1:9" ht="14.4" x14ac:dyDescent="0.3">
      <c r="A135" s="48"/>
      <c r="B135" s="48"/>
      <c r="C135" s="48"/>
      <c r="D135" s="48"/>
      <c r="E135" s="49"/>
      <c r="F135" s="48"/>
      <c r="G135" s="48"/>
      <c r="H135" s="83"/>
      <c r="I135" s="48"/>
    </row>
    <row r="136" spans="1:9" ht="14.4" x14ac:dyDescent="0.3">
      <c r="A136" s="48"/>
      <c r="B136" s="48"/>
      <c r="C136" s="48"/>
      <c r="D136" s="48"/>
      <c r="E136" s="49"/>
      <c r="F136" s="48"/>
      <c r="G136" s="48"/>
      <c r="H136" s="83"/>
      <c r="I136" s="48"/>
    </row>
    <row r="137" spans="1:9" ht="14.4" x14ac:dyDescent="0.3">
      <c r="A137" s="48"/>
      <c r="B137" s="48"/>
      <c r="C137" s="48"/>
      <c r="D137" s="48"/>
      <c r="E137" s="49"/>
      <c r="F137" s="48"/>
      <c r="G137" s="48"/>
      <c r="H137" s="83"/>
      <c r="I137" s="48"/>
    </row>
    <row r="138" spans="1:9" ht="14.4" x14ac:dyDescent="0.3">
      <c r="A138" s="48"/>
      <c r="B138" s="48"/>
      <c r="C138" s="48"/>
      <c r="D138" s="48"/>
      <c r="E138" s="49"/>
      <c r="F138" s="48"/>
      <c r="G138" s="48"/>
      <c r="H138" s="83"/>
      <c r="I138" s="48"/>
    </row>
    <row r="139" spans="1:9" ht="14.4" x14ac:dyDescent="0.3">
      <c r="A139" s="48"/>
      <c r="B139" s="48"/>
      <c r="C139" s="48"/>
      <c r="D139" s="48"/>
      <c r="E139" s="49"/>
      <c r="F139" s="48"/>
      <c r="G139" s="48"/>
      <c r="H139" s="83"/>
      <c r="I139" s="48"/>
    </row>
    <row r="140" spans="1:9" ht="14.4" x14ac:dyDescent="0.3">
      <c r="A140" s="48"/>
      <c r="B140" s="48"/>
      <c r="C140" s="48"/>
      <c r="D140" s="48"/>
      <c r="E140" s="49"/>
      <c r="F140" s="48"/>
      <c r="G140" s="48"/>
      <c r="H140" s="83"/>
      <c r="I140" s="48"/>
    </row>
    <row r="141" spans="1:9" ht="14.4" x14ac:dyDescent="0.3">
      <c r="A141" s="48"/>
      <c r="B141" s="48"/>
      <c r="C141" s="48"/>
      <c r="D141" s="48"/>
      <c r="E141" s="49"/>
      <c r="F141" s="48"/>
      <c r="G141" s="48"/>
      <c r="H141" s="83"/>
      <c r="I141" s="48"/>
    </row>
    <row r="142" spans="1:9" ht="14.4" x14ac:dyDescent="0.3">
      <c r="A142" s="48"/>
      <c r="B142" s="48"/>
      <c r="C142" s="48"/>
      <c r="D142" s="48"/>
      <c r="E142" s="49"/>
      <c r="F142" s="48"/>
      <c r="G142" s="48"/>
      <c r="H142" s="83"/>
      <c r="I142" s="48"/>
    </row>
    <row r="143" spans="1:9" ht="14.4" x14ac:dyDescent="0.3">
      <c r="A143" s="48"/>
      <c r="B143" s="48"/>
      <c r="C143" s="48"/>
      <c r="D143" s="48"/>
      <c r="E143" s="49"/>
      <c r="F143" s="48"/>
      <c r="G143" s="48"/>
      <c r="H143" s="83"/>
      <c r="I143" s="48"/>
    </row>
    <row r="144" spans="1:9" ht="14.4" x14ac:dyDescent="0.3">
      <c r="A144" s="48"/>
      <c r="B144" s="48"/>
      <c r="C144" s="48"/>
      <c r="D144" s="48"/>
      <c r="E144" s="49"/>
      <c r="F144" s="48"/>
      <c r="G144" s="48"/>
      <c r="H144" s="83"/>
      <c r="I144" s="48"/>
    </row>
    <row r="145" spans="1:9" ht="14.4" x14ac:dyDescent="0.3">
      <c r="A145" s="48"/>
      <c r="B145" s="48"/>
      <c r="C145" s="48"/>
      <c r="D145" s="48"/>
      <c r="E145" s="49"/>
      <c r="F145" s="48"/>
      <c r="G145" s="48"/>
      <c r="H145" s="83"/>
      <c r="I145" s="48"/>
    </row>
    <row r="146" spans="1:9" ht="14.4" x14ac:dyDescent="0.3">
      <c r="A146" s="48"/>
      <c r="B146" s="48"/>
      <c r="C146" s="48"/>
      <c r="D146" s="48"/>
      <c r="E146" s="49"/>
      <c r="F146" s="48"/>
      <c r="G146" s="48"/>
      <c r="H146" s="83"/>
      <c r="I146" s="48"/>
    </row>
    <row r="147" spans="1:9" ht="14.4" x14ac:dyDescent="0.3">
      <c r="A147" s="48"/>
      <c r="B147" s="48"/>
      <c r="C147" s="48"/>
      <c r="D147" s="48"/>
      <c r="E147" s="49"/>
      <c r="F147" s="48"/>
      <c r="G147" s="48"/>
      <c r="H147" s="83"/>
      <c r="I147" s="48"/>
    </row>
    <row r="148" spans="1:9" ht="14.4" x14ac:dyDescent="0.3">
      <c r="A148" s="48"/>
      <c r="B148" s="48"/>
      <c r="C148" s="48"/>
      <c r="D148" s="48"/>
      <c r="E148" s="49"/>
      <c r="F148" s="48"/>
      <c r="G148" s="48"/>
      <c r="H148" s="83"/>
      <c r="I148" s="48"/>
    </row>
    <row r="149" spans="1:9" ht="14.4" x14ac:dyDescent="0.3">
      <c r="A149" s="48"/>
      <c r="B149" s="48"/>
      <c r="C149" s="48"/>
      <c r="D149" s="48"/>
      <c r="E149" s="49"/>
      <c r="F149" s="48"/>
      <c r="G149" s="48"/>
      <c r="H149" s="83"/>
      <c r="I149" s="48"/>
    </row>
    <row r="150" spans="1:9" ht="14.4" x14ac:dyDescent="0.3">
      <c r="A150" s="48"/>
      <c r="B150" s="48"/>
      <c r="C150" s="48"/>
      <c r="D150" s="48"/>
      <c r="E150" s="49"/>
      <c r="F150" s="48"/>
      <c r="G150" s="48"/>
      <c r="H150" s="83"/>
      <c r="I150" s="48"/>
    </row>
    <row r="151" spans="1:9" ht="14.4" x14ac:dyDescent="0.3">
      <c r="A151" s="48"/>
      <c r="B151" s="48"/>
      <c r="C151" s="48"/>
      <c r="D151" s="48"/>
      <c r="E151" s="49"/>
      <c r="F151" s="48"/>
      <c r="G151" s="48"/>
      <c r="H151" s="83"/>
      <c r="I151" s="48"/>
    </row>
    <row r="152" spans="1:9" ht="14.4" x14ac:dyDescent="0.3">
      <c r="A152" s="48"/>
      <c r="B152" s="48"/>
      <c r="C152" s="48"/>
      <c r="D152" s="48"/>
      <c r="E152" s="49"/>
      <c r="F152" s="48"/>
      <c r="G152" s="48"/>
      <c r="H152" s="83"/>
      <c r="I152" s="48"/>
    </row>
    <row r="153" spans="1:9" ht="14.4" x14ac:dyDescent="0.3">
      <c r="A153" s="48"/>
      <c r="B153" s="48"/>
      <c r="C153" s="48"/>
      <c r="D153" s="48"/>
      <c r="E153" s="49"/>
      <c r="F153" s="48"/>
      <c r="G153" s="48"/>
      <c r="H153" s="83"/>
      <c r="I153" s="48"/>
    </row>
    <row r="154" spans="1:9" ht="14.4" x14ac:dyDescent="0.3">
      <c r="A154" s="48"/>
      <c r="B154" s="48"/>
      <c r="C154" s="48"/>
      <c r="D154" s="48"/>
      <c r="E154" s="49"/>
      <c r="F154" s="48"/>
      <c r="G154" s="48"/>
      <c r="H154" s="83"/>
      <c r="I154" s="48"/>
    </row>
    <row r="155" spans="1:9" ht="14.4" x14ac:dyDescent="0.3">
      <c r="A155" s="48"/>
      <c r="B155" s="48"/>
      <c r="C155" s="48"/>
      <c r="D155" s="48"/>
      <c r="E155" s="49"/>
      <c r="F155" s="48"/>
      <c r="G155" s="48"/>
      <c r="H155" s="83"/>
      <c r="I155" s="48"/>
    </row>
    <row r="156" spans="1:9" ht="14.4" x14ac:dyDescent="0.3">
      <c r="A156" s="48"/>
      <c r="B156" s="48"/>
      <c r="C156" s="48"/>
      <c r="D156" s="48"/>
      <c r="E156" s="49"/>
      <c r="F156" s="48"/>
      <c r="G156" s="48"/>
      <c r="H156" s="83"/>
      <c r="I156" s="48"/>
    </row>
    <row r="157" spans="1:9" ht="14.4" x14ac:dyDescent="0.3">
      <c r="A157" s="48"/>
      <c r="B157" s="48"/>
      <c r="C157" s="48"/>
      <c r="D157" s="48"/>
      <c r="E157" s="49"/>
      <c r="F157" s="48"/>
      <c r="G157" s="48"/>
      <c r="H157" s="83"/>
      <c r="I157" s="48"/>
    </row>
    <row r="158" spans="1:9" ht="14.4" x14ac:dyDescent="0.3">
      <c r="A158" s="48"/>
      <c r="B158" s="48"/>
      <c r="C158" s="48"/>
      <c r="D158" s="48"/>
      <c r="E158" s="49"/>
      <c r="F158" s="48"/>
      <c r="G158" s="48"/>
      <c r="H158" s="83"/>
      <c r="I158" s="48"/>
    </row>
    <row r="159" spans="1:9" ht="14.4" x14ac:dyDescent="0.3">
      <c r="A159" s="48"/>
      <c r="B159" s="48"/>
      <c r="C159" s="48"/>
      <c r="D159" s="48"/>
      <c r="E159" s="49"/>
      <c r="F159" s="48"/>
      <c r="G159" s="48"/>
      <c r="H159" s="83"/>
      <c r="I159" s="48"/>
    </row>
    <row r="160" spans="1:9" ht="14.4" x14ac:dyDescent="0.3">
      <c r="A160" s="48"/>
      <c r="B160" s="48"/>
      <c r="C160" s="48"/>
      <c r="D160" s="48"/>
      <c r="E160" s="49"/>
      <c r="F160" s="48"/>
      <c r="G160" s="48"/>
      <c r="H160" s="83"/>
      <c r="I160" s="48"/>
    </row>
    <row r="161" spans="1:9" ht="14.4" x14ac:dyDescent="0.3">
      <c r="A161" s="48"/>
      <c r="B161" s="48"/>
      <c r="C161" s="48"/>
      <c r="D161" s="48"/>
      <c r="E161" s="49"/>
      <c r="F161" s="48"/>
      <c r="G161" s="48"/>
      <c r="H161" s="83"/>
      <c r="I161" s="48"/>
    </row>
    <row r="162" spans="1:9" ht="14.4" x14ac:dyDescent="0.3">
      <c r="A162" s="48"/>
      <c r="B162" s="48"/>
      <c r="C162" s="48"/>
      <c r="D162" s="48"/>
      <c r="E162" s="49"/>
      <c r="F162" s="48"/>
      <c r="G162" s="48"/>
      <c r="H162" s="83"/>
      <c r="I162" s="48"/>
    </row>
    <row r="163" spans="1:9" ht="14.4" x14ac:dyDescent="0.3">
      <c r="A163" s="48"/>
      <c r="B163" s="48"/>
      <c r="C163" s="48"/>
      <c r="D163" s="48"/>
      <c r="E163" s="49"/>
      <c r="F163" s="48"/>
      <c r="G163" s="48"/>
      <c r="H163" s="83"/>
      <c r="I163" s="48"/>
    </row>
    <row r="164" spans="1:9" ht="14.4" x14ac:dyDescent="0.3">
      <c r="A164" s="48"/>
      <c r="B164" s="48"/>
      <c r="C164" s="48"/>
      <c r="D164" s="48"/>
      <c r="E164" s="49"/>
      <c r="F164" s="48"/>
      <c r="G164" s="48"/>
      <c r="H164" s="83"/>
      <c r="I164" s="48"/>
    </row>
    <row r="165" spans="1:9" ht="14.4" x14ac:dyDescent="0.3">
      <c r="A165" s="48"/>
      <c r="B165" s="48"/>
      <c r="C165" s="48"/>
      <c r="D165" s="48"/>
      <c r="E165" s="49"/>
      <c r="F165" s="48"/>
      <c r="G165" s="48"/>
      <c r="H165" s="83"/>
      <c r="I165" s="48"/>
    </row>
    <row r="166" spans="1:9" ht="14.4" x14ac:dyDescent="0.3">
      <c r="A166" s="48"/>
      <c r="B166" s="48"/>
      <c r="C166" s="48"/>
      <c r="D166" s="48"/>
      <c r="E166" s="49"/>
      <c r="F166" s="48"/>
      <c r="G166" s="48"/>
      <c r="H166" s="83"/>
      <c r="I166" s="48"/>
    </row>
    <row r="167" spans="1:9" ht="14.4" x14ac:dyDescent="0.3">
      <c r="A167" s="48"/>
      <c r="B167" s="48"/>
      <c r="C167" s="48"/>
      <c r="D167" s="48"/>
      <c r="E167" s="49"/>
      <c r="F167" s="48"/>
      <c r="G167" s="48"/>
      <c r="H167" s="83"/>
      <c r="I167" s="48"/>
    </row>
    <row r="168" spans="1:9" ht="14.4" x14ac:dyDescent="0.3">
      <c r="A168" s="48"/>
      <c r="B168" s="48"/>
      <c r="C168" s="48"/>
      <c r="D168" s="48"/>
      <c r="E168" s="49"/>
      <c r="F168" s="48"/>
      <c r="G168" s="48"/>
      <c r="H168" s="83"/>
      <c r="I168" s="48"/>
    </row>
    <row r="169" spans="1:9" ht="14.4" x14ac:dyDescent="0.3">
      <c r="A169" s="48"/>
      <c r="B169" s="48"/>
      <c r="C169" s="48"/>
      <c r="D169" s="48"/>
      <c r="E169" s="49"/>
      <c r="F169" s="48"/>
      <c r="G169" s="48"/>
      <c r="H169" s="83"/>
      <c r="I169" s="48"/>
    </row>
    <row r="170" spans="1:9" ht="14.4" x14ac:dyDescent="0.3">
      <c r="A170" s="48"/>
      <c r="B170" s="48"/>
      <c r="C170" s="48"/>
      <c r="D170" s="48"/>
      <c r="E170" s="49"/>
      <c r="F170" s="48"/>
      <c r="G170" s="48"/>
      <c r="H170" s="83"/>
      <c r="I170" s="48"/>
    </row>
    <row r="171" spans="1:9" ht="14.4" x14ac:dyDescent="0.3">
      <c r="A171" s="48"/>
      <c r="B171" s="48"/>
      <c r="C171" s="48"/>
      <c r="D171" s="48"/>
      <c r="E171" s="49"/>
      <c r="F171" s="48"/>
      <c r="G171" s="48"/>
      <c r="H171" s="83"/>
      <c r="I171" s="48"/>
    </row>
    <row r="172" spans="1:9" ht="14.4" x14ac:dyDescent="0.3">
      <c r="A172" s="48"/>
      <c r="B172" s="48"/>
      <c r="C172" s="48"/>
      <c r="D172" s="48"/>
      <c r="E172" s="49"/>
      <c r="F172" s="48"/>
      <c r="G172" s="48"/>
      <c r="H172" s="83"/>
      <c r="I172" s="48"/>
    </row>
    <row r="173" spans="1:9" ht="14.4" x14ac:dyDescent="0.3">
      <c r="A173" s="48"/>
      <c r="B173" s="48"/>
      <c r="C173" s="48"/>
      <c r="D173" s="48"/>
      <c r="E173" s="49"/>
      <c r="F173" s="48"/>
      <c r="G173" s="48"/>
      <c r="H173" s="83"/>
      <c r="I173" s="48"/>
    </row>
    <row r="174" spans="1:9" ht="14.4" x14ac:dyDescent="0.3">
      <c r="A174" s="48"/>
      <c r="B174" s="48"/>
      <c r="C174" s="48"/>
      <c r="D174" s="48"/>
      <c r="E174" s="49"/>
      <c r="F174" s="48"/>
      <c r="G174" s="48"/>
      <c r="H174" s="83"/>
      <c r="I174" s="48"/>
    </row>
    <row r="175" spans="1:9" ht="14.4" x14ac:dyDescent="0.3">
      <c r="A175" s="48"/>
      <c r="B175" s="48"/>
      <c r="C175" s="48"/>
      <c r="D175" s="48"/>
      <c r="E175" s="49"/>
      <c r="F175" s="48"/>
      <c r="G175" s="48"/>
      <c r="H175" s="83"/>
      <c r="I175" s="48"/>
    </row>
    <row r="176" spans="1:9" ht="14.4" x14ac:dyDescent="0.3">
      <c r="A176" s="48"/>
      <c r="B176" s="48"/>
      <c r="C176" s="48"/>
      <c r="D176" s="48"/>
      <c r="E176" s="49"/>
      <c r="F176" s="48"/>
      <c r="G176" s="48"/>
      <c r="H176" s="83"/>
      <c r="I176" s="48"/>
    </row>
    <row r="177" spans="1:9" ht="14.4" x14ac:dyDescent="0.3">
      <c r="A177" s="48"/>
      <c r="B177" s="48"/>
      <c r="C177" s="48"/>
      <c r="D177" s="48"/>
      <c r="E177" s="49"/>
      <c r="F177" s="48"/>
      <c r="G177" s="48"/>
      <c r="H177" s="83"/>
      <c r="I177" s="48"/>
    </row>
    <row r="178" spans="1:9" ht="14.4" x14ac:dyDescent="0.3">
      <c r="A178" s="48"/>
      <c r="B178" s="48"/>
      <c r="C178" s="48"/>
      <c r="D178" s="48"/>
      <c r="E178" s="49"/>
      <c r="F178" s="48"/>
      <c r="G178" s="48"/>
      <c r="H178" s="83"/>
      <c r="I178" s="48"/>
    </row>
    <row r="179" spans="1:9" ht="14.4" x14ac:dyDescent="0.3">
      <c r="A179" s="48"/>
      <c r="B179" s="48"/>
      <c r="C179" s="48"/>
      <c r="D179" s="48"/>
      <c r="E179" s="49"/>
      <c r="F179" s="48"/>
      <c r="G179" s="48"/>
      <c r="H179" s="83"/>
      <c r="I179" s="48"/>
    </row>
    <row r="180" spans="1:9" ht="14.4" x14ac:dyDescent="0.3">
      <c r="A180" s="48"/>
      <c r="B180" s="48"/>
      <c r="C180" s="48"/>
      <c r="D180" s="48"/>
      <c r="E180" s="49"/>
      <c r="F180" s="48"/>
      <c r="G180" s="48"/>
      <c r="H180" s="83"/>
      <c r="I180" s="48"/>
    </row>
    <row r="181" spans="1:9" ht="14.4" x14ac:dyDescent="0.3">
      <c r="A181" s="48"/>
      <c r="B181" s="48"/>
      <c r="C181" s="48"/>
      <c r="D181" s="48"/>
      <c r="E181" s="49"/>
      <c r="F181" s="48"/>
      <c r="G181" s="48"/>
      <c r="H181" s="83"/>
      <c r="I181" s="48"/>
    </row>
    <row r="182" spans="1:9" ht="14.4" x14ac:dyDescent="0.3">
      <c r="A182" s="48"/>
      <c r="B182" s="48"/>
      <c r="C182" s="48"/>
      <c r="D182" s="48"/>
      <c r="E182" s="49"/>
      <c r="F182" s="48"/>
      <c r="G182" s="48"/>
      <c r="H182" s="83"/>
      <c r="I182" s="48"/>
    </row>
    <row r="183" spans="1:9" ht="14.4" x14ac:dyDescent="0.3">
      <c r="A183" s="48"/>
      <c r="B183" s="48"/>
      <c r="C183" s="48"/>
      <c r="D183" s="48"/>
      <c r="E183" s="49"/>
      <c r="F183" s="48"/>
      <c r="G183" s="48"/>
      <c r="H183" s="83"/>
      <c r="I183" s="48"/>
    </row>
    <row r="184" spans="1:9" ht="14.4" x14ac:dyDescent="0.3">
      <c r="A184" s="48"/>
      <c r="B184" s="48"/>
      <c r="C184" s="48"/>
      <c r="D184" s="48"/>
      <c r="E184" s="49"/>
      <c r="F184" s="48"/>
      <c r="G184" s="48"/>
      <c r="H184" s="83"/>
      <c r="I184" s="48"/>
    </row>
    <row r="185" spans="1:9" ht="14.4" x14ac:dyDescent="0.3">
      <c r="A185" s="48"/>
      <c r="B185" s="48"/>
      <c r="C185" s="48"/>
      <c r="D185" s="48"/>
      <c r="E185" s="49"/>
      <c r="F185" s="48"/>
      <c r="G185" s="48"/>
      <c r="H185" s="83"/>
      <c r="I185" s="48"/>
    </row>
    <row r="186" spans="1:9" ht="14.4" x14ac:dyDescent="0.3">
      <c r="A186" s="48"/>
      <c r="B186" s="48"/>
      <c r="C186" s="48"/>
      <c r="D186" s="48"/>
      <c r="E186" s="49"/>
      <c r="F186" s="48"/>
      <c r="G186" s="48"/>
      <c r="H186" s="83"/>
      <c r="I186" s="48"/>
    </row>
    <row r="187" spans="1:9" ht="14.4" x14ac:dyDescent="0.3">
      <c r="A187" s="48"/>
      <c r="B187" s="48"/>
      <c r="C187" s="48"/>
      <c r="D187" s="48"/>
      <c r="E187" s="49"/>
      <c r="F187" s="48"/>
      <c r="G187" s="48"/>
      <c r="H187" s="83"/>
      <c r="I187" s="48"/>
    </row>
    <row r="188" spans="1:9" ht="14.4" x14ac:dyDescent="0.3">
      <c r="A188" s="48"/>
      <c r="B188" s="48"/>
      <c r="C188" s="48"/>
      <c r="D188" s="48"/>
      <c r="E188" s="49"/>
      <c r="F188" s="48"/>
      <c r="G188" s="48"/>
      <c r="H188" s="83"/>
      <c r="I188" s="48"/>
    </row>
    <row r="189" spans="1:9" ht="14.4" x14ac:dyDescent="0.3">
      <c r="A189" s="48"/>
      <c r="B189" s="48"/>
      <c r="C189" s="48"/>
      <c r="D189" s="48"/>
      <c r="E189" s="49"/>
      <c r="F189" s="48"/>
      <c r="G189" s="48"/>
      <c r="H189" s="83"/>
      <c r="I189" s="48"/>
    </row>
    <row r="190" spans="1:9" ht="14.4" x14ac:dyDescent="0.3">
      <c r="A190" s="48"/>
      <c r="B190" s="48"/>
      <c r="C190" s="48"/>
      <c r="D190" s="48"/>
      <c r="E190" s="49"/>
      <c r="F190" s="48"/>
      <c r="G190" s="48"/>
      <c r="H190" s="83"/>
      <c r="I190" s="48"/>
    </row>
    <row r="191" spans="1:9" ht="14.4" x14ac:dyDescent="0.3">
      <c r="A191" s="48"/>
      <c r="B191" s="48"/>
      <c r="C191" s="48"/>
      <c r="D191" s="48"/>
      <c r="E191" s="49"/>
      <c r="F191" s="48"/>
      <c r="G191" s="48"/>
      <c r="H191" s="83"/>
      <c r="I191" s="48"/>
    </row>
    <row r="192" spans="1:9" ht="14.4" x14ac:dyDescent="0.3">
      <c r="A192" s="48"/>
      <c r="B192" s="48"/>
      <c r="C192" s="48"/>
      <c r="D192" s="48"/>
      <c r="E192" s="49"/>
      <c r="F192" s="48"/>
      <c r="G192" s="48"/>
      <c r="H192" s="83"/>
      <c r="I192" s="48"/>
    </row>
    <row r="193" spans="1:9" ht="14.4" x14ac:dyDescent="0.3">
      <c r="A193" s="48"/>
      <c r="B193" s="48"/>
      <c r="C193" s="48"/>
      <c r="D193" s="48"/>
      <c r="E193" s="49"/>
      <c r="F193" s="48"/>
      <c r="G193" s="48"/>
      <c r="H193" s="83"/>
      <c r="I193" s="48"/>
    </row>
    <row r="194" spans="1:9" ht="14.4" x14ac:dyDescent="0.3">
      <c r="A194" s="48"/>
      <c r="B194" s="48"/>
      <c r="C194" s="48"/>
      <c r="D194" s="48"/>
      <c r="E194" s="49"/>
      <c r="F194" s="48"/>
      <c r="G194" s="48"/>
      <c r="H194" s="83"/>
      <c r="I194" s="48"/>
    </row>
    <row r="195" spans="1:9" ht="14.4" x14ac:dyDescent="0.3">
      <c r="A195" s="48"/>
      <c r="B195" s="48"/>
      <c r="C195" s="48"/>
      <c r="D195" s="48"/>
      <c r="E195" s="49"/>
      <c r="F195" s="48"/>
      <c r="G195" s="48"/>
      <c r="H195" s="83"/>
      <c r="I195" s="48"/>
    </row>
    <row r="196" spans="1:9" ht="14.4" x14ac:dyDescent="0.3">
      <c r="A196" s="48"/>
      <c r="B196" s="48"/>
      <c r="C196" s="48"/>
      <c r="D196" s="48"/>
      <c r="E196" s="49"/>
      <c r="F196" s="48"/>
      <c r="G196" s="48"/>
      <c r="H196" s="83"/>
      <c r="I196" s="48"/>
    </row>
    <row r="197" spans="1:9" ht="14.4" x14ac:dyDescent="0.3">
      <c r="A197" s="48"/>
      <c r="B197" s="48"/>
      <c r="C197" s="48"/>
      <c r="D197" s="48"/>
      <c r="E197" s="49"/>
      <c r="F197" s="48"/>
      <c r="G197" s="48"/>
      <c r="H197" s="83"/>
      <c r="I197" s="48"/>
    </row>
    <row r="198" spans="1:9" ht="14.4" x14ac:dyDescent="0.3">
      <c r="A198" s="48"/>
      <c r="B198" s="48"/>
      <c r="C198" s="48"/>
      <c r="D198" s="48"/>
      <c r="E198" s="49"/>
      <c r="F198" s="48"/>
      <c r="G198" s="48"/>
      <c r="H198" s="83"/>
      <c r="I198" s="48"/>
    </row>
    <row r="199" spans="1:9" ht="14.4" x14ac:dyDescent="0.3">
      <c r="A199" s="48"/>
      <c r="B199" s="48"/>
      <c r="C199" s="48"/>
      <c r="D199" s="48"/>
      <c r="E199" s="49"/>
      <c r="F199" s="48"/>
      <c r="G199" s="48"/>
      <c r="H199" s="83"/>
      <c r="I199" s="48"/>
    </row>
    <row r="200" spans="1:9" ht="14.4" x14ac:dyDescent="0.3">
      <c r="A200" s="48"/>
      <c r="B200" s="48"/>
      <c r="C200" s="48"/>
      <c r="D200" s="48"/>
      <c r="E200" s="49"/>
      <c r="F200" s="48"/>
      <c r="G200" s="48"/>
      <c r="H200" s="83"/>
      <c r="I200" s="48"/>
    </row>
    <row r="201" spans="1:9" ht="14.4" x14ac:dyDescent="0.3">
      <c r="A201" s="48"/>
      <c r="B201" s="48"/>
      <c r="C201" s="48"/>
      <c r="D201" s="48"/>
      <c r="E201" s="49"/>
      <c r="F201" s="48"/>
      <c r="G201" s="48"/>
      <c r="H201" s="83"/>
      <c r="I201" s="48"/>
    </row>
    <row r="202" spans="1:9" ht="14.4" x14ac:dyDescent="0.3">
      <c r="A202" s="48"/>
      <c r="B202" s="48"/>
      <c r="C202" s="48"/>
      <c r="D202" s="48"/>
      <c r="E202" s="49"/>
      <c r="F202" s="48"/>
      <c r="G202" s="48"/>
      <c r="H202" s="83"/>
      <c r="I202" s="48"/>
    </row>
    <row r="203" spans="1:9" ht="14.4" x14ac:dyDescent="0.3">
      <c r="A203" s="48"/>
      <c r="B203" s="48"/>
      <c r="C203" s="48"/>
      <c r="D203" s="48"/>
      <c r="E203" s="49"/>
      <c r="F203" s="48"/>
      <c r="G203" s="48"/>
      <c r="H203" s="83"/>
      <c r="I203" s="48"/>
    </row>
    <row r="204" spans="1:9" ht="14.4" x14ac:dyDescent="0.3">
      <c r="A204" s="48"/>
      <c r="B204" s="48"/>
      <c r="C204" s="48"/>
      <c r="D204" s="48"/>
      <c r="E204" s="49"/>
      <c r="F204" s="48"/>
      <c r="G204" s="48"/>
      <c r="H204" s="83"/>
      <c r="I204" s="48"/>
    </row>
    <row r="205" spans="1:9" ht="14.4" x14ac:dyDescent="0.3">
      <c r="A205" s="48"/>
      <c r="B205" s="48"/>
      <c r="C205" s="48"/>
      <c r="D205" s="48"/>
      <c r="E205" s="49"/>
      <c r="F205" s="48"/>
      <c r="G205" s="48"/>
      <c r="H205" s="83"/>
      <c r="I205" s="48"/>
    </row>
    <row r="206" spans="1:9" ht="14.4" x14ac:dyDescent="0.3">
      <c r="A206" s="48"/>
      <c r="B206" s="48"/>
      <c r="C206" s="48"/>
      <c r="D206" s="48"/>
      <c r="E206" s="49"/>
      <c r="F206" s="48"/>
      <c r="G206" s="48"/>
      <c r="H206" s="83"/>
      <c r="I206" s="48"/>
    </row>
    <row r="207" spans="1:9" ht="14.4" x14ac:dyDescent="0.3">
      <c r="A207" s="48"/>
      <c r="B207" s="48"/>
      <c r="C207" s="48"/>
      <c r="D207" s="48"/>
      <c r="E207" s="49"/>
      <c r="F207" s="48"/>
      <c r="G207" s="48"/>
      <c r="H207" s="83"/>
      <c r="I207" s="48"/>
    </row>
    <row r="208" spans="1:9" ht="14.4" x14ac:dyDescent="0.3">
      <c r="A208" s="48"/>
      <c r="B208" s="48"/>
      <c r="C208" s="48"/>
      <c r="D208" s="48"/>
      <c r="E208" s="49"/>
      <c r="F208" s="48"/>
      <c r="G208" s="48"/>
      <c r="H208" s="83"/>
      <c r="I208" s="48"/>
    </row>
    <row r="209" spans="1:9" ht="14.4" x14ac:dyDescent="0.3">
      <c r="A209" s="48"/>
      <c r="B209" s="48"/>
      <c r="C209" s="48"/>
      <c r="D209" s="48"/>
      <c r="E209" s="49"/>
      <c r="F209" s="48"/>
      <c r="G209" s="48"/>
      <c r="H209" s="83"/>
      <c r="I209" s="48"/>
    </row>
    <row r="210" spans="1:9" ht="14.4" x14ac:dyDescent="0.3">
      <c r="A210" s="48"/>
      <c r="B210" s="48"/>
      <c r="C210" s="48"/>
      <c r="D210" s="48"/>
      <c r="E210" s="49"/>
      <c r="F210" s="48"/>
      <c r="G210" s="48"/>
      <c r="H210" s="83"/>
      <c r="I210" s="48"/>
    </row>
    <row r="211" spans="1:9" ht="14.4" x14ac:dyDescent="0.3">
      <c r="A211" s="48"/>
      <c r="B211" s="48"/>
      <c r="C211" s="48"/>
      <c r="D211" s="48"/>
      <c r="E211" s="49"/>
      <c r="F211" s="48"/>
      <c r="G211" s="48"/>
      <c r="H211" s="83"/>
      <c r="I211" s="48"/>
    </row>
    <row r="212" spans="1:9" ht="14.4" x14ac:dyDescent="0.3">
      <c r="A212" s="48"/>
      <c r="B212" s="48"/>
      <c r="C212" s="48"/>
      <c r="D212" s="48"/>
      <c r="E212" s="49"/>
      <c r="F212" s="48"/>
      <c r="G212" s="48"/>
      <c r="H212" s="83"/>
      <c r="I212" s="48"/>
    </row>
    <row r="213" spans="1:9" ht="14.4" x14ac:dyDescent="0.3">
      <c r="A213" s="48"/>
      <c r="B213" s="48"/>
      <c r="C213" s="48"/>
      <c r="D213" s="48"/>
      <c r="E213" s="49"/>
      <c r="F213" s="48"/>
      <c r="G213" s="48"/>
      <c r="H213" s="83"/>
      <c r="I213" s="48"/>
    </row>
    <row r="214" spans="1:9" ht="14.4" x14ac:dyDescent="0.3">
      <c r="A214" s="48"/>
      <c r="B214" s="48"/>
      <c r="C214" s="48"/>
      <c r="D214" s="48"/>
      <c r="E214" s="49"/>
      <c r="F214" s="48"/>
      <c r="G214" s="48"/>
      <c r="H214" s="83"/>
      <c r="I214" s="48"/>
    </row>
    <row r="215" spans="1:9" ht="14.4" x14ac:dyDescent="0.3">
      <c r="A215" s="48"/>
      <c r="B215" s="48"/>
      <c r="C215" s="48"/>
      <c r="D215" s="48"/>
      <c r="E215" s="49"/>
      <c r="F215" s="48"/>
      <c r="G215" s="48"/>
      <c r="H215" s="83"/>
      <c r="I215" s="48"/>
    </row>
    <row r="216" spans="1:9" ht="14.4" x14ac:dyDescent="0.3">
      <c r="A216" s="48"/>
      <c r="B216" s="48"/>
      <c r="C216" s="48"/>
      <c r="D216" s="48"/>
      <c r="E216" s="49"/>
      <c r="F216" s="48"/>
      <c r="G216" s="48"/>
      <c r="H216" s="83"/>
      <c r="I216" s="48"/>
    </row>
    <row r="217" spans="1:9" ht="14.4" x14ac:dyDescent="0.3">
      <c r="A217" s="48"/>
      <c r="B217" s="48"/>
      <c r="C217" s="48"/>
      <c r="D217" s="48"/>
      <c r="E217" s="49"/>
      <c r="F217" s="48"/>
      <c r="G217" s="48"/>
      <c r="H217" s="83"/>
      <c r="I217" s="48"/>
    </row>
    <row r="218" spans="1:9" ht="14.4" x14ac:dyDescent="0.3">
      <c r="A218" s="48"/>
      <c r="B218" s="48"/>
      <c r="C218" s="48"/>
      <c r="D218" s="48"/>
      <c r="E218" s="49"/>
      <c r="F218" s="48"/>
      <c r="G218" s="48"/>
      <c r="H218" s="83"/>
      <c r="I218" s="48"/>
    </row>
    <row r="219" spans="1:9" ht="14.4" x14ac:dyDescent="0.3">
      <c r="A219" s="48"/>
      <c r="B219" s="48"/>
      <c r="C219" s="48"/>
      <c r="D219" s="48"/>
      <c r="E219" s="49"/>
      <c r="F219" s="48"/>
      <c r="G219" s="48"/>
      <c r="H219" s="83"/>
      <c r="I219" s="48"/>
    </row>
    <row r="220" spans="1:9" ht="14.4" x14ac:dyDescent="0.3">
      <c r="A220" s="48"/>
      <c r="B220" s="48"/>
      <c r="C220" s="48"/>
      <c r="D220" s="48"/>
      <c r="E220" s="49"/>
      <c r="F220" s="48"/>
      <c r="G220" s="48"/>
      <c r="H220" s="83"/>
      <c r="I220" s="48"/>
    </row>
    <row r="221" spans="1:9" ht="14.4" x14ac:dyDescent="0.3">
      <c r="A221" s="48"/>
      <c r="B221" s="48"/>
      <c r="C221" s="48"/>
      <c r="D221" s="48"/>
      <c r="E221" s="49"/>
      <c r="F221" s="48"/>
      <c r="G221" s="48"/>
      <c r="H221" s="83"/>
      <c r="I221" s="48"/>
    </row>
    <row r="222" spans="1:9" ht="14.4" x14ac:dyDescent="0.3">
      <c r="A222" s="48"/>
      <c r="B222" s="48"/>
      <c r="C222" s="48"/>
      <c r="D222" s="48"/>
      <c r="E222" s="49"/>
      <c r="F222" s="48"/>
      <c r="G222" s="48"/>
      <c r="H222" s="83"/>
      <c r="I222" s="48"/>
    </row>
    <row r="223" spans="1:9" ht="14.4" x14ac:dyDescent="0.3">
      <c r="A223" s="48"/>
      <c r="B223" s="48"/>
      <c r="C223" s="48"/>
      <c r="D223" s="48"/>
      <c r="E223" s="49"/>
      <c r="F223" s="48"/>
      <c r="G223" s="48"/>
      <c r="H223" s="83"/>
      <c r="I223" s="48"/>
    </row>
    <row r="224" spans="1:9" ht="14.4" x14ac:dyDescent="0.3">
      <c r="A224" s="48"/>
      <c r="B224" s="48"/>
      <c r="C224" s="48"/>
      <c r="D224" s="48"/>
      <c r="E224" s="49"/>
      <c r="F224" s="48"/>
      <c r="G224" s="48"/>
      <c r="H224" s="83"/>
      <c r="I224" s="48"/>
    </row>
    <row r="225" spans="1:9" ht="14.4" x14ac:dyDescent="0.3">
      <c r="A225" s="48"/>
      <c r="B225" s="48"/>
      <c r="C225" s="48"/>
      <c r="D225" s="48"/>
      <c r="E225" s="49"/>
      <c r="F225" s="48"/>
      <c r="G225" s="48"/>
      <c r="H225" s="83"/>
      <c r="I225" s="48"/>
    </row>
    <row r="226" spans="1:9" ht="14.4" x14ac:dyDescent="0.3">
      <c r="A226" s="48"/>
      <c r="B226" s="48"/>
      <c r="C226" s="48"/>
      <c r="D226" s="48"/>
      <c r="E226" s="49"/>
      <c r="F226" s="48"/>
      <c r="G226" s="48"/>
      <c r="H226" s="83"/>
      <c r="I226" s="48"/>
    </row>
    <row r="227" spans="1:9" ht="14.4" x14ac:dyDescent="0.3">
      <c r="A227" s="48"/>
      <c r="B227" s="48"/>
      <c r="C227" s="48"/>
      <c r="D227" s="48"/>
      <c r="E227" s="49"/>
      <c r="F227" s="48"/>
      <c r="G227" s="48"/>
      <c r="H227" s="83"/>
      <c r="I227" s="48"/>
    </row>
    <row r="228" spans="1:9" ht="14.4" x14ac:dyDescent="0.3">
      <c r="A228" s="48"/>
      <c r="B228" s="48"/>
      <c r="C228" s="48"/>
      <c r="D228" s="48"/>
      <c r="E228" s="49"/>
      <c r="F228" s="48"/>
      <c r="G228" s="48"/>
      <c r="H228" s="83"/>
      <c r="I228" s="48"/>
    </row>
    <row r="229" spans="1:9" ht="14.4" x14ac:dyDescent="0.3">
      <c r="A229" s="48"/>
      <c r="B229" s="48"/>
      <c r="C229" s="48"/>
      <c r="D229" s="48"/>
      <c r="E229" s="49"/>
      <c r="F229" s="48"/>
      <c r="G229" s="48"/>
      <c r="H229" s="83"/>
      <c r="I229" s="48"/>
    </row>
    <row r="230" spans="1:9" ht="14.4" x14ac:dyDescent="0.3">
      <c r="A230" s="48"/>
      <c r="B230" s="48"/>
      <c r="C230" s="48"/>
      <c r="D230" s="48"/>
      <c r="E230" s="49"/>
      <c r="F230" s="48"/>
      <c r="G230" s="48"/>
      <c r="H230" s="83"/>
      <c r="I230" s="48"/>
    </row>
    <row r="231" spans="1:9" ht="14.4" x14ac:dyDescent="0.3">
      <c r="A231" s="48"/>
      <c r="B231" s="48"/>
      <c r="C231" s="48"/>
      <c r="D231" s="48"/>
      <c r="E231" s="49"/>
      <c r="F231" s="48"/>
      <c r="G231" s="48"/>
      <c r="H231" s="83"/>
      <c r="I231" s="48"/>
    </row>
    <row r="232" spans="1:9" ht="14.4" x14ac:dyDescent="0.3">
      <c r="A232" s="48"/>
      <c r="B232" s="48"/>
      <c r="C232" s="48"/>
      <c r="D232" s="48"/>
      <c r="E232" s="49"/>
      <c r="F232" s="48"/>
      <c r="G232" s="48"/>
      <c r="H232" s="83"/>
      <c r="I232" s="48"/>
    </row>
    <row r="233" spans="1:9" ht="14.4" x14ac:dyDescent="0.3">
      <c r="A233" s="48"/>
      <c r="B233" s="48"/>
      <c r="C233" s="48"/>
      <c r="D233" s="48"/>
      <c r="E233" s="49"/>
      <c r="F233" s="48"/>
      <c r="G233" s="48"/>
      <c r="H233" s="83"/>
      <c r="I233" s="48"/>
    </row>
    <row r="234" spans="1:9" ht="14.4" x14ac:dyDescent="0.3">
      <c r="A234" s="48"/>
      <c r="B234" s="48"/>
      <c r="C234" s="48"/>
      <c r="D234" s="48"/>
      <c r="E234" s="49"/>
      <c r="F234" s="48"/>
      <c r="G234" s="48"/>
      <c r="H234" s="83"/>
      <c r="I234" s="48"/>
    </row>
    <row r="235" spans="1:9" ht="14.4" x14ac:dyDescent="0.3">
      <c r="A235" s="48"/>
      <c r="B235" s="48"/>
      <c r="C235" s="48"/>
      <c r="D235" s="48"/>
      <c r="E235" s="49"/>
      <c r="F235" s="48"/>
      <c r="G235" s="48"/>
      <c r="H235" s="83"/>
      <c r="I235" s="48"/>
    </row>
    <row r="236" spans="1:9" ht="14.4" x14ac:dyDescent="0.3">
      <c r="A236" s="48"/>
      <c r="B236" s="48"/>
      <c r="C236" s="48"/>
      <c r="D236" s="48"/>
      <c r="E236" s="49"/>
      <c r="F236" s="48"/>
      <c r="G236" s="48"/>
      <c r="H236" s="83"/>
      <c r="I236" s="48"/>
    </row>
    <row r="237" spans="1:9" ht="14.4" x14ac:dyDescent="0.3">
      <c r="A237" s="48"/>
      <c r="B237" s="48"/>
      <c r="C237" s="48"/>
      <c r="D237" s="48"/>
      <c r="E237" s="49"/>
      <c r="F237" s="48"/>
      <c r="G237" s="48"/>
      <c r="H237" s="83"/>
      <c r="I237" s="48"/>
    </row>
    <row r="238" spans="1:9" ht="14.4" x14ac:dyDescent="0.3">
      <c r="A238" s="48"/>
      <c r="B238" s="48"/>
      <c r="C238" s="48"/>
      <c r="D238" s="48"/>
      <c r="E238" s="49"/>
      <c r="F238" s="48"/>
      <c r="G238" s="48"/>
      <c r="H238" s="83"/>
      <c r="I238" s="48"/>
    </row>
    <row r="239" spans="1:9" ht="14.4" x14ac:dyDescent="0.3">
      <c r="A239" s="48"/>
      <c r="B239" s="48"/>
      <c r="C239" s="48"/>
      <c r="D239" s="48"/>
      <c r="E239" s="49"/>
      <c r="F239" s="48"/>
      <c r="G239" s="48"/>
      <c r="H239" s="83"/>
      <c r="I239" s="48"/>
    </row>
    <row r="240" spans="1:9" ht="14.4" x14ac:dyDescent="0.3">
      <c r="A240" s="48"/>
      <c r="B240" s="48"/>
      <c r="C240" s="48"/>
      <c r="D240" s="48"/>
      <c r="E240" s="49"/>
      <c r="F240" s="48"/>
      <c r="G240" s="48"/>
      <c r="H240" s="83"/>
      <c r="I240" s="48"/>
    </row>
    <row r="241" spans="1:9" ht="14.4" x14ac:dyDescent="0.3">
      <c r="A241" s="48"/>
      <c r="B241" s="48"/>
      <c r="C241" s="48"/>
      <c r="D241" s="48"/>
      <c r="E241" s="49"/>
      <c r="F241" s="48"/>
      <c r="G241" s="48"/>
      <c r="H241" s="83"/>
      <c r="I241" s="48"/>
    </row>
    <row r="242" spans="1:9" ht="14.4" x14ac:dyDescent="0.3">
      <c r="A242" s="48"/>
      <c r="B242" s="48"/>
      <c r="C242" s="48"/>
      <c r="D242" s="48"/>
      <c r="E242" s="49"/>
      <c r="F242" s="48"/>
      <c r="G242" s="48"/>
      <c r="H242" s="83"/>
      <c r="I242" s="48"/>
    </row>
    <row r="243" spans="1:9" ht="14.4" x14ac:dyDescent="0.3">
      <c r="A243" s="48"/>
      <c r="B243" s="48"/>
      <c r="C243" s="48"/>
      <c r="D243" s="48"/>
      <c r="E243" s="49"/>
      <c r="F243" s="48"/>
      <c r="G243" s="48"/>
      <c r="H243" s="83"/>
      <c r="I243" s="48"/>
    </row>
    <row r="244" spans="1:9" ht="14.4" x14ac:dyDescent="0.3">
      <c r="A244" s="48"/>
      <c r="B244" s="48"/>
      <c r="C244" s="48"/>
      <c r="D244" s="48"/>
      <c r="E244" s="49"/>
      <c r="F244" s="48"/>
      <c r="G244" s="48"/>
      <c r="H244" s="83"/>
      <c r="I244" s="48"/>
    </row>
    <row r="245" spans="1:9" ht="14.4" x14ac:dyDescent="0.3">
      <c r="A245" s="48"/>
      <c r="B245" s="48"/>
      <c r="C245" s="48"/>
      <c r="D245" s="48"/>
      <c r="E245" s="49"/>
      <c r="F245" s="48"/>
      <c r="G245" s="48"/>
      <c r="H245" s="83"/>
      <c r="I245" s="48"/>
    </row>
    <row r="246" spans="1:9" ht="14.4" x14ac:dyDescent="0.3">
      <c r="A246" s="48"/>
      <c r="B246" s="48"/>
      <c r="C246" s="48"/>
      <c r="D246" s="48"/>
      <c r="E246" s="49"/>
      <c r="F246" s="48"/>
      <c r="G246" s="48"/>
      <c r="H246" s="83"/>
      <c r="I246" s="48"/>
    </row>
    <row r="247" spans="1:9" ht="14.4" x14ac:dyDescent="0.3">
      <c r="A247" s="48"/>
      <c r="B247" s="48"/>
      <c r="C247" s="48"/>
      <c r="D247" s="48"/>
      <c r="E247" s="49"/>
      <c r="F247" s="48"/>
      <c r="G247" s="48"/>
      <c r="H247" s="83"/>
      <c r="I247" s="48"/>
    </row>
    <row r="248" spans="1:9" ht="14.4" x14ac:dyDescent="0.3">
      <c r="A248" s="48"/>
      <c r="B248" s="48"/>
      <c r="C248" s="48"/>
      <c r="D248" s="48"/>
      <c r="E248" s="49"/>
      <c r="F248" s="48"/>
      <c r="G248" s="48"/>
      <c r="H248" s="83"/>
      <c r="I248" s="48"/>
    </row>
    <row r="249" spans="1:9" ht="14.4" x14ac:dyDescent="0.3">
      <c r="A249" s="48"/>
      <c r="B249" s="48"/>
      <c r="C249" s="48"/>
      <c r="D249" s="48"/>
      <c r="E249" s="49"/>
      <c r="F249" s="48"/>
      <c r="G249" s="48"/>
      <c r="H249" s="83"/>
      <c r="I249" s="48"/>
    </row>
    <row r="250" spans="1:9" ht="14.4" x14ac:dyDescent="0.3">
      <c r="A250" s="48"/>
      <c r="B250" s="48"/>
      <c r="C250" s="48"/>
      <c r="D250" s="48"/>
      <c r="E250" s="49"/>
      <c r="F250" s="48"/>
      <c r="G250" s="48"/>
      <c r="H250" s="83"/>
      <c r="I250" s="48"/>
    </row>
    <row r="251" spans="1:9" ht="14.4" x14ac:dyDescent="0.3">
      <c r="A251" s="48"/>
      <c r="B251" s="48"/>
      <c r="C251" s="48"/>
      <c r="D251" s="48"/>
      <c r="E251" s="49"/>
      <c r="F251" s="48"/>
      <c r="G251" s="48"/>
      <c r="H251" s="83"/>
      <c r="I251" s="48"/>
    </row>
    <row r="252" spans="1:9" ht="14.4" x14ac:dyDescent="0.3">
      <c r="A252" s="48"/>
      <c r="B252" s="48"/>
      <c r="C252" s="48"/>
      <c r="D252" s="48"/>
      <c r="E252" s="49"/>
      <c r="F252" s="48"/>
      <c r="G252" s="48"/>
      <c r="H252" s="83"/>
      <c r="I252" s="48"/>
    </row>
    <row r="253" spans="1:9" ht="14.4" x14ac:dyDescent="0.3">
      <c r="A253" s="48"/>
      <c r="B253" s="48"/>
      <c r="C253" s="48"/>
      <c r="D253" s="48"/>
      <c r="E253" s="49"/>
      <c r="F253" s="48"/>
      <c r="G253" s="48"/>
      <c r="H253" s="83"/>
      <c r="I253" s="48"/>
    </row>
    <row r="254" spans="1:9" ht="14.4" x14ac:dyDescent="0.3">
      <c r="A254" s="48"/>
      <c r="B254" s="48"/>
      <c r="C254" s="48"/>
      <c r="D254" s="48"/>
      <c r="E254" s="49"/>
      <c r="F254" s="48"/>
      <c r="G254" s="48"/>
      <c r="H254" s="83"/>
      <c r="I254" s="48"/>
    </row>
    <row r="255" spans="1:9" ht="14.4" x14ac:dyDescent="0.3">
      <c r="A255" s="48"/>
      <c r="B255" s="48"/>
      <c r="C255" s="48"/>
      <c r="D255" s="48"/>
      <c r="E255" s="49"/>
      <c r="F255" s="48"/>
      <c r="G255" s="48"/>
      <c r="H255" s="83"/>
      <c r="I255" s="48"/>
    </row>
    <row r="256" spans="1:9" ht="14.4" x14ac:dyDescent="0.3">
      <c r="A256" s="48"/>
      <c r="B256" s="48"/>
      <c r="C256" s="48"/>
      <c r="D256" s="48"/>
      <c r="E256" s="49"/>
      <c r="F256" s="48"/>
      <c r="G256" s="48"/>
      <c r="H256" s="83"/>
      <c r="I256" s="48"/>
    </row>
    <row r="257" spans="1:9" ht="14.4" x14ac:dyDescent="0.3">
      <c r="A257" s="48"/>
      <c r="B257" s="48"/>
      <c r="C257" s="48"/>
      <c r="D257" s="48"/>
      <c r="E257" s="49"/>
      <c r="F257" s="48"/>
      <c r="G257" s="48"/>
      <c r="H257" s="83"/>
      <c r="I257" s="48"/>
    </row>
    <row r="258" spans="1:9" ht="14.4" x14ac:dyDescent="0.3">
      <c r="A258" s="48"/>
      <c r="B258" s="48"/>
      <c r="C258" s="48"/>
      <c r="D258" s="48"/>
      <c r="E258" s="49"/>
      <c r="F258" s="48"/>
      <c r="G258" s="48"/>
      <c r="H258" s="83"/>
      <c r="I258" s="48"/>
    </row>
    <row r="259" spans="1:9" ht="14.4" x14ac:dyDescent="0.3">
      <c r="A259" s="48"/>
      <c r="B259" s="48"/>
      <c r="C259" s="48"/>
      <c r="D259" s="48"/>
      <c r="E259" s="49"/>
      <c r="F259" s="48"/>
      <c r="G259" s="48"/>
      <c r="H259" s="83"/>
      <c r="I259" s="48"/>
    </row>
    <row r="260" spans="1:9" ht="14.4" x14ac:dyDescent="0.3">
      <c r="A260" s="48"/>
      <c r="B260" s="48"/>
      <c r="C260" s="48"/>
      <c r="D260" s="48"/>
      <c r="E260" s="49"/>
      <c r="F260" s="48"/>
      <c r="G260" s="48"/>
      <c r="H260" s="83"/>
      <c r="I260" s="48"/>
    </row>
    <row r="261" spans="1:9" ht="14.4" x14ac:dyDescent="0.3">
      <c r="A261" s="48"/>
      <c r="B261" s="48"/>
      <c r="C261" s="48"/>
      <c r="D261" s="48"/>
      <c r="E261" s="49"/>
      <c r="F261" s="48"/>
      <c r="G261" s="48"/>
      <c r="H261" s="83"/>
      <c r="I261" s="48"/>
    </row>
    <row r="262" spans="1:9" ht="14.4" x14ac:dyDescent="0.3">
      <c r="A262" s="48"/>
      <c r="B262" s="48"/>
      <c r="C262" s="48"/>
      <c r="D262" s="48"/>
      <c r="E262" s="49"/>
      <c r="F262" s="48"/>
      <c r="G262" s="48"/>
      <c r="H262" s="83"/>
      <c r="I262" s="48"/>
    </row>
    <row r="263" spans="1:9" ht="14.4" x14ac:dyDescent="0.3">
      <c r="A263" s="48"/>
      <c r="B263" s="48"/>
      <c r="C263" s="48"/>
      <c r="D263" s="48"/>
      <c r="E263" s="49"/>
      <c r="F263" s="48"/>
      <c r="G263" s="48"/>
      <c r="H263" s="83"/>
      <c r="I263" s="48"/>
    </row>
    <row r="264" spans="1:9" ht="14.4" x14ac:dyDescent="0.3">
      <c r="A264" s="48"/>
      <c r="B264" s="48"/>
      <c r="C264" s="48"/>
      <c r="D264" s="48"/>
      <c r="E264" s="49"/>
      <c r="F264" s="48"/>
      <c r="G264" s="48"/>
      <c r="H264" s="83"/>
      <c r="I264" s="48"/>
    </row>
    <row r="265" spans="1:9" ht="14.4" x14ac:dyDescent="0.3">
      <c r="A265" s="48"/>
      <c r="B265" s="48"/>
      <c r="C265" s="48"/>
      <c r="D265" s="48"/>
      <c r="E265" s="49"/>
      <c r="F265" s="48"/>
      <c r="G265" s="48"/>
      <c r="H265" s="83"/>
      <c r="I265" s="48"/>
    </row>
    <row r="266" spans="1:9" ht="14.4" x14ac:dyDescent="0.3">
      <c r="A266" s="48"/>
      <c r="B266" s="48"/>
      <c r="C266" s="48"/>
      <c r="D266" s="48"/>
      <c r="E266" s="49"/>
      <c r="F266" s="48"/>
      <c r="G266" s="48"/>
      <c r="H266" s="83"/>
      <c r="I266" s="48"/>
    </row>
    <row r="267" spans="1:9" ht="14.4" x14ac:dyDescent="0.3">
      <c r="A267" s="48"/>
      <c r="B267" s="48"/>
      <c r="C267" s="48"/>
      <c r="D267" s="48"/>
      <c r="E267" s="49"/>
      <c r="F267" s="48"/>
      <c r="G267" s="48"/>
      <c r="H267" s="83"/>
      <c r="I267" s="48"/>
    </row>
    <row r="268" spans="1:9" ht="14.4" x14ac:dyDescent="0.3">
      <c r="A268" s="48"/>
      <c r="B268" s="48"/>
      <c r="C268" s="48"/>
      <c r="D268" s="48"/>
      <c r="E268" s="49"/>
      <c r="F268" s="48"/>
      <c r="G268" s="48"/>
      <c r="H268" s="83"/>
      <c r="I268" s="48"/>
    </row>
    <row r="269" spans="1:9" ht="14.4" x14ac:dyDescent="0.3">
      <c r="A269" s="48"/>
      <c r="B269" s="48"/>
      <c r="C269" s="48"/>
      <c r="D269" s="48"/>
      <c r="E269" s="49"/>
      <c r="F269" s="48"/>
      <c r="G269" s="48"/>
      <c r="H269" s="83"/>
      <c r="I269" s="48"/>
    </row>
    <row r="270" spans="1:9" ht="14.4" x14ac:dyDescent="0.3">
      <c r="A270" s="48"/>
      <c r="B270" s="48"/>
      <c r="C270" s="48"/>
      <c r="D270" s="48"/>
      <c r="E270" s="49"/>
      <c r="F270" s="48"/>
      <c r="G270" s="48"/>
      <c r="H270" s="83"/>
      <c r="I270" s="48"/>
    </row>
    <row r="271" spans="1:9" ht="14.4" x14ac:dyDescent="0.3">
      <c r="A271" s="48"/>
      <c r="B271" s="48"/>
      <c r="C271" s="48"/>
      <c r="D271" s="48"/>
      <c r="E271" s="49"/>
      <c r="F271" s="48"/>
      <c r="G271" s="48"/>
      <c r="H271" s="83"/>
      <c r="I271" s="48"/>
    </row>
    <row r="272" spans="1:9" ht="14.4" x14ac:dyDescent="0.3">
      <c r="A272" s="48"/>
      <c r="B272" s="48"/>
      <c r="C272" s="48"/>
      <c r="D272" s="48"/>
      <c r="E272" s="49"/>
      <c r="F272" s="48"/>
      <c r="G272" s="48"/>
      <c r="H272" s="83"/>
      <c r="I272" s="48"/>
    </row>
    <row r="273" spans="1:9" ht="14.4" x14ac:dyDescent="0.3">
      <c r="A273" s="48"/>
      <c r="B273" s="48"/>
      <c r="C273" s="48"/>
      <c r="D273" s="48"/>
      <c r="E273" s="49"/>
      <c r="F273" s="48"/>
      <c r="G273" s="48"/>
      <c r="H273" s="83"/>
      <c r="I273" s="48"/>
    </row>
    <row r="274" spans="1:9" ht="14.4" x14ac:dyDescent="0.3">
      <c r="A274" s="48"/>
      <c r="B274" s="48"/>
      <c r="C274" s="48"/>
      <c r="D274" s="48"/>
      <c r="E274" s="49"/>
      <c r="F274" s="48"/>
      <c r="G274" s="48"/>
      <c r="H274" s="83"/>
      <c r="I274" s="48"/>
    </row>
    <row r="275" spans="1:9" ht="14.4" x14ac:dyDescent="0.3">
      <c r="A275" s="48"/>
      <c r="B275" s="48"/>
      <c r="C275" s="48"/>
      <c r="D275" s="48"/>
      <c r="E275" s="49"/>
      <c r="F275" s="48"/>
      <c r="G275" s="48"/>
      <c r="H275" s="83"/>
      <c r="I275" s="48"/>
    </row>
    <row r="276" spans="1:9" ht="14.4" x14ac:dyDescent="0.3">
      <c r="A276" s="48"/>
      <c r="B276" s="48"/>
      <c r="C276" s="48"/>
      <c r="D276" s="48"/>
      <c r="E276" s="49"/>
      <c r="F276" s="48"/>
      <c r="G276" s="48"/>
      <c r="H276" s="83"/>
      <c r="I276" s="48"/>
    </row>
    <row r="277" spans="1:9" ht="14.4" x14ac:dyDescent="0.3">
      <c r="A277" s="48"/>
      <c r="B277" s="48"/>
      <c r="C277" s="48"/>
      <c r="D277" s="48"/>
      <c r="E277" s="49"/>
      <c r="F277" s="48"/>
      <c r="G277" s="48"/>
      <c r="H277" s="83"/>
      <c r="I277" s="48"/>
    </row>
    <row r="278" spans="1:9" ht="14.4" x14ac:dyDescent="0.3">
      <c r="A278" s="48"/>
      <c r="B278" s="48"/>
      <c r="C278" s="48"/>
      <c r="D278" s="48"/>
      <c r="E278" s="49"/>
      <c r="F278" s="48"/>
      <c r="G278" s="48"/>
      <c r="H278" s="83"/>
      <c r="I278" s="48"/>
    </row>
    <row r="279" spans="1:9" ht="14.4" x14ac:dyDescent="0.3">
      <c r="A279" s="48"/>
      <c r="B279" s="48"/>
      <c r="C279" s="48"/>
      <c r="D279" s="48"/>
      <c r="E279" s="49"/>
      <c r="F279" s="48"/>
      <c r="G279" s="48"/>
      <c r="H279" s="83"/>
      <c r="I279" s="48"/>
    </row>
    <row r="280" spans="1:9" ht="14.4" x14ac:dyDescent="0.3">
      <c r="A280" s="48"/>
      <c r="B280" s="48"/>
      <c r="C280" s="48"/>
      <c r="D280" s="48"/>
      <c r="E280" s="49"/>
      <c r="F280" s="48"/>
      <c r="G280" s="48"/>
      <c r="H280" s="83"/>
      <c r="I280" s="48"/>
    </row>
    <row r="281" spans="1:9" ht="14.4" x14ac:dyDescent="0.3">
      <c r="A281" s="48"/>
      <c r="B281" s="48"/>
      <c r="C281" s="48"/>
      <c r="D281" s="48"/>
      <c r="E281" s="49"/>
      <c r="F281" s="48"/>
      <c r="G281" s="48"/>
      <c r="H281" s="83"/>
      <c r="I281" s="48"/>
    </row>
    <row r="282" spans="1:9" ht="14.4" x14ac:dyDescent="0.3">
      <c r="A282" s="48"/>
      <c r="B282" s="48"/>
      <c r="C282" s="48"/>
      <c r="D282" s="48"/>
      <c r="E282" s="49"/>
      <c r="F282" s="48"/>
      <c r="G282" s="48"/>
      <c r="H282" s="83"/>
      <c r="I282" s="48"/>
    </row>
    <row r="283" spans="1:9" ht="14.4" x14ac:dyDescent="0.3">
      <c r="A283" s="48"/>
      <c r="B283" s="48"/>
      <c r="C283" s="48"/>
      <c r="D283" s="48"/>
      <c r="E283" s="49"/>
      <c r="F283" s="48"/>
      <c r="G283" s="48"/>
      <c r="H283" s="83"/>
      <c r="I283" s="48"/>
    </row>
    <row r="284" spans="1:9" ht="14.4" x14ac:dyDescent="0.3">
      <c r="A284" s="48"/>
      <c r="B284" s="48"/>
      <c r="C284" s="48"/>
      <c r="D284" s="48"/>
      <c r="E284" s="49"/>
      <c r="F284" s="48"/>
      <c r="G284" s="48"/>
      <c r="H284" s="83"/>
      <c r="I284" s="48"/>
    </row>
    <row r="285" spans="1:9" ht="14.4" x14ac:dyDescent="0.3">
      <c r="A285" s="48"/>
      <c r="B285" s="48"/>
      <c r="C285" s="48"/>
      <c r="D285" s="48"/>
      <c r="E285" s="49"/>
      <c r="F285" s="48"/>
      <c r="G285" s="48"/>
      <c r="H285" s="83"/>
      <c r="I285" s="48"/>
    </row>
    <row r="286" spans="1:9" ht="14.4" x14ac:dyDescent="0.3">
      <c r="A286" s="48"/>
      <c r="B286" s="48"/>
      <c r="C286" s="48"/>
      <c r="D286" s="48"/>
      <c r="E286" s="49"/>
      <c r="F286" s="48"/>
      <c r="G286" s="48"/>
      <c r="H286" s="83"/>
      <c r="I286" s="48"/>
    </row>
    <row r="287" spans="1:9" ht="14.4" x14ac:dyDescent="0.3">
      <c r="A287" s="48"/>
      <c r="B287" s="48"/>
      <c r="C287" s="48"/>
      <c r="D287" s="48"/>
      <c r="E287" s="49"/>
      <c r="F287" s="48"/>
      <c r="G287" s="48"/>
      <c r="H287" s="83"/>
      <c r="I287" s="48"/>
    </row>
    <row r="288" spans="1:9" ht="14.4" x14ac:dyDescent="0.3">
      <c r="A288" s="48"/>
      <c r="B288" s="48"/>
      <c r="C288" s="48"/>
      <c r="D288" s="48"/>
      <c r="E288" s="49"/>
      <c r="F288" s="48"/>
      <c r="G288" s="48"/>
      <c r="H288" s="83"/>
      <c r="I288" s="48"/>
    </row>
    <row r="289" spans="1:9" ht="14.4" x14ac:dyDescent="0.3">
      <c r="A289" s="48"/>
      <c r="B289" s="48"/>
      <c r="C289" s="48"/>
      <c r="D289" s="48"/>
      <c r="E289" s="49"/>
      <c r="F289" s="48"/>
      <c r="G289" s="48"/>
      <c r="H289" s="83"/>
      <c r="I289" s="48"/>
    </row>
    <row r="290" spans="1:9" ht="14.4" x14ac:dyDescent="0.3">
      <c r="A290" s="48"/>
      <c r="B290" s="48"/>
      <c r="C290" s="48"/>
      <c r="D290" s="48"/>
      <c r="E290" s="49"/>
      <c r="F290" s="48"/>
      <c r="G290" s="48"/>
      <c r="H290" s="83"/>
      <c r="I290" s="48"/>
    </row>
    <row r="291" spans="1:9" ht="14.4" x14ac:dyDescent="0.3">
      <c r="A291" s="48"/>
      <c r="B291" s="48"/>
      <c r="C291" s="48"/>
      <c r="D291" s="48"/>
      <c r="E291" s="49"/>
      <c r="F291" s="48"/>
      <c r="G291" s="48"/>
      <c r="H291" s="83"/>
      <c r="I291" s="48"/>
    </row>
    <row r="292" spans="1:9" ht="14.4" x14ac:dyDescent="0.3">
      <c r="A292" s="48"/>
      <c r="B292" s="48"/>
      <c r="C292" s="48"/>
      <c r="D292" s="48"/>
      <c r="E292" s="49"/>
      <c r="F292" s="48"/>
      <c r="G292" s="48"/>
      <c r="H292" s="83"/>
      <c r="I292" s="48"/>
    </row>
    <row r="293" spans="1:9" ht="14.4" x14ac:dyDescent="0.3">
      <c r="A293" s="48"/>
      <c r="B293" s="48"/>
      <c r="C293" s="48"/>
      <c r="D293" s="48"/>
      <c r="E293" s="49"/>
      <c r="F293" s="48"/>
      <c r="G293" s="48"/>
      <c r="H293" s="83"/>
      <c r="I293" s="48"/>
    </row>
    <row r="294" spans="1:9" ht="14.4" x14ac:dyDescent="0.3">
      <c r="A294" s="48"/>
      <c r="B294" s="48"/>
      <c r="C294" s="48"/>
      <c r="D294" s="48"/>
      <c r="E294" s="49"/>
      <c r="F294" s="48"/>
      <c r="G294" s="48"/>
      <c r="H294" s="83"/>
      <c r="I294" s="48"/>
    </row>
    <row r="295" spans="1:9" ht="14.4" x14ac:dyDescent="0.3">
      <c r="A295" s="48"/>
      <c r="B295" s="48"/>
      <c r="C295" s="48"/>
      <c r="D295" s="48"/>
      <c r="E295" s="49"/>
      <c r="F295" s="48"/>
      <c r="G295" s="48"/>
      <c r="H295" s="83"/>
      <c r="I295" s="48"/>
    </row>
    <row r="296" spans="1:9" ht="14.4" x14ac:dyDescent="0.3">
      <c r="A296" s="48"/>
      <c r="B296" s="48"/>
      <c r="C296" s="48"/>
      <c r="D296" s="48"/>
      <c r="E296" s="49"/>
      <c r="F296" s="48"/>
      <c r="G296" s="48"/>
      <c r="H296" s="83"/>
      <c r="I296" s="48"/>
    </row>
    <row r="297" spans="1:9" ht="14.4" x14ac:dyDescent="0.3">
      <c r="A297" s="48"/>
      <c r="B297" s="48"/>
      <c r="C297" s="48"/>
      <c r="D297" s="48"/>
      <c r="E297" s="49"/>
      <c r="F297" s="48"/>
      <c r="G297" s="48"/>
      <c r="H297" s="83"/>
      <c r="I297" s="48"/>
    </row>
    <row r="298" spans="1:9" ht="14.4" x14ac:dyDescent="0.3">
      <c r="A298" s="48"/>
      <c r="B298" s="48"/>
      <c r="C298" s="48"/>
      <c r="D298" s="48"/>
      <c r="E298" s="49"/>
      <c r="F298" s="48"/>
      <c r="G298" s="48"/>
      <c r="H298" s="83"/>
      <c r="I298" s="48"/>
    </row>
    <row r="299" spans="1:9" ht="14.4" x14ac:dyDescent="0.3">
      <c r="A299" s="48"/>
      <c r="B299" s="48"/>
      <c r="C299" s="48"/>
      <c r="D299" s="48"/>
      <c r="E299" s="49"/>
      <c r="F299" s="48"/>
      <c r="G299" s="48"/>
      <c r="H299" s="83"/>
      <c r="I299" s="48"/>
    </row>
    <row r="300" spans="1:9" ht="14.4" x14ac:dyDescent="0.3">
      <c r="A300" s="48"/>
      <c r="B300" s="48"/>
      <c r="C300" s="48"/>
      <c r="D300" s="48"/>
      <c r="E300" s="49"/>
      <c r="F300" s="48"/>
      <c r="G300" s="48"/>
      <c r="H300" s="83"/>
      <c r="I300" s="48"/>
    </row>
    <row r="301" spans="1:9" ht="14.4" x14ac:dyDescent="0.3">
      <c r="A301" s="48"/>
      <c r="B301" s="48"/>
      <c r="C301" s="48"/>
      <c r="D301" s="48"/>
      <c r="E301" s="49"/>
      <c r="F301" s="48"/>
      <c r="G301" s="48"/>
      <c r="H301" s="83"/>
      <c r="I301" s="48"/>
    </row>
    <row r="302" spans="1:9" ht="14.4" x14ac:dyDescent="0.3">
      <c r="A302" s="48"/>
      <c r="B302" s="48"/>
      <c r="C302" s="48"/>
      <c r="D302" s="48"/>
      <c r="E302" s="49"/>
      <c r="F302" s="48"/>
      <c r="G302" s="48"/>
      <c r="H302" s="83"/>
      <c r="I302" s="48"/>
    </row>
    <row r="303" spans="1:9" ht="14.4" x14ac:dyDescent="0.3">
      <c r="A303" s="48"/>
      <c r="B303" s="48"/>
      <c r="C303" s="48"/>
      <c r="D303" s="48"/>
      <c r="E303" s="49"/>
      <c r="F303" s="48"/>
      <c r="G303" s="48"/>
      <c r="H303" s="83"/>
      <c r="I303" s="48"/>
    </row>
    <row r="304" spans="1:9" ht="14.4" x14ac:dyDescent="0.3">
      <c r="A304" s="48"/>
      <c r="B304" s="48"/>
      <c r="C304" s="48"/>
      <c r="D304" s="48"/>
      <c r="E304" s="49"/>
      <c r="F304" s="48"/>
      <c r="G304" s="48"/>
      <c r="H304" s="83"/>
      <c r="I304" s="48"/>
    </row>
    <row r="305" spans="1:9" ht="14.4" x14ac:dyDescent="0.3">
      <c r="A305" s="48"/>
      <c r="B305" s="48"/>
      <c r="C305" s="48"/>
      <c r="D305" s="48"/>
      <c r="E305" s="49"/>
      <c r="F305" s="48"/>
      <c r="G305" s="48"/>
      <c r="H305" s="83"/>
      <c r="I305" s="48"/>
    </row>
    <row r="306" spans="1:9" ht="14.4" x14ac:dyDescent="0.3">
      <c r="A306" s="48"/>
      <c r="B306" s="48"/>
      <c r="C306" s="48"/>
      <c r="D306" s="48"/>
      <c r="E306" s="49"/>
      <c r="F306" s="48"/>
      <c r="G306" s="48"/>
      <c r="H306" s="83"/>
      <c r="I306" s="48"/>
    </row>
    <row r="307" spans="1:9" ht="14.4" x14ac:dyDescent="0.3">
      <c r="A307" s="48"/>
      <c r="B307" s="48"/>
      <c r="C307" s="48"/>
      <c r="D307" s="48"/>
      <c r="E307" s="49"/>
      <c r="F307" s="48"/>
      <c r="G307" s="48"/>
      <c r="H307" s="83"/>
      <c r="I307" s="48"/>
    </row>
    <row r="308" spans="1:9" ht="14.4" x14ac:dyDescent="0.3">
      <c r="A308" s="48"/>
      <c r="B308" s="48"/>
      <c r="C308" s="48"/>
      <c r="D308" s="48"/>
      <c r="E308" s="49"/>
      <c r="F308" s="48"/>
      <c r="G308" s="48"/>
      <c r="H308" s="83"/>
      <c r="I308" s="48"/>
    </row>
    <row r="309" spans="1:9" ht="14.4" x14ac:dyDescent="0.3">
      <c r="A309" s="48"/>
      <c r="B309" s="48"/>
      <c r="C309" s="48"/>
      <c r="D309" s="48"/>
      <c r="E309" s="49"/>
      <c r="F309" s="48"/>
      <c r="G309" s="48"/>
      <c r="H309" s="83"/>
      <c r="I309" s="48"/>
    </row>
    <row r="310" spans="1:9" ht="14.4" x14ac:dyDescent="0.3">
      <c r="A310" s="48"/>
      <c r="B310" s="48"/>
      <c r="C310" s="48"/>
      <c r="D310" s="48"/>
      <c r="E310" s="49"/>
      <c r="F310" s="48"/>
      <c r="G310" s="48"/>
      <c r="H310" s="83"/>
      <c r="I310" s="48"/>
    </row>
    <row r="311" spans="1:9" ht="14.4" x14ac:dyDescent="0.3">
      <c r="A311" s="48"/>
      <c r="B311" s="48"/>
      <c r="C311" s="48"/>
      <c r="D311" s="48"/>
      <c r="E311" s="49"/>
      <c r="F311" s="48"/>
      <c r="G311" s="48"/>
      <c r="H311" s="83"/>
      <c r="I311" s="48"/>
    </row>
    <row r="312" spans="1:9" ht="14.4" x14ac:dyDescent="0.3">
      <c r="A312" s="48"/>
      <c r="B312" s="48"/>
      <c r="C312" s="48"/>
      <c r="D312" s="48"/>
      <c r="E312" s="49"/>
      <c r="F312" s="48"/>
      <c r="G312" s="48"/>
      <c r="H312" s="83"/>
      <c r="I312" s="48"/>
    </row>
    <row r="313" spans="1:9" ht="14.4" x14ac:dyDescent="0.3">
      <c r="A313" s="48"/>
      <c r="B313" s="48"/>
      <c r="C313" s="48"/>
      <c r="D313" s="48"/>
      <c r="E313" s="49"/>
      <c r="F313" s="48"/>
      <c r="G313" s="48"/>
      <c r="H313" s="83"/>
      <c r="I313" s="48"/>
    </row>
    <row r="314" spans="1:9" ht="14.4" x14ac:dyDescent="0.3">
      <c r="A314" s="48"/>
      <c r="B314" s="48"/>
      <c r="C314" s="48"/>
      <c r="D314" s="48"/>
      <c r="E314" s="49"/>
      <c r="F314" s="48"/>
      <c r="G314" s="48"/>
      <c r="H314" s="83"/>
      <c r="I314" s="48"/>
    </row>
    <row r="315" spans="1:9" ht="14.4" x14ac:dyDescent="0.3">
      <c r="A315" s="48"/>
      <c r="B315" s="48"/>
      <c r="C315" s="48"/>
      <c r="D315" s="48"/>
      <c r="E315" s="49"/>
      <c r="F315" s="48"/>
      <c r="G315" s="48"/>
      <c r="H315" s="83"/>
      <c r="I315" s="48"/>
    </row>
    <row r="316" spans="1:9" ht="14.4" x14ac:dyDescent="0.3">
      <c r="A316" s="48"/>
      <c r="B316" s="48"/>
      <c r="C316" s="48"/>
      <c r="D316" s="48"/>
      <c r="E316" s="49"/>
      <c r="F316" s="48"/>
      <c r="G316" s="48"/>
      <c r="H316" s="83"/>
      <c r="I316" s="48"/>
    </row>
    <row r="317" spans="1:9" ht="14.4" x14ac:dyDescent="0.3">
      <c r="A317" s="48"/>
      <c r="B317" s="48"/>
      <c r="C317" s="48"/>
      <c r="D317" s="48"/>
      <c r="E317" s="49"/>
      <c r="F317" s="48"/>
      <c r="G317" s="48"/>
      <c r="H317" s="83"/>
      <c r="I317" s="48"/>
    </row>
    <row r="318" spans="1:9" ht="14.4" x14ac:dyDescent="0.3">
      <c r="A318" s="48"/>
      <c r="B318" s="48"/>
      <c r="C318" s="48"/>
      <c r="D318" s="48"/>
      <c r="E318" s="49"/>
      <c r="F318" s="48"/>
      <c r="G318" s="48"/>
      <c r="H318" s="83"/>
      <c r="I318" s="48"/>
    </row>
    <row r="319" spans="1:9" ht="14.4" x14ac:dyDescent="0.3">
      <c r="A319" s="48"/>
      <c r="B319" s="48"/>
      <c r="C319" s="48"/>
      <c r="D319" s="48"/>
      <c r="E319" s="49"/>
      <c r="F319" s="48"/>
      <c r="G319" s="48"/>
      <c r="H319" s="83"/>
      <c r="I319" s="48"/>
    </row>
    <row r="320" spans="1:9" ht="14.4" x14ac:dyDescent="0.3">
      <c r="A320" s="48"/>
      <c r="B320" s="48"/>
      <c r="C320" s="48"/>
      <c r="D320" s="48"/>
      <c r="E320" s="49"/>
      <c r="F320" s="48"/>
      <c r="G320" s="48"/>
      <c r="H320" s="83"/>
      <c r="I320" s="48"/>
    </row>
    <row r="321" spans="1:9" ht="14.4" x14ac:dyDescent="0.3">
      <c r="A321" s="48"/>
      <c r="B321" s="48"/>
      <c r="C321" s="48"/>
      <c r="D321" s="48"/>
      <c r="E321" s="49"/>
      <c r="F321" s="48"/>
      <c r="G321" s="48"/>
      <c r="H321" s="83"/>
      <c r="I321" s="48"/>
    </row>
    <row r="322" spans="1:9" ht="14.4" x14ac:dyDescent="0.3">
      <c r="A322" s="48"/>
      <c r="B322" s="48"/>
      <c r="C322" s="48"/>
      <c r="D322" s="48"/>
      <c r="E322" s="49"/>
      <c r="F322" s="48"/>
      <c r="G322" s="48"/>
      <c r="H322" s="83"/>
      <c r="I322" s="48"/>
    </row>
    <row r="323" spans="1:9" ht="14.4" x14ac:dyDescent="0.3">
      <c r="A323" s="48"/>
      <c r="B323" s="48"/>
      <c r="C323" s="48"/>
      <c r="D323" s="48"/>
      <c r="E323" s="49"/>
      <c r="F323" s="48"/>
      <c r="G323" s="48"/>
      <c r="H323" s="83"/>
      <c r="I323" s="48"/>
    </row>
    <row r="324" spans="1:9" ht="14.4" x14ac:dyDescent="0.3">
      <c r="A324" s="48"/>
      <c r="B324" s="48"/>
      <c r="C324" s="48"/>
      <c r="D324" s="48"/>
      <c r="E324" s="49"/>
      <c r="F324" s="48"/>
      <c r="G324" s="48"/>
      <c r="H324" s="83"/>
      <c r="I324" s="48"/>
    </row>
    <row r="325" spans="1:9" ht="14.4" x14ac:dyDescent="0.3">
      <c r="A325" s="48"/>
      <c r="B325" s="48"/>
      <c r="C325" s="48"/>
      <c r="D325" s="48"/>
      <c r="E325" s="49"/>
      <c r="F325" s="48"/>
      <c r="G325" s="48"/>
      <c r="H325" s="83"/>
      <c r="I325" s="48"/>
    </row>
    <row r="326" spans="1:9" ht="14.4" x14ac:dyDescent="0.3">
      <c r="A326" s="48"/>
      <c r="B326" s="48"/>
      <c r="C326" s="48"/>
      <c r="D326" s="48"/>
      <c r="E326" s="49"/>
      <c r="F326" s="48"/>
      <c r="G326" s="48"/>
      <c r="H326" s="83"/>
      <c r="I326" s="48"/>
    </row>
    <row r="327" spans="1:9" ht="14.4" x14ac:dyDescent="0.3">
      <c r="A327" s="48"/>
      <c r="B327" s="48"/>
      <c r="C327" s="48"/>
      <c r="D327" s="48"/>
      <c r="E327" s="49"/>
      <c r="F327" s="48"/>
      <c r="G327" s="48"/>
      <c r="H327" s="83"/>
      <c r="I327" s="48"/>
    </row>
    <row r="328" spans="1:9" ht="14.4" x14ac:dyDescent="0.3">
      <c r="A328" s="48"/>
      <c r="B328" s="48"/>
      <c r="C328" s="48"/>
      <c r="D328" s="48"/>
      <c r="E328" s="49"/>
      <c r="F328" s="48"/>
      <c r="G328" s="48"/>
      <c r="H328" s="83"/>
      <c r="I328" s="48"/>
    </row>
    <row r="329" spans="1:9" ht="14.4" x14ac:dyDescent="0.3">
      <c r="A329" s="48"/>
      <c r="B329" s="48"/>
      <c r="C329" s="48"/>
      <c r="D329" s="48"/>
      <c r="E329" s="49"/>
      <c r="F329" s="48"/>
      <c r="G329" s="48"/>
      <c r="H329" s="83"/>
      <c r="I329" s="48"/>
    </row>
    <row r="330" spans="1:9" ht="14.4" x14ac:dyDescent="0.3">
      <c r="A330" s="48"/>
      <c r="B330" s="48"/>
      <c r="C330" s="48"/>
      <c r="D330" s="48"/>
      <c r="E330" s="49"/>
      <c r="F330" s="48"/>
      <c r="G330" s="48"/>
      <c r="H330" s="83"/>
      <c r="I330" s="48"/>
    </row>
    <row r="331" spans="1:9" ht="14.4" x14ac:dyDescent="0.3">
      <c r="A331" s="48"/>
      <c r="B331" s="48"/>
      <c r="C331" s="48"/>
      <c r="D331" s="48"/>
      <c r="E331" s="49"/>
      <c r="F331" s="48"/>
      <c r="G331" s="48"/>
      <c r="H331" s="83"/>
      <c r="I331" s="48"/>
    </row>
    <row r="332" spans="1:9" ht="14.4" x14ac:dyDescent="0.3">
      <c r="A332" s="48"/>
      <c r="B332" s="48"/>
      <c r="C332" s="48"/>
      <c r="D332" s="48"/>
      <c r="E332" s="49"/>
      <c r="F332" s="48"/>
      <c r="G332" s="48"/>
      <c r="H332" s="83"/>
      <c r="I332" s="48"/>
    </row>
    <row r="333" spans="1:9" ht="14.4" x14ac:dyDescent="0.3">
      <c r="A333" s="48"/>
      <c r="B333" s="48"/>
      <c r="C333" s="48"/>
      <c r="D333" s="48"/>
      <c r="E333" s="49"/>
      <c r="F333" s="48"/>
      <c r="G333" s="48"/>
      <c r="H333" s="83"/>
      <c r="I333" s="48"/>
    </row>
    <row r="334" spans="1:9" ht="14.4" x14ac:dyDescent="0.3">
      <c r="A334" s="48"/>
      <c r="B334" s="48"/>
      <c r="C334" s="48"/>
      <c r="D334" s="48"/>
      <c r="E334" s="49"/>
      <c r="F334" s="48"/>
      <c r="G334" s="48"/>
      <c r="H334" s="83"/>
      <c r="I334" s="48"/>
    </row>
    <row r="335" spans="1:9" ht="14.4" x14ac:dyDescent="0.3">
      <c r="A335" s="48"/>
      <c r="B335" s="48"/>
      <c r="C335" s="48"/>
      <c r="D335" s="48"/>
      <c r="E335" s="49"/>
      <c r="F335" s="48"/>
      <c r="G335" s="48"/>
      <c r="H335" s="83"/>
      <c r="I335" s="48"/>
    </row>
    <row r="336" spans="1:9" ht="14.4" x14ac:dyDescent="0.3">
      <c r="A336" s="48"/>
      <c r="B336" s="48"/>
      <c r="C336" s="48"/>
      <c r="D336" s="48"/>
      <c r="E336" s="49"/>
      <c r="F336" s="48"/>
      <c r="G336" s="48"/>
      <c r="H336" s="83"/>
      <c r="I336" s="48"/>
    </row>
    <row r="337" spans="1:9" ht="14.4" x14ac:dyDescent="0.3">
      <c r="A337" s="48"/>
      <c r="B337" s="48"/>
      <c r="C337" s="48"/>
      <c r="D337" s="48"/>
      <c r="E337" s="49"/>
      <c r="F337" s="48"/>
      <c r="G337" s="48"/>
      <c r="H337" s="83"/>
      <c r="I337" s="48"/>
    </row>
    <row r="338" spans="1:9" ht="14.4" x14ac:dyDescent="0.3">
      <c r="A338" s="48"/>
      <c r="B338" s="48"/>
      <c r="C338" s="48"/>
      <c r="D338" s="48"/>
      <c r="E338" s="49"/>
      <c r="F338" s="48"/>
      <c r="G338" s="48"/>
      <c r="H338" s="83"/>
      <c r="I338" s="48"/>
    </row>
    <row r="339" spans="1:9" ht="14.4" x14ac:dyDescent="0.3">
      <c r="A339" s="48"/>
      <c r="B339" s="48"/>
      <c r="C339" s="48"/>
      <c r="D339" s="48"/>
      <c r="E339" s="49"/>
      <c r="F339" s="48"/>
      <c r="G339" s="48"/>
      <c r="H339" s="83"/>
      <c r="I339" s="48"/>
    </row>
    <row r="340" spans="1:9" ht="14.4" x14ac:dyDescent="0.3">
      <c r="A340" s="48"/>
      <c r="B340" s="48"/>
      <c r="C340" s="48"/>
      <c r="D340" s="48"/>
      <c r="E340" s="49"/>
      <c r="F340" s="48"/>
      <c r="G340" s="48"/>
      <c r="H340" s="83"/>
      <c r="I340" s="48"/>
    </row>
    <row r="341" spans="1:9" ht="14.4" x14ac:dyDescent="0.3">
      <c r="A341" s="48"/>
      <c r="B341" s="48"/>
      <c r="C341" s="48"/>
      <c r="D341" s="48"/>
      <c r="E341" s="49"/>
      <c r="F341" s="48"/>
      <c r="G341" s="48"/>
      <c r="H341" s="83"/>
      <c r="I341" s="48"/>
    </row>
    <row r="342" spans="1:9" ht="14.4" x14ac:dyDescent="0.3">
      <c r="A342" s="48"/>
      <c r="B342" s="48"/>
      <c r="C342" s="48"/>
      <c r="D342" s="48"/>
      <c r="E342" s="49"/>
      <c r="F342" s="48"/>
      <c r="G342" s="48"/>
      <c r="H342" s="83"/>
      <c r="I342" s="48"/>
    </row>
    <row r="343" spans="1:9" ht="14.4" x14ac:dyDescent="0.3">
      <c r="A343" s="48"/>
      <c r="B343" s="48"/>
      <c r="C343" s="48"/>
      <c r="D343" s="48"/>
      <c r="E343" s="49"/>
      <c r="F343" s="48"/>
      <c r="G343" s="48"/>
      <c r="H343" s="83"/>
      <c r="I343" s="48"/>
    </row>
    <row r="344" spans="1:9" ht="14.4" x14ac:dyDescent="0.3">
      <c r="A344" s="48"/>
      <c r="B344" s="48"/>
      <c r="C344" s="48"/>
      <c r="D344" s="48"/>
      <c r="E344" s="49"/>
      <c r="F344" s="48"/>
      <c r="G344" s="48"/>
      <c r="H344" s="83"/>
      <c r="I344" s="48"/>
    </row>
    <row r="345" spans="1:9" ht="14.4" x14ac:dyDescent="0.3">
      <c r="A345" s="48"/>
      <c r="B345" s="48"/>
      <c r="C345" s="48"/>
      <c r="D345" s="48"/>
      <c r="E345" s="49"/>
      <c r="F345" s="48"/>
      <c r="G345" s="48"/>
      <c r="H345" s="83"/>
      <c r="I345" s="48"/>
    </row>
    <row r="346" spans="1:9" ht="14.4" x14ac:dyDescent="0.3">
      <c r="A346" s="48"/>
      <c r="B346" s="48"/>
      <c r="C346" s="48"/>
      <c r="D346" s="48"/>
      <c r="E346" s="49"/>
      <c r="F346" s="48"/>
      <c r="G346" s="48"/>
      <c r="H346" s="83"/>
      <c r="I346" s="48"/>
    </row>
    <row r="347" spans="1:9" ht="14.4" x14ac:dyDescent="0.3">
      <c r="A347" s="48"/>
      <c r="B347" s="48"/>
      <c r="C347" s="48"/>
      <c r="D347" s="48"/>
      <c r="E347" s="49"/>
      <c r="F347" s="48"/>
      <c r="G347" s="48"/>
      <c r="H347" s="83"/>
      <c r="I347" s="48"/>
    </row>
    <row r="348" spans="1:9" ht="14.4" x14ac:dyDescent="0.3">
      <c r="A348" s="48"/>
      <c r="B348" s="48"/>
      <c r="C348" s="48"/>
      <c r="D348" s="48"/>
      <c r="E348" s="49"/>
      <c r="F348" s="48"/>
      <c r="G348" s="48"/>
      <c r="H348" s="83"/>
      <c r="I348" s="48"/>
    </row>
    <row r="349" spans="1:9" ht="14.4" x14ac:dyDescent="0.3">
      <c r="A349" s="48"/>
      <c r="B349" s="48"/>
      <c r="C349" s="48"/>
      <c r="D349" s="48"/>
      <c r="E349" s="49"/>
      <c r="F349" s="48"/>
      <c r="G349" s="48"/>
      <c r="H349" s="83"/>
      <c r="I349" s="48"/>
    </row>
    <row r="350" spans="1:9" ht="14.4" x14ac:dyDescent="0.3">
      <c r="A350" s="48"/>
      <c r="B350" s="48"/>
      <c r="C350" s="48"/>
      <c r="D350" s="48"/>
      <c r="E350" s="49"/>
      <c r="F350" s="48"/>
      <c r="G350" s="48"/>
      <c r="H350" s="83"/>
      <c r="I350" s="48"/>
    </row>
    <row r="351" spans="1:9" ht="14.4" x14ac:dyDescent="0.3">
      <c r="A351" s="48"/>
      <c r="B351" s="48"/>
      <c r="C351" s="48"/>
      <c r="D351" s="48"/>
      <c r="E351" s="49"/>
      <c r="F351" s="48"/>
      <c r="G351" s="48"/>
      <c r="H351" s="83"/>
      <c r="I351" s="48"/>
    </row>
    <row r="352" spans="1:9" ht="14.4" x14ac:dyDescent="0.3">
      <c r="A352" s="48"/>
      <c r="B352" s="48"/>
      <c r="C352" s="48"/>
      <c r="D352" s="48"/>
      <c r="E352" s="49"/>
      <c r="F352" s="48"/>
      <c r="G352" s="48"/>
      <c r="H352" s="83"/>
      <c r="I352" s="48"/>
    </row>
    <row r="353" spans="1:9" ht="14.4" x14ac:dyDescent="0.3">
      <c r="A353" s="48"/>
      <c r="B353" s="48"/>
      <c r="C353" s="48"/>
      <c r="D353" s="48"/>
      <c r="E353" s="49"/>
      <c r="F353" s="48"/>
      <c r="G353" s="48"/>
      <c r="H353" s="83"/>
      <c r="I353" s="48"/>
    </row>
    <row r="354" spans="1:9" ht="14.4" x14ac:dyDescent="0.3">
      <c r="A354" s="48"/>
      <c r="B354" s="48"/>
      <c r="C354" s="48"/>
      <c r="D354" s="48"/>
      <c r="E354" s="49"/>
      <c r="F354" s="48"/>
      <c r="G354" s="48"/>
      <c r="H354" s="83"/>
      <c r="I354" s="48"/>
    </row>
    <row r="355" spans="1:9" ht="14.4" x14ac:dyDescent="0.3">
      <c r="A355" s="48"/>
      <c r="B355" s="48"/>
      <c r="C355" s="48"/>
      <c r="D355" s="48"/>
      <c r="E355" s="49"/>
      <c r="F355" s="48"/>
      <c r="G355" s="48"/>
      <c r="H355" s="83"/>
      <c r="I355" s="48"/>
    </row>
    <row r="356" spans="1:9" ht="14.4" x14ac:dyDescent="0.3">
      <c r="A356" s="48"/>
      <c r="B356" s="48"/>
      <c r="C356" s="48"/>
      <c r="D356" s="48"/>
      <c r="E356" s="49"/>
      <c r="F356" s="48"/>
      <c r="G356" s="48"/>
      <c r="H356" s="83"/>
      <c r="I356" s="48"/>
    </row>
    <row r="357" spans="1:9" ht="14.4" x14ac:dyDescent="0.3">
      <c r="A357" s="48"/>
      <c r="B357" s="48"/>
      <c r="C357" s="48"/>
      <c r="D357" s="48"/>
      <c r="E357" s="49"/>
      <c r="F357" s="48"/>
      <c r="G357" s="48"/>
      <c r="H357" s="83"/>
      <c r="I357" s="48"/>
    </row>
    <row r="358" spans="1:9" ht="14.4" x14ac:dyDescent="0.3">
      <c r="A358" s="48"/>
      <c r="B358" s="48"/>
      <c r="C358" s="48"/>
      <c r="D358" s="48"/>
      <c r="E358" s="49"/>
      <c r="F358" s="48"/>
      <c r="G358" s="48"/>
      <c r="H358" s="83"/>
      <c r="I358" s="48"/>
    </row>
    <row r="359" spans="1:9" ht="14.4" x14ac:dyDescent="0.3">
      <c r="A359" s="48"/>
      <c r="B359" s="48"/>
      <c r="C359" s="48"/>
      <c r="D359" s="48"/>
      <c r="E359" s="49"/>
      <c r="F359" s="48"/>
      <c r="G359" s="48"/>
      <c r="H359" s="83"/>
      <c r="I359" s="48"/>
    </row>
    <row r="360" spans="1:9" ht="14.4" x14ac:dyDescent="0.3">
      <c r="A360" s="48"/>
      <c r="B360" s="48"/>
      <c r="C360" s="48"/>
      <c r="D360" s="48"/>
      <c r="E360" s="49"/>
      <c r="F360" s="48"/>
      <c r="G360" s="48"/>
      <c r="H360" s="83"/>
      <c r="I360" s="48"/>
    </row>
    <row r="361" spans="1:9" ht="14.4" x14ac:dyDescent="0.3">
      <c r="A361" s="48"/>
      <c r="B361" s="48"/>
      <c r="C361" s="48"/>
      <c r="D361" s="48"/>
      <c r="E361" s="49"/>
      <c r="F361" s="48"/>
      <c r="G361" s="48"/>
      <c r="H361" s="83"/>
      <c r="I361" s="48"/>
    </row>
    <row r="362" spans="1:9" ht="14.4" x14ac:dyDescent="0.3">
      <c r="A362" s="48"/>
      <c r="B362" s="48"/>
      <c r="C362" s="48"/>
      <c r="D362" s="48"/>
      <c r="E362" s="49"/>
      <c r="F362" s="48"/>
      <c r="G362" s="48"/>
      <c r="H362" s="83"/>
      <c r="I362" s="48"/>
    </row>
    <row r="363" spans="1:9" ht="14.4" x14ac:dyDescent="0.3">
      <c r="A363" s="48"/>
      <c r="B363" s="48"/>
      <c r="C363" s="48"/>
      <c r="D363" s="48"/>
      <c r="E363" s="49"/>
      <c r="F363" s="48"/>
      <c r="G363" s="48"/>
      <c r="H363" s="83"/>
      <c r="I363" s="48"/>
    </row>
    <row r="364" spans="1:9" ht="14.4" x14ac:dyDescent="0.3">
      <c r="A364" s="48"/>
      <c r="B364" s="48"/>
      <c r="C364" s="48"/>
      <c r="D364" s="48"/>
      <c r="E364" s="49"/>
      <c r="F364" s="48"/>
      <c r="G364" s="48"/>
      <c r="H364" s="83"/>
      <c r="I364" s="48"/>
    </row>
    <row r="365" spans="1:9" ht="14.4" x14ac:dyDescent="0.3">
      <c r="A365" s="48"/>
      <c r="B365" s="48"/>
      <c r="C365" s="48"/>
      <c r="D365" s="48"/>
      <c r="E365" s="49"/>
      <c r="F365" s="48"/>
      <c r="G365" s="48"/>
      <c r="H365" s="83"/>
      <c r="I365" s="48"/>
    </row>
    <row r="366" spans="1:9" ht="14.4" x14ac:dyDescent="0.3">
      <c r="A366" s="48"/>
      <c r="B366" s="48"/>
      <c r="C366" s="48"/>
      <c r="D366" s="48"/>
      <c r="E366" s="49"/>
      <c r="F366" s="48"/>
      <c r="G366" s="48"/>
      <c r="H366" s="83"/>
      <c r="I366" s="48"/>
    </row>
    <row r="367" spans="1:9" ht="14.4" x14ac:dyDescent="0.3">
      <c r="A367" s="48"/>
      <c r="B367" s="48"/>
      <c r="C367" s="48"/>
      <c r="D367" s="48"/>
      <c r="E367" s="49"/>
      <c r="F367" s="48"/>
      <c r="G367" s="48"/>
      <c r="H367" s="83"/>
      <c r="I367" s="48"/>
    </row>
    <row r="368" spans="1:9" ht="14.4" x14ac:dyDescent="0.3">
      <c r="A368" s="48"/>
      <c r="B368" s="48"/>
      <c r="C368" s="48"/>
      <c r="D368" s="48"/>
      <c r="E368" s="49"/>
      <c r="F368" s="48"/>
      <c r="G368" s="48"/>
      <c r="H368" s="83"/>
      <c r="I368" s="48"/>
    </row>
    <row r="369" spans="1:9" ht="14.4" x14ac:dyDescent="0.3">
      <c r="A369" s="48"/>
      <c r="B369" s="48"/>
      <c r="C369" s="48"/>
      <c r="D369" s="48"/>
      <c r="E369" s="49"/>
      <c r="F369" s="48"/>
      <c r="G369" s="48"/>
      <c r="H369" s="83"/>
      <c r="I369" s="48"/>
    </row>
    <row r="370" spans="1:9" ht="14.4" x14ac:dyDescent="0.3">
      <c r="A370" s="48"/>
      <c r="B370" s="48"/>
      <c r="C370" s="48"/>
      <c r="D370" s="48"/>
      <c r="E370" s="49"/>
      <c r="F370" s="48"/>
      <c r="G370" s="48"/>
      <c r="H370" s="83"/>
      <c r="I370" s="48"/>
    </row>
    <row r="371" spans="1:9" ht="14.4" x14ac:dyDescent="0.3">
      <c r="A371" s="48"/>
      <c r="B371" s="48"/>
      <c r="C371" s="48"/>
      <c r="D371" s="48"/>
      <c r="E371" s="49"/>
      <c r="F371" s="48"/>
      <c r="G371" s="48"/>
      <c r="H371" s="83"/>
      <c r="I371" s="48"/>
    </row>
    <row r="372" spans="1:9" ht="14.4" x14ac:dyDescent="0.3">
      <c r="A372" s="48"/>
      <c r="B372" s="48"/>
      <c r="C372" s="48"/>
      <c r="D372" s="48"/>
      <c r="E372" s="49"/>
      <c r="F372" s="48"/>
      <c r="G372" s="48"/>
      <c r="H372" s="83"/>
      <c r="I372" s="48"/>
    </row>
    <row r="373" spans="1:9" ht="14.4" x14ac:dyDescent="0.3">
      <c r="A373" s="48"/>
      <c r="B373" s="48"/>
      <c r="C373" s="48"/>
      <c r="D373" s="48"/>
      <c r="E373" s="49"/>
      <c r="F373" s="48"/>
      <c r="G373" s="48"/>
      <c r="H373" s="83"/>
      <c r="I373" s="48"/>
    </row>
    <row r="374" spans="1:9" ht="14.4" x14ac:dyDescent="0.3">
      <c r="A374" s="48"/>
      <c r="B374" s="48"/>
      <c r="C374" s="48"/>
      <c r="D374" s="48"/>
      <c r="E374" s="49"/>
      <c r="F374" s="48"/>
      <c r="G374" s="48"/>
      <c r="H374" s="83"/>
      <c r="I374" s="48"/>
    </row>
    <row r="375" spans="1:9" ht="14.4" x14ac:dyDescent="0.3">
      <c r="A375" s="48"/>
      <c r="B375" s="48"/>
      <c r="C375" s="48"/>
      <c r="D375" s="48"/>
      <c r="E375" s="49"/>
      <c r="F375" s="48"/>
      <c r="G375" s="48"/>
      <c r="H375" s="83"/>
      <c r="I375" s="48"/>
    </row>
    <row r="376" spans="1:9" ht="14.4" x14ac:dyDescent="0.3">
      <c r="A376" s="48"/>
      <c r="B376" s="48"/>
      <c r="C376" s="48"/>
      <c r="D376" s="48"/>
      <c r="E376" s="49"/>
      <c r="F376" s="48"/>
      <c r="G376" s="48"/>
      <c r="H376" s="83"/>
      <c r="I376" s="48"/>
    </row>
    <row r="377" spans="1:9" ht="14.4" x14ac:dyDescent="0.3">
      <c r="A377" s="48"/>
      <c r="B377" s="48"/>
      <c r="C377" s="48"/>
      <c r="D377" s="48"/>
      <c r="E377" s="49"/>
      <c r="F377" s="48"/>
      <c r="G377" s="48"/>
      <c r="H377" s="83"/>
      <c r="I377" s="48"/>
    </row>
    <row r="378" spans="1:9" ht="14.4" x14ac:dyDescent="0.3">
      <c r="A378" s="48"/>
      <c r="B378" s="48"/>
      <c r="C378" s="48"/>
      <c r="D378" s="48"/>
      <c r="E378" s="49"/>
      <c r="F378" s="48"/>
      <c r="G378" s="48"/>
      <c r="H378" s="83"/>
      <c r="I378" s="48"/>
    </row>
    <row r="379" spans="1:9" ht="14.4" x14ac:dyDescent="0.3">
      <c r="A379" s="48"/>
      <c r="B379" s="48"/>
      <c r="C379" s="48"/>
      <c r="D379" s="48"/>
      <c r="E379" s="49"/>
      <c r="F379" s="48"/>
      <c r="G379" s="48"/>
      <c r="H379" s="83"/>
      <c r="I379" s="48"/>
    </row>
    <row r="380" spans="1:9" ht="14.4" x14ac:dyDescent="0.3">
      <c r="A380" s="48"/>
      <c r="B380" s="48"/>
      <c r="C380" s="48"/>
      <c r="D380" s="48"/>
      <c r="E380" s="49"/>
      <c r="F380" s="48"/>
      <c r="G380" s="48"/>
      <c r="H380" s="83"/>
      <c r="I380" s="48"/>
    </row>
    <row r="381" spans="1:9" ht="14.4" x14ac:dyDescent="0.3">
      <c r="A381" s="48"/>
      <c r="B381" s="48"/>
      <c r="C381" s="48"/>
      <c r="D381" s="48"/>
      <c r="E381" s="49"/>
      <c r="F381" s="48"/>
      <c r="G381" s="48"/>
      <c r="H381" s="83"/>
      <c r="I381" s="48"/>
    </row>
    <row r="382" spans="1:9" ht="14.4" x14ac:dyDescent="0.3">
      <c r="A382" s="48"/>
      <c r="B382" s="48"/>
      <c r="C382" s="48"/>
      <c r="D382" s="48"/>
      <c r="E382" s="49"/>
      <c r="F382" s="48"/>
      <c r="G382" s="48"/>
      <c r="H382" s="83"/>
      <c r="I382" s="48"/>
    </row>
    <row r="383" spans="1:9" ht="14.4" x14ac:dyDescent="0.3">
      <c r="A383" s="48"/>
      <c r="B383" s="48"/>
      <c r="C383" s="48"/>
      <c r="D383" s="48"/>
      <c r="E383" s="49"/>
      <c r="F383" s="48"/>
      <c r="G383" s="48"/>
      <c r="H383" s="83"/>
      <c r="I383" s="48"/>
    </row>
    <row r="384" spans="1:9" ht="14.4" x14ac:dyDescent="0.3">
      <c r="A384" s="48"/>
      <c r="B384" s="48"/>
      <c r="C384" s="48"/>
      <c r="D384" s="48"/>
      <c r="E384" s="49"/>
      <c r="F384" s="48"/>
      <c r="G384" s="48"/>
      <c r="H384" s="83"/>
      <c r="I384" s="48"/>
    </row>
    <row r="385" spans="1:9" ht="14.4" x14ac:dyDescent="0.3">
      <c r="A385" s="48"/>
      <c r="B385" s="48"/>
      <c r="C385" s="48"/>
      <c r="D385" s="48"/>
      <c r="E385" s="49"/>
      <c r="F385" s="48"/>
      <c r="G385" s="48"/>
      <c r="H385" s="83"/>
      <c r="I385" s="48"/>
    </row>
    <row r="386" spans="1:9" ht="14.4" x14ac:dyDescent="0.3">
      <c r="A386" s="48"/>
      <c r="B386" s="48"/>
      <c r="C386" s="48"/>
      <c r="D386" s="48"/>
      <c r="E386" s="49"/>
      <c r="F386" s="48"/>
      <c r="G386" s="48"/>
      <c r="H386" s="83"/>
      <c r="I386" s="48"/>
    </row>
    <row r="387" spans="1:9" ht="14.4" x14ac:dyDescent="0.3">
      <c r="A387" s="48"/>
      <c r="B387" s="48"/>
      <c r="C387" s="48"/>
      <c r="D387" s="48"/>
      <c r="E387" s="49"/>
      <c r="F387" s="48"/>
      <c r="G387" s="48"/>
      <c r="H387" s="83"/>
      <c r="I387" s="48"/>
    </row>
    <row r="388" spans="1:9" ht="14.4" x14ac:dyDescent="0.3">
      <c r="A388" s="48"/>
      <c r="B388" s="48"/>
      <c r="C388" s="48"/>
      <c r="D388" s="48"/>
      <c r="E388" s="49"/>
      <c r="F388" s="48"/>
      <c r="G388" s="48"/>
      <c r="H388" s="83"/>
      <c r="I388" s="48"/>
    </row>
    <row r="389" spans="1:9" ht="14.4" x14ac:dyDescent="0.3">
      <c r="A389" s="48"/>
      <c r="B389" s="48"/>
      <c r="C389" s="48"/>
      <c r="D389" s="48"/>
      <c r="E389" s="49"/>
      <c r="F389" s="48"/>
      <c r="G389" s="48"/>
      <c r="H389" s="83"/>
      <c r="I389" s="48"/>
    </row>
    <row r="390" spans="1:9" ht="14.4" x14ac:dyDescent="0.3">
      <c r="A390" s="48"/>
      <c r="B390" s="48"/>
      <c r="C390" s="48"/>
      <c r="D390" s="48"/>
      <c r="E390" s="49"/>
      <c r="F390" s="48"/>
      <c r="G390" s="48"/>
      <c r="H390" s="83"/>
      <c r="I390" s="48"/>
    </row>
    <row r="391" spans="1:9" ht="14.4" x14ac:dyDescent="0.3">
      <c r="A391" s="48"/>
      <c r="B391" s="48"/>
      <c r="C391" s="48"/>
      <c r="D391" s="48"/>
      <c r="E391" s="49"/>
      <c r="F391" s="48"/>
      <c r="G391" s="48"/>
      <c r="H391" s="83"/>
      <c r="I391" s="48"/>
    </row>
    <row r="392" spans="1:9" ht="14.4" x14ac:dyDescent="0.3">
      <c r="A392" s="48"/>
      <c r="B392" s="48"/>
      <c r="C392" s="48"/>
      <c r="D392" s="48"/>
      <c r="E392" s="49"/>
      <c r="F392" s="48"/>
      <c r="G392" s="48"/>
      <c r="H392" s="83"/>
      <c r="I392" s="48"/>
    </row>
    <row r="393" spans="1:9" ht="14.4" x14ac:dyDescent="0.3">
      <c r="A393" s="48"/>
      <c r="B393" s="48"/>
      <c r="C393" s="48"/>
      <c r="D393" s="48"/>
      <c r="E393" s="49"/>
      <c r="F393" s="48"/>
      <c r="G393" s="48"/>
      <c r="H393" s="83"/>
      <c r="I393" s="48"/>
    </row>
    <row r="394" spans="1:9" ht="14.4" x14ac:dyDescent="0.3">
      <c r="A394" s="48"/>
      <c r="B394" s="48"/>
      <c r="C394" s="48"/>
      <c r="D394" s="48"/>
      <c r="E394" s="49"/>
      <c r="F394" s="48"/>
      <c r="G394" s="48"/>
      <c r="H394" s="83"/>
      <c r="I394" s="48"/>
    </row>
    <row r="395" spans="1:9" ht="14.4" x14ac:dyDescent="0.3">
      <c r="A395" s="48"/>
      <c r="B395" s="48"/>
      <c r="C395" s="48"/>
      <c r="D395" s="48"/>
      <c r="E395" s="49"/>
      <c r="F395" s="48"/>
      <c r="G395" s="48"/>
      <c r="H395" s="83"/>
      <c r="I395" s="48"/>
    </row>
    <row r="396" spans="1:9" ht="14.4" x14ac:dyDescent="0.3">
      <c r="A396" s="48"/>
      <c r="B396" s="48"/>
      <c r="C396" s="48"/>
      <c r="D396" s="48"/>
      <c r="E396" s="49"/>
      <c r="F396" s="48"/>
      <c r="G396" s="48"/>
      <c r="H396" s="83"/>
      <c r="I396" s="48"/>
    </row>
    <row r="397" spans="1:9" ht="14.4" x14ac:dyDescent="0.3">
      <c r="A397" s="48"/>
      <c r="B397" s="48"/>
      <c r="C397" s="48"/>
      <c r="D397" s="48"/>
      <c r="E397" s="49"/>
      <c r="F397" s="48"/>
      <c r="G397" s="48"/>
      <c r="H397" s="83"/>
      <c r="I397" s="48"/>
    </row>
    <row r="398" spans="1:9" ht="14.4" x14ac:dyDescent="0.3">
      <c r="A398" s="48"/>
      <c r="B398" s="48"/>
      <c r="C398" s="48"/>
      <c r="D398" s="48"/>
      <c r="E398" s="49"/>
      <c r="F398" s="48"/>
      <c r="G398" s="48"/>
      <c r="H398" s="83"/>
      <c r="I398" s="48"/>
    </row>
    <row r="399" spans="1:9" ht="14.4" x14ac:dyDescent="0.3">
      <c r="A399" s="48"/>
      <c r="B399" s="48"/>
      <c r="C399" s="48"/>
      <c r="D399" s="48"/>
      <c r="E399" s="49"/>
      <c r="F399" s="48"/>
      <c r="G399" s="48"/>
      <c r="H399" s="83"/>
      <c r="I399" s="48"/>
    </row>
    <row r="400" spans="1:9" ht="14.4" x14ac:dyDescent="0.3">
      <c r="A400" s="48"/>
      <c r="B400" s="48"/>
      <c r="C400" s="48"/>
      <c r="D400" s="48"/>
      <c r="E400" s="49"/>
      <c r="F400" s="48"/>
      <c r="G400" s="48"/>
      <c r="H400" s="83"/>
      <c r="I400" s="48"/>
    </row>
    <row r="401" spans="1:9" ht="14.4" x14ac:dyDescent="0.3">
      <c r="A401" s="48"/>
      <c r="B401" s="48"/>
      <c r="C401" s="48"/>
      <c r="D401" s="48"/>
      <c r="E401" s="49"/>
      <c r="F401" s="48"/>
      <c r="G401" s="48"/>
      <c r="H401" s="83"/>
      <c r="I401" s="48"/>
    </row>
    <row r="402" spans="1:9" ht="14.4" x14ac:dyDescent="0.3">
      <c r="A402" s="48"/>
      <c r="B402" s="48"/>
      <c r="C402" s="48"/>
      <c r="D402" s="48"/>
      <c r="E402" s="49"/>
      <c r="F402" s="48"/>
      <c r="G402" s="48"/>
      <c r="H402" s="83"/>
      <c r="I402" s="48"/>
    </row>
    <row r="403" spans="1:9" ht="14.4" x14ac:dyDescent="0.3">
      <c r="A403" s="48"/>
      <c r="B403" s="48"/>
      <c r="C403" s="48"/>
      <c r="D403" s="48"/>
      <c r="E403" s="49"/>
      <c r="F403" s="48"/>
      <c r="G403" s="48"/>
      <c r="H403" s="83"/>
      <c r="I403" s="48"/>
    </row>
    <row r="404" spans="1:9" ht="14.4" x14ac:dyDescent="0.3">
      <c r="A404" s="48"/>
      <c r="B404" s="48"/>
      <c r="C404" s="48"/>
      <c r="D404" s="48"/>
      <c r="E404" s="49"/>
      <c r="F404" s="48"/>
      <c r="G404" s="48"/>
      <c r="H404" s="83"/>
      <c r="I404" s="48"/>
    </row>
    <row r="405" spans="1:9" ht="14.4" x14ac:dyDescent="0.3">
      <c r="A405" s="48"/>
      <c r="B405" s="48"/>
      <c r="C405" s="48"/>
      <c r="D405" s="48"/>
      <c r="E405" s="49"/>
      <c r="F405" s="48"/>
      <c r="G405" s="48"/>
      <c r="H405" s="83"/>
      <c r="I405" s="48"/>
    </row>
    <row r="406" spans="1:9" ht="14.4" x14ac:dyDescent="0.3">
      <c r="A406" s="48"/>
      <c r="B406" s="48"/>
      <c r="C406" s="48"/>
      <c r="D406" s="48"/>
      <c r="E406" s="49"/>
      <c r="F406" s="48"/>
      <c r="G406" s="48"/>
      <c r="H406" s="83"/>
      <c r="I406" s="48"/>
    </row>
    <row r="407" spans="1:9" ht="14.4" x14ac:dyDescent="0.3">
      <c r="A407" s="48"/>
      <c r="B407" s="48"/>
      <c r="C407" s="48"/>
      <c r="D407" s="48"/>
      <c r="E407" s="49"/>
      <c r="F407" s="48"/>
      <c r="G407" s="48"/>
      <c r="H407" s="83"/>
      <c r="I407" s="48"/>
    </row>
    <row r="408" spans="1:9" ht="14.4" x14ac:dyDescent="0.3">
      <c r="A408" s="48"/>
      <c r="B408" s="48"/>
      <c r="C408" s="48"/>
      <c r="D408" s="48"/>
      <c r="E408" s="49"/>
      <c r="F408" s="48"/>
      <c r="G408" s="48"/>
      <c r="H408" s="83"/>
      <c r="I408" s="48"/>
    </row>
    <row r="409" spans="1:9" ht="14.4" x14ac:dyDescent="0.3">
      <c r="A409" s="48"/>
      <c r="B409" s="48"/>
      <c r="C409" s="48"/>
      <c r="D409" s="48"/>
      <c r="E409" s="49"/>
      <c r="F409" s="48"/>
      <c r="G409" s="48"/>
      <c r="H409" s="83"/>
      <c r="I409" s="48"/>
    </row>
    <row r="410" spans="1:9" ht="14.4" x14ac:dyDescent="0.3">
      <c r="A410" s="48"/>
      <c r="B410" s="48"/>
      <c r="C410" s="48"/>
      <c r="D410" s="48"/>
      <c r="E410" s="49"/>
      <c r="F410" s="48"/>
      <c r="G410" s="48"/>
      <c r="H410" s="83"/>
      <c r="I410" s="48"/>
    </row>
    <row r="411" spans="1:9" ht="14.4" x14ac:dyDescent="0.3">
      <c r="A411" s="48"/>
      <c r="B411" s="48"/>
      <c r="C411" s="48"/>
      <c r="D411" s="48"/>
      <c r="E411" s="49"/>
      <c r="F411" s="48"/>
      <c r="G411" s="48"/>
      <c r="H411" s="83"/>
      <c r="I411" s="48"/>
    </row>
    <row r="412" spans="1:9" ht="14.4" x14ac:dyDescent="0.3">
      <c r="A412" s="48"/>
      <c r="B412" s="48"/>
      <c r="C412" s="48"/>
      <c r="D412" s="48"/>
      <c r="E412" s="49"/>
      <c r="F412" s="48"/>
      <c r="G412" s="48"/>
      <c r="H412" s="83"/>
      <c r="I412" s="48"/>
    </row>
    <row r="413" spans="1:9" ht="15" thickBot="1" x14ac:dyDescent="0.35">
      <c r="A413" s="48"/>
      <c r="B413" s="48"/>
      <c r="C413" s="48"/>
      <c r="D413" s="48"/>
      <c r="E413" s="49"/>
      <c r="F413" s="48"/>
      <c r="G413" s="48"/>
      <c r="H413" s="83"/>
      <c r="I413" s="48"/>
    </row>
    <row r="414" spans="1:9" ht="14.4" x14ac:dyDescent="0.3"/>
    <row r="415" spans="1:9" ht="14.4" x14ac:dyDescent="0.3"/>
  </sheetData>
  <sortState ref="E63:H70">
    <sortCondition descending="1" ref="H63:H70"/>
  </sortState>
  <mergeCells count="58">
    <mergeCell ref="D83:D86"/>
    <mergeCell ref="B83:B86"/>
    <mergeCell ref="D21:D24"/>
    <mergeCell ref="B21:B24"/>
    <mergeCell ref="D2:D8"/>
    <mergeCell ref="B2:B8"/>
    <mergeCell ref="D14:D15"/>
    <mergeCell ref="B14:B15"/>
    <mergeCell ref="D80:D81"/>
    <mergeCell ref="B80:B81"/>
    <mergeCell ref="C80:C81"/>
    <mergeCell ref="C83:C86"/>
    <mergeCell ref="B37:B40"/>
    <mergeCell ref="D37:D40"/>
    <mergeCell ref="B44:B45"/>
    <mergeCell ref="D44:D45"/>
    <mergeCell ref="B97:B98"/>
    <mergeCell ref="D97:D98"/>
    <mergeCell ref="C97:C98"/>
    <mergeCell ref="D88:D95"/>
    <mergeCell ref="B88:B95"/>
    <mergeCell ref="C88:C95"/>
    <mergeCell ref="D56"/>
    <mergeCell ref="D47:D51"/>
    <mergeCell ref="B47:B51"/>
    <mergeCell ref="D53:D54"/>
    <mergeCell ref="B53:B54"/>
    <mergeCell ref="B58:B59"/>
    <mergeCell ref="D58:D59"/>
    <mergeCell ref="D61:D65"/>
    <mergeCell ref="B17"/>
    <mergeCell ref="D17"/>
    <mergeCell ref="D26:D27"/>
    <mergeCell ref="B26:B27"/>
    <mergeCell ref="D29"/>
    <mergeCell ref="B29"/>
    <mergeCell ref="D31:D35"/>
    <mergeCell ref="B31:B35"/>
    <mergeCell ref="C44:C45"/>
    <mergeCell ref="C47:C51"/>
    <mergeCell ref="C53:C54"/>
    <mergeCell ref="C58:C59"/>
    <mergeCell ref="B56"/>
    <mergeCell ref="C74:C78"/>
    <mergeCell ref="B74:B78"/>
    <mergeCell ref="B61:B65"/>
    <mergeCell ref="D67"/>
    <mergeCell ref="B67"/>
    <mergeCell ref="C69:C70"/>
    <mergeCell ref="B69:B70"/>
    <mergeCell ref="D74:D78"/>
    <mergeCell ref="C61:C65"/>
    <mergeCell ref="C2:C8"/>
    <mergeCell ref="C21:C24"/>
    <mergeCell ref="C26:C27"/>
    <mergeCell ref="C31:C35"/>
    <mergeCell ref="C37:C40"/>
    <mergeCell ref="C14:C15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57"/>
  <sheetViews>
    <sheetView topLeftCell="B1" workbookViewId="0">
      <selection activeCell="F10" sqref="F10"/>
    </sheetView>
  </sheetViews>
  <sheetFormatPr defaultRowHeight="15.6" thickTop="1" thickBottom="1" x14ac:dyDescent="0.35"/>
  <cols>
    <col min="3" max="3" width="10.109375" style="43" customWidth="1"/>
    <col min="4" max="4" width="48.77734375" style="43" customWidth="1"/>
    <col min="5" max="5" width="8.88671875" style="42"/>
  </cols>
  <sheetData>
    <row r="1" spans="3:6" ht="64.2" thickTop="1" thickBot="1" x14ac:dyDescent="0.35">
      <c r="C1" s="51" t="s">
        <v>167</v>
      </c>
      <c r="D1" s="51" t="s">
        <v>168</v>
      </c>
      <c r="E1" s="51" t="s">
        <v>169</v>
      </c>
      <c r="F1" s="51" t="s">
        <v>211</v>
      </c>
    </row>
    <row r="2" spans="3:6" ht="32.4" thickTop="1" thickBot="1" x14ac:dyDescent="0.35">
      <c r="C2" s="52">
        <v>83</v>
      </c>
      <c r="D2" s="52" t="s">
        <v>33</v>
      </c>
      <c r="E2" s="42">
        <v>21</v>
      </c>
      <c r="F2" s="84">
        <f>E2/C2</f>
        <v>0.25301204819277107</v>
      </c>
    </row>
    <row r="3" spans="3:6" ht="32.4" thickTop="1" thickBot="1" x14ac:dyDescent="0.35">
      <c r="C3" s="163">
        <v>241</v>
      </c>
      <c r="D3" s="52" t="s">
        <v>148</v>
      </c>
      <c r="E3" s="42">
        <v>1</v>
      </c>
      <c r="F3" s="84">
        <f>E3/241</f>
        <v>4.1493775933609959E-3</v>
      </c>
    </row>
    <row r="4" spans="3:6" ht="31.2" thickTop="1" thickBot="1" x14ac:dyDescent="0.35">
      <c r="C4" s="163"/>
      <c r="D4" s="53" t="s">
        <v>149</v>
      </c>
      <c r="E4" s="42">
        <v>2</v>
      </c>
      <c r="F4" s="84">
        <f t="shared" ref="F4:F8" si="0">E4/241</f>
        <v>8.2987551867219917E-3</v>
      </c>
    </row>
    <row r="5" spans="3:6" ht="31.2" thickTop="1" thickBot="1" x14ac:dyDescent="0.35">
      <c r="C5" s="163"/>
      <c r="D5" s="53" t="s">
        <v>39</v>
      </c>
      <c r="E5" s="42">
        <v>3</v>
      </c>
      <c r="F5" s="84">
        <f t="shared" si="0"/>
        <v>1.2448132780082987E-2</v>
      </c>
    </row>
    <row r="6" spans="3:6" ht="31.2" thickTop="1" thickBot="1" x14ac:dyDescent="0.35">
      <c r="C6" s="163"/>
      <c r="D6" s="53" t="s">
        <v>18</v>
      </c>
      <c r="E6" s="42">
        <v>8</v>
      </c>
      <c r="F6" s="84">
        <f t="shared" si="0"/>
        <v>3.3195020746887967E-2</v>
      </c>
    </row>
    <row r="7" spans="3:6" ht="31.2" thickTop="1" thickBot="1" x14ac:dyDescent="0.35">
      <c r="C7" s="163"/>
      <c r="D7" s="53" t="s">
        <v>17</v>
      </c>
      <c r="E7" s="42">
        <v>15</v>
      </c>
      <c r="F7" s="84">
        <f t="shared" si="0"/>
        <v>6.2240663900414939E-2</v>
      </c>
    </row>
    <row r="8" spans="3:6" ht="31.2" thickTop="1" thickBot="1" x14ac:dyDescent="0.35">
      <c r="C8" s="163"/>
      <c r="D8" s="53" t="s">
        <v>19</v>
      </c>
      <c r="E8" s="42">
        <v>2</v>
      </c>
      <c r="F8" s="84">
        <f t="shared" si="0"/>
        <v>8.2987551867219917E-3</v>
      </c>
    </row>
    <row r="9" spans="3:6" ht="16.8" thickTop="1" thickBot="1" x14ac:dyDescent="0.35">
      <c r="C9" s="52">
        <v>416</v>
      </c>
      <c r="D9" s="52" t="s">
        <v>56</v>
      </c>
      <c r="E9" s="42">
        <v>31</v>
      </c>
      <c r="F9" s="84">
        <f>E9/C9</f>
        <v>7.4519230769230768E-2</v>
      </c>
    </row>
    <row r="10" spans="3:6" ht="31.2" thickTop="1" thickBot="1" x14ac:dyDescent="0.35">
      <c r="C10" s="53"/>
      <c r="D10" s="53" t="s">
        <v>55</v>
      </c>
      <c r="E10" s="42">
        <v>11</v>
      </c>
      <c r="F10" s="84"/>
    </row>
    <row r="11" spans="3:6" ht="16.8" thickTop="1" thickBot="1" x14ac:dyDescent="0.35">
      <c r="C11" s="54"/>
      <c r="D11" s="54" t="s">
        <v>34</v>
      </c>
      <c r="E11" s="42">
        <v>8</v>
      </c>
      <c r="F11" s="84"/>
    </row>
    <row r="12" spans="3:6" ht="16.2" thickTop="1" thickBot="1" x14ac:dyDescent="0.35">
      <c r="C12" s="55"/>
      <c r="D12" s="55" t="s">
        <v>1</v>
      </c>
      <c r="E12" s="42">
        <v>4</v>
      </c>
      <c r="F12" s="84"/>
    </row>
    <row r="13" spans="3:6" ht="32.4" thickTop="1" thickBot="1" x14ac:dyDescent="0.35">
      <c r="C13" s="54"/>
      <c r="D13" s="54" t="s">
        <v>54</v>
      </c>
      <c r="E13" s="42">
        <v>3</v>
      </c>
      <c r="F13" s="84"/>
    </row>
    <row r="14" spans="3:6" ht="16.2" thickTop="1" thickBot="1" x14ac:dyDescent="0.35">
      <c r="C14" s="56"/>
      <c r="D14" s="56" t="s">
        <v>150</v>
      </c>
      <c r="E14" s="42">
        <v>1</v>
      </c>
      <c r="F14" s="84"/>
    </row>
    <row r="15" spans="3:6" ht="16.2" thickTop="1" thickBot="1" x14ac:dyDescent="0.35">
      <c r="C15" s="55"/>
      <c r="D15" s="55" t="s">
        <v>0</v>
      </c>
      <c r="E15" s="42">
        <v>1</v>
      </c>
      <c r="F15" s="84"/>
    </row>
    <row r="16" spans="3:6" ht="32.4" thickTop="1" thickBot="1" x14ac:dyDescent="0.35">
      <c r="C16" s="54"/>
      <c r="D16" s="54" t="s">
        <v>51</v>
      </c>
      <c r="E16" s="42">
        <v>1</v>
      </c>
      <c r="F16" s="84"/>
    </row>
    <row r="17" spans="3:6" ht="32.4" thickTop="1" thickBot="1" x14ac:dyDescent="0.35">
      <c r="C17" s="54"/>
      <c r="D17" s="54" t="s">
        <v>152</v>
      </c>
      <c r="E17" s="42">
        <v>1</v>
      </c>
      <c r="F17" s="84"/>
    </row>
    <row r="18" spans="3:6" ht="32.4" thickTop="1" thickBot="1" x14ac:dyDescent="0.35">
      <c r="C18" s="54"/>
      <c r="D18" s="54" t="s">
        <v>142</v>
      </c>
      <c r="E18" s="42">
        <v>1</v>
      </c>
      <c r="F18" s="84"/>
    </row>
    <row r="19" spans="3:6" ht="16.2" thickTop="1" thickBot="1" x14ac:dyDescent="0.35">
      <c r="C19" s="53"/>
      <c r="D19" s="53" t="s">
        <v>2</v>
      </c>
      <c r="E19" s="42">
        <v>1</v>
      </c>
      <c r="F19" s="84"/>
    </row>
    <row r="20" spans="3:6" ht="16.2" thickTop="1" thickBot="1" x14ac:dyDescent="0.35">
      <c r="C20" s="57" t="s">
        <v>167</v>
      </c>
      <c r="D20" s="57"/>
      <c r="E20" s="44">
        <f>SUM(E2:E19)</f>
        <v>115</v>
      </c>
      <c r="F20" s="84"/>
    </row>
    <row r="21" spans="3:6" thickTop="1" x14ac:dyDescent="0.3">
      <c r="C21" s="58"/>
      <c r="D21" s="58"/>
      <c r="E21" s="48"/>
      <c r="F21" s="48"/>
    </row>
    <row r="22" spans="3:6" ht="14.4" x14ac:dyDescent="0.3">
      <c r="C22" s="49"/>
      <c r="D22" s="49"/>
      <c r="E22" s="48"/>
      <c r="F22" s="48"/>
    </row>
    <row r="23" spans="3:6" ht="14.4" x14ac:dyDescent="0.3">
      <c r="C23" s="49"/>
      <c r="D23" s="49"/>
      <c r="E23" s="48"/>
      <c r="F23" s="48"/>
    </row>
    <row r="24" spans="3:6" ht="14.4" x14ac:dyDescent="0.3">
      <c r="C24" s="49"/>
      <c r="D24" s="49"/>
      <c r="E24" s="48"/>
      <c r="F24" s="48"/>
    </row>
    <row r="25" spans="3:6" ht="14.4" x14ac:dyDescent="0.3">
      <c r="C25" s="49"/>
      <c r="D25" s="49"/>
      <c r="E25" s="48"/>
      <c r="F25" s="48"/>
    </row>
    <row r="26" spans="3:6" ht="14.4" x14ac:dyDescent="0.3">
      <c r="C26" s="49"/>
      <c r="D26" s="49"/>
      <c r="E26" s="48"/>
      <c r="F26" s="48"/>
    </row>
    <row r="27" spans="3:6" ht="14.4" x14ac:dyDescent="0.3">
      <c r="C27" s="49"/>
      <c r="D27" s="49"/>
      <c r="E27" s="48"/>
      <c r="F27" s="48"/>
    </row>
    <row r="28" spans="3:6" ht="14.4" x14ac:dyDescent="0.3">
      <c r="C28" s="49"/>
      <c r="D28" s="49"/>
      <c r="E28" s="48"/>
      <c r="F28" s="48"/>
    </row>
    <row r="29" spans="3:6" ht="14.4" x14ac:dyDescent="0.3">
      <c r="C29" s="49"/>
      <c r="D29" s="49"/>
      <c r="E29" s="48"/>
      <c r="F29" s="48"/>
    </row>
    <row r="30" spans="3:6" ht="14.4" x14ac:dyDescent="0.3">
      <c r="C30" s="49"/>
      <c r="D30" s="49"/>
      <c r="E30" s="48"/>
      <c r="F30" s="48"/>
    </row>
    <row r="31" spans="3:6" ht="14.4" x14ac:dyDescent="0.3">
      <c r="C31" s="49"/>
      <c r="D31" s="49"/>
      <c r="E31" s="48"/>
      <c r="F31" s="48"/>
    </row>
    <row r="32" spans="3:6" ht="14.4" x14ac:dyDescent="0.3">
      <c r="C32" s="49"/>
      <c r="D32" s="49"/>
      <c r="E32" s="48"/>
      <c r="F32" s="48"/>
    </row>
    <row r="33" spans="3:6" ht="14.4" x14ac:dyDescent="0.3">
      <c r="C33" s="49"/>
      <c r="D33" s="49"/>
      <c r="E33" s="48"/>
      <c r="F33" s="48"/>
    </row>
    <row r="34" spans="3:6" ht="14.4" x14ac:dyDescent="0.3">
      <c r="C34" s="49"/>
      <c r="D34" s="49"/>
      <c r="E34" s="48"/>
      <c r="F34" s="48"/>
    </row>
    <row r="35" spans="3:6" ht="14.4" x14ac:dyDescent="0.3">
      <c r="C35" s="49"/>
      <c r="D35" s="49"/>
      <c r="E35" s="48"/>
      <c r="F35" s="48"/>
    </row>
    <row r="36" spans="3:6" ht="14.4" x14ac:dyDescent="0.3">
      <c r="C36" s="49"/>
      <c r="D36" s="49"/>
      <c r="E36" s="48"/>
      <c r="F36" s="48"/>
    </row>
    <row r="37" spans="3:6" ht="14.4" x14ac:dyDescent="0.3">
      <c r="C37" s="49"/>
      <c r="D37" s="49"/>
      <c r="E37" s="48"/>
      <c r="F37" s="48"/>
    </row>
    <row r="38" spans="3:6" ht="14.4" x14ac:dyDescent="0.3">
      <c r="C38" s="49"/>
      <c r="D38" s="49"/>
      <c r="E38" s="48"/>
      <c r="F38" s="48"/>
    </row>
    <row r="39" spans="3:6" ht="14.4" x14ac:dyDescent="0.3">
      <c r="C39" s="49"/>
      <c r="D39" s="49"/>
      <c r="E39" s="48"/>
      <c r="F39" s="48"/>
    </row>
    <row r="40" spans="3:6" ht="14.4" x14ac:dyDescent="0.3">
      <c r="C40" s="49"/>
      <c r="D40" s="49"/>
      <c r="E40" s="48"/>
      <c r="F40" s="48"/>
    </row>
    <row r="41" spans="3:6" ht="14.4" x14ac:dyDescent="0.3">
      <c r="C41" s="49"/>
      <c r="D41" s="49"/>
      <c r="E41" s="48"/>
      <c r="F41" s="48"/>
    </row>
    <row r="42" spans="3:6" ht="14.4" x14ac:dyDescent="0.3">
      <c r="C42" s="49"/>
      <c r="D42" s="49"/>
      <c r="E42" s="48"/>
      <c r="F42" s="48"/>
    </row>
    <row r="43" spans="3:6" ht="14.4" x14ac:dyDescent="0.3">
      <c r="C43" s="49"/>
      <c r="D43" s="49"/>
      <c r="E43" s="48"/>
      <c r="F43" s="48"/>
    </row>
    <row r="44" spans="3:6" ht="14.4" x14ac:dyDescent="0.3">
      <c r="C44" s="49"/>
      <c r="D44" s="49"/>
      <c r="E44" s="48"/>
      <c r="F44" s="48"/>
    </row>
    <row r="45" spans="3:6" ht="14.4" x14ac:dyDescent="0.3">
      <c r="C45" s="49"/>
      <c r="D45" s="49"/>
      <c r="E45" s="48"/>
      <c r="F45" s="48"/>
    </row>
    <row r="46" spans="3:6" ht="14.4" x14ac:dyDescent="0.3">
      <c r="C46" s="49"/>
      <c r="D46" s="49"/>
      <c r="E46" s="48"/>
      <c r="F46" s="48"/>
    </row>
    <row r="47" spans="3:6" ht="14.4" x14ac:dyDescent="0.3">
      <c r="C47" s="49"/>
      <c r="D47" s="49"/>
      <c r="E47" s="48"/>
      <c r="F47" s="48"/>
    </row>
    <row r="48" spans="3:6" ht="14.4" x14ac:dyDescent="0.3">
      <c r="C48" s="49"/>
      <c r="D48" s="49"/>
      <c r="E48" s="48"/>
      <c r="F48" s="48"/>
    </row>
    <row r="49" spans="3:6" ht="14.4" x14ac:dyDescent="0.3">
      <c r="C49" s="49"/>
      <c r="D49" s="49"/>
      <c r="E49" s="48"/>
      <c r="F49" s="48"/>
    </row>
    <row r="50" spans="3:6" ht="14.4" x14ac:dyDescent="0.3">
      <c r="C50" s="49"/>
      <c r="D50" s="49"/>
      <c r="E50" s="48"/>
      <c r="F50" s="48"/>
    </row>
    <row r="51" spans="3:6" ht="14.4" x14ac:dyDescent="0.3">
      <c r="C51" s="49"/>
      <c r="D51" s="49"/>
      <c r="E51" s="48"/>
      <c r="F51" s="48"/>
    </row>
    <row r="52" spans="3:6" ht="14.4" x14ac:dyDescent="0.3">
      <c r="C52" s="49"/>
      <c r="D52" s="49"/>
      <c r="E52" s="48"/>
      <c r="F52" s="48"/>
    </row>
    <row r="53" spans="3:6" ht="14.4" x14ac:dyDescent="0.3">
      <c r="C53" s="49"/>
      <c r="D53" s="49"/>
      <c r="E53" s="48"/>
      <c r="F53" s="48"/>
    </row>
    <row r="54" spans="3:6" ht="14.4" x14ac:dyDescent="0.3">
      <c r="C54" s="49"/>
      <c r="D54" s="49"/>
      <c r="E54" s="48"/>
      <c r="F54" s="48"/>
    </row>
    <row r="55" spans="3:6" ht="15" thickBot="1" x14ac:dyDescent="0.35">
      <c r="C55" s="47"/>
      <c r="D55" s="47"/>
      <c r="E55" s="46"/>
    </row>
    <row r="56" spans="3:6" ht="14.4" x14ac:dyDescent="0.3"/>
    <row r="57" spans="3:6" ht="14.4" x14ac:dyDescent="0.3"/>
  </sheetData>
  <sortState ref="C10:F20">
    <sortCondition descending="1" ref="E10:E20"/>
  </sortState>
  <mergeCells count="1">
    <mergeCell ref="C3:C8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79"/>
  <sheetViews>
    <sheetView topLeftCell="A7" workbookViewId="0">
      <selection activeCell="C22" sqref="C22"/>
    </sheetView>
  </sheetViews>
  <sheetFormatPr defaultRowHeight="15.6" thickTop="1" thickBottom="1" x14ac:dyDescent="0.35"/>
  <cols>
    <col min="2" max="2" width="8.88671875" style="42"/>
    <col min="3" max="3" width="53.33203125" style="62" customWidth="1"/>
    <col min="4" max="4" width="16.109375" style="42" customWidth="1"/>
    <col min="5" max="5" width="10.5546875" style="89" customWidth="1"/>
  </cols>
  <sheetData>
    <row r="1" spans="2:5" ht="39" customHeight="1" thickTop="1" thickBot="1" x14ac:dyDescent="0.35">
      <c r="B1" s="51" t="s">
        <v>167</v>
      </c>
      <c r="C1" s="51" t="s">
        <v>170</v>
      </c>
      <c r="D1" s="51" t="s">
        <v>169</v>
      </c>
      <c r="E1" s="88" t="s">
        <v>211</v>
      </c>
    </row>
    <row r="2" spans="2:5" ht="48.6" customHeight="1" thickTop="1" thickBot="1" x14ac:dyDescent="0.35">
      <c r="B2" s="42">
        <v>141</v>
      </c>
      <c r="C2" s="54" t="s">
        <v>57</v>
      </c>
      <c r="D2" s="59">
        <v>17</v>
      </c>
      <c r="E2" s="84">
        <f>D2/B2</f>
        <v>0.12056737588652482</v>
      </c>
    </row>
    <row r="3" spans="2:5" ht="19.95" customHeight="1" thickTop="1" thickBot="1" x14ac:dyDescent="0.35">
      <c r="C3" s="54" t="s">
        <v>157</v>
      </c>
      <c r="D3" s="60">
        <v>17</v>
      </c>
      <c r="E3" s="84"/>
    </row>
    <row r="4" spans="2:5" ht="19.95" customHeight="1" thickTop="1" thickBot="1" x14ac:dyDescent="0.35">
      <c r="C4" s="54" t="s">
        <v>69</v>
      </c>
      <c r="D4" s="60">
        <v>15</v>
      </c>
      <c r="E4" s="84"/>
    </row>
    <row r="5" spans="2:5" ht="19.95" customHeight="1" thickTop="1" thickBot="1" x14ac:dyDescent="0.35">
      <c r="C5" s="55" t="s">
        <v>77</v>
      </c>
      <c r="D5" s="61">
        <v>13</v>
      </c>
      <c r="E5" s="84"/>
    </row>
    <row r="6" spans="2:5" ht="19.95" customHeight="1" thickTop="1" thickBot="1" x14ac:dyDescent="0.35">
      <c r="C6" s="54" t="s">
        <v>76</v>
      </c>
      <c r="D6" s="60">
        <v>9</v>
      </c>
      <c r="E6" s="84"/>
    </row>
    <row r="7" spans="2:5" ht="19.95" customHeight="1" thickTop="1" thickBot="1" x14ac:dyDescent="0.35">
      <c r="C7" s="54" t="s">
        <v>67</v>
      </c>
      <c r="D7" s="60">
        <v>8</v>
      </c>
      <c r="E7" s="84"/>
    </row>
    <row r="8" spans="2:5" ht="42" customHeight="1" thickTop="1" thickBot="1" x14ac:dyDescent="0.35">
      <c r="C8" s="54" t="s">
        <v>58</v>
      </c>
      <c r="D8" s="60">
        <v>7</v>
      </c>
      <c r="E8" s="84"/>
    </row>
    <row r="9" spans="2:5" ht="19.95" customHeight="1" thickTop="1" thickBot="1" x14ac:dyDescent="0.35">
      <c r="B9" s="42">
        <v>32</v>
      </c>
      <c r="C9" s="54" t="s">
        <v>62</v>
      </c>
      <c r="D9" s="61">
        <v>6</v>
      </c>
      <c r="E9" s="84">
        <f>D9/B9</f>
        <v>0.1875</v>
      </c>
    </row>
    <row r="10" spans="2:5" ht="19.95" customHeight="1" thickTop="1" thickBot="1" x14ac:dyDescent="0.35">
      <c r="B10" s="42">
        <v>24</v>
      </c>
      <c r="C10" s="54" t="s">
        <v>60</v>
      </c>
      <c r="D10" s="60">
        <v>5</v>
      </c>
      <c r="E10" s="84">
        <f>D10/B10</f>
        <v>0.20833333333333334</v>
      </c>
    </row>
    <row r="11" spans="2:5" ht="19.95" customHeight="1" thickTop="1" thickBot="1" x14ac:dyDescent="0.35">
      <c r="C11" s="54" t="s">
        <v>66</v>
      </c>
      <c r="D11" s="60">
        <v>5</v>
      </c>
      <c r="E11" s="84"/>
    </row>
    <row r="12" spans="2:5" ht="19.95" customHeight="1" thickTop="1" thickBot="1" x14ac:dyDescent="0.35">
      <c r="C12" s="54" t="s">
        <v>72</v>
      </c>
      <c r="D12" s="60">
        <v>5</v>
      </c>
      <c r="E12" s="84"/>
    </row>
    <row r="13" spans="2:5" ht="19.95" customHeight="1" thickTop="1" thickBot="1" x14ac:dyDescent="0.35">
      <c r="C13" s="54" t="s">
        <v>74</v>
      </c>
      <c r="D13" s="60">
        <v>5</v>
      </c>
      <c r="E13" s="84"/>
    </row>
    <row r="14" spans="2:5" ht="19.95" customHeight="1" thickTop="1" thickBot="1" x14ac:dyDescent="0.35">
      <c r="C14" s="54" t="s">
        <v>68</v>
      </c>
      <c r="D14" s="60">
        <v>4</v>
      </c>
      <c r="E14" s="84"/>
    </row>
    <row r="15" spans="2:5" ht="19.95" customHeight="1" thickTop="1" thickBot="1" x14ac:dyDescent="0.35">
      <c r="C15" s="54" t="s">
        <v>70</v>
      </c>
      <c r="D15" s="60">
        <v>4</v>
      </c>
      <c r="E15" s="84"/>
    </row>
    <row r="16" spans="2:5" ht="19.95" customHeight="1" thickTop="1" thickBot="1" x14ac:dyDescent="0.35">
      <c r="C16" s="54" t="s">
        <v>71</v>
      </c>
      <c r="D16" s="60">
        <v>4</v>
      </c>
      <c r="E16" s="84"/>
    </row>
    <row r="17" spans="2:5" ht="19.95" customHeight="1" thickTop="1" thickBot="1" x14ac:dyDescent="0.35">
      <c r="C17" s="54" t="s">
        <v>59</v>
      </c>
      <c r="D17" s="60">
        <v>3</v>
      </c>
      <c r="E17" s="84"/>
    </row>
    <row r="18" spans="2:5" ht="19.95" customHeight="1" thickTop="1" thickBot="1" x14ac:dyDescent="0.35">
      <c r="C18" s="54" t="s">
        <v>65</v>
      </c>
      <c r="D18" s="61">
        <v>3</v>
      </c>
      <c r="E18" s="84"/>
    </row>
    <row r="19" spans="2:5" ht="19.95" customHeight="1" thickTop="1" thickBot="1" x14ac:dyDescent="0.35">
      <c r="C19" s="55" t="s">
        <v>158</v>
      </c>
      <c r="D19" s="61">
        <v>3</v>
      </c>
      <c r="E19" s="84"/>
    </row>
    <row r="20" spans="2:5" ht="19.95" customHeight="1" thickTop="1" thickBot="1" x14ac:dyDescent="0.35">
      <c r="C20" s="54" t="s">
        <v>75</v>
      </c>
      <c r="D20" s="61">
        <v>2</v>
      </c>
      <c r="E20" s="84"/>
    </row>
    <row r="21" spans="2:5" ht="19.95" customHeight="1" thickTop="1" thickBot="1" x14ac:dyDescent="0.35">
      <c r="B21" s="42">
        <v>7</v>
      </c>
      <c r="C21" s="54" t="s">
        <v>61</v>
      </c>
      <c r="D21" s="60">
        <v>1</v>
      </c>
      <c r="E21" s="84">
        <f>D21/B21</f>
        <v>0.14285714285714285</v>
      </c>
    </row>
    <row r="22" spans="2:5" ht="19.95" customHeight="1" thickTop="1" thickBot="1" x14ac:dyDescent="0.35">
      <c r="B22" s="42">
        <v>32</v>
      </c>
      <c r="C22" s="55" t="s">
        <v>63</v>
      </c>
      <c r="D22" s="60">
        <v>1</v>
      </c>
      <c r="E22" s="84">
        <f>D22/B22</f>
        <v>3.125E-2</v>
      </c>
    </row>
    <row r="23" spans="2:5" ht="19.95" customHeight="1" thickTop="1" thickBot="1" x14ac:dyDescent="0.35">
      <c r="B23" s="42">
        <v>6</v>
      </c>
      <c r="C23" s="55" t="s">
        <v>64</v>
      </c>
      <c r="D23" s="61">
        <v>1</v>
      </c>
      <c r="E23" s="84">
        <f>D23/B23</f>
        <v>0.16666666666666666</v>
      </c>
    </row>
    <row r="24" spans="2:5" ht="25.8" customHeight="1" thickTop="1" thickBot="1" x14ac:dyDescent="0.35">
      <c r="B24" s="44"/>
      <c r="C24" s="90" t="s">
        <v>73</v>
      </c>
      <c r="D24" s="63">
        <v>1</v>
      </c>
      <c r="E24" s="84"/>
    </row>
    <row r="26" spans="2:5" ht="14.4" x14ac:dyDescent="0.3"/>
    <row r="27" spans="2:5" ht="14.4" x14ac:dyDescent="0.3"/>
    <row r="28" spans="2:5" ht="14.4" x14ac:dyDescent="0.3"/>
    <row r="29" spans="2:5" ht="14.4" x14ac:dyDescent="0.3"/>
    <row r="30" spans="2:5" ht="14.4" x14ac:dyDescent="0.3"/>
    <row r="31" spans="2:5" ht="14.4" x14ac:dyDescent="0.3"/>
    <row r="32" spans="2:5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</sheetData>
  <sortState ref="B2:E24">
    <sortCondition descending="1" ref="D2:D2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2025-05-10T09:53:03Z</dcterms:modified>
</cp:coreProperties>
</file>