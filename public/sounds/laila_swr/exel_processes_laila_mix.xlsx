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aila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G63" i="1"/>
  <c r="C63" i="1"/>
  <c r="H61" i="1"/>
  <c r="G61" i="1"/>
  <c r="C61" i="1"/>
  <c r="H59" i="1"/>
  <c r="G59" i="1"/>
  <c r="C59" i="1"/>
  <c r="G57" i="1"/>
  <c r="C57" i="1"/>
  <c r="G54" i="1"/>
  <c r="C54" i="1"/>
  <c r="G52" i="1"/>
  <c r="C52" i="1"/>
  <c r="G50" i="1"/>
  <c r="C50" i="1"/>
  <c r="H48" i="1"/>
  <c r="G48" i="1"/>
  <c r="C48" i="1"/>
  <c r="H46" i="1"/>
  <c r="G46" i="1"/>
  <c r="C46" i="1"/>
  <c r="H44" i="1"/>
  <c r="G44" i="1"/>
  <c r="C44" i="1"/>
  <c r="G42" i="1"/>
  <c r="C42" i="1"/>
  <c r="G40" i="1"/>
  <c r="C40" i="1"/>
  <c r="G37" i="1"/>
  <c r="C37" i="1"/>
  <c r="G35" i="1"/>
  <c r="C35" i="1"/>
  <c r="H33" i="1"/>
  <c r="G33" i="1"/>
  <c r="C33" i="1"/>
  <c r="H31" i="1"/>
  <c r="G31" i="1"/>
  <c r="C31" i="1"/>
  <c r="H29" i="1"/>
  <c r="G29" i="1"/>
  <c r="C29" i="1"/>
  <c r="H27" i="1"/>
  <c r="G27" i="1"/>
  <c r="C27" i="1"/>
  <c r="G25" i="1"/>
  <c r="C25" i="1"/>
  <c r="G23" i="1"/>
  <c r="C23" i="1"/>
  <c r="G21" i="1"/>
  <c r="C21" i="1"/>
  <c r="H19" i="1"/>
  <c r="G19" i="1"/>
  <c r="C19" i="1"/>
  <c r="H17" i="1"/>
  <c r="G17" i="1"/>
  <c r="C17" i="1"/>
  <c r="H15" i="1"/>
  <c r="G15" i="1"/>
  <c r="C15" i="1"/>
  <c r="G13" i="1"/>
  <c r="C13" i="1"/>
  <c r="H10" i="1"/>
  <c r="G10" i="1"/>
  <c r="C10" i="1"/>
  <c r="G8" i="1"/>
  <c r="C8" i="1"/>
  <c r="G5" i="1"/>
  <c r="C5" i="1"/>
  <c r="H56" i="1" l="1"/>
  <c r="H55" i="1"/>
  <c r="H57" i="1" s="1"/>
  <c r="H53" i="1"/>
  <c r="H54" i="1" s="1"/>
  <c r="H51" i="1"/>
  <c r="H52" i="1" s="1"/>
  <c r="H49" i="1"/>
  <c r="H50" i="1" s="1"/>
  <c r="H38" i="1"/>
  <c r="H36" i="1"/>
  <c r="H37" i="1" s="1"/>
  <c r="H34" i="1"/>
  <c r="H35" i="1" s="1"/>
  <c r="H24" i="1"/>
  <c r="H25" i="1" s="1"/>
  <c r="H22" i="1"/>
  <c r="H23" i="1" s="1"/>
  <c r="H20" i="1"/>
  <c r="H21" i="1" s="1"/>
  <c r="H12" i="1"/>
  <c r="H11" i="1"/>
  <c r="H6" i="1"/>
  <c r="H2" i="1"/>
  <c r="H13" i="1" l="1"/>
  <c r="E4" i="2"/>
  <c r="E5" i="2"/>
  <c r="E3" i="2"/>
  <c r="E2" i="2"/>
  <c r="E6" i="3"/>
  <c r="E3" i="3"/>
  <c r="E2" i="3"/>
  <c r="H41" i="1"/>
  <c r="H42" i="1" s="1"/>
  <c r="H39" i="1"/>
  <c r="H40" i="1" s="1"/>
  <c r="H7" i="1"/>
  <c r="H8" i="1" s="1"/>
  <c r="H4" i="1"/>
  <c r="H3" i="1"/>
  <c r="H5" i="1" s="1"/>
</calcChain>
</file>

<file path=xl/sharedStrings.xml><?xml version="1.0" encoding="utf-8"?>
<sst xmlns="http://schemas.openxmlformats.org/spreadsheetml/2006/main" count="148" uniqueCount="145">
  <si>
    <t>Vowel  nasalization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</si>
  <si>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</si>
  <si>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 xml:space="preserve">Glottalization(substitution of [ʕ] with [ʔ]), </t>
  </si>
  <si>
    <t>substitution of [l] with [ɺ]</t>
  </si>
  <si>
    <t>substitution of [r] with [ɻ]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</si>
  <si>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</si>
  <si>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</si>
  <si>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</si>
  <si>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</si>
  <si>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</si>
  <si>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</si>
  <si>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devoicing and deinterdentalization substitution of[ð] with [ s],</t>
  </si>
  <si>
    <t>degemination(reduce consonant cluster to one single consonant)</t>
  </si>
  <si>
    <t>substitution of [h]with [χ]</t>
  </si>
  <si>
    <t>substitution of [h]with [ħ]</t>
  </si>
  <si>
    <t>deaffrication and devoicing(substitution of [d͡ʒ]with [k])</t>
  </si>
  <si>
    <t>devoicing(substitution of [d]with [t])</t>
  </si>
  <si>
    <t>substitution of [ħ]with [ʕ]</t>
  </si>
  <si>
    <t>devoicing(substitution of [b]with [p]), Aspiration ( substitution of [p]with [pʰ]) ,</t>
  </si>
  <si>
    <t>syllable structure process (consonant deletion of  [ʔ] phone)</t>
  </si>
  <si>
    <t>syllable structure process (consonant insertion of  [t] phone)</t>
  </si>
  <si>
    <t>final consonant deletion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</si>
  <si>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</si>
  <si>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</si>
  <si>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</si>
  <si>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consonant [d͡ʒ]with the colloquial arabic consonant [g]</t>
  </si>
  <si>
    <t>replace the Modern Standard Arabic consonant [ðˤ]with the colloquial arabic consonant [zˤ]</t>
  </si>
  <si>
    <t>replace the Modern Standard Arabic consonant [θ]with the colloquial arabic consonant [t]</t>
  </si>
  <si>
    <t>final consonant deletion affected by colloquial arabic</t>
  </si>
  <si>
    <t>colloquial Arabic word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</si>
  <si>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</si>
  <si>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</si>
  <si>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</si>
  <si>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</si>
  <si>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</si>
  <si>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</si>
  <si>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</si>
  <si>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</si>
  <si>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</si>
  <si>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</si>
  <si>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</si>
  <si>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</si>
  <si>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</si>
  <si>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</si>
  <si>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</si>
  <si>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</si>
  <si>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</si>
  <si>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</si>
  <si>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</si>
  <si>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</si>
  <si>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</si>
  <si>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</si>
  <si>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</si>
  <si>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</si>
  <si>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</si>
  <si>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</si>
  <si>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</si>
  <si>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</si>
  <si>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</si>
  <si>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</si>
  <si>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</si>
  <si>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</si>
  <si>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</si>
  <si>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</si>
  <si>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</si>
  <si>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</si>
  <si>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</si>
  <si>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</si>
  <si>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</si>
  <si>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</si>
  <si>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</si>
  <si>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</si>
  <si>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</si>
  <si>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</si>
  <si>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</si>
  <si>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</si>
  <si>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</si>
  <si>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</si>
  <si>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</si>
  <si>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</si>
  <si>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</si>
  <si>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</si>
  <si>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</si>
  <si>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</si>
  <si>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</si>
  <si>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 xml:space="preserve">devoicing(substitution of [d]with [d̥])  </t>
  </si>
  <si>
    <t>devoicing(substitution of [z]with [s]),</t>
  </si>
  <si>
    <t xml:space="preserve">syllable structure process (first syllable deletion) </t>
  </si>
  <si>
    <t xml:space="preserve"> lateralization(substitution of [r] with [ɺ]),</t>
  </si>
  <si>
    <t xml:space="preserve">devoicing(substitution of [z]with [z̥])                    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</si>
  <si>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</si>
  <si>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deletion of  [l] phone)</t>
  </si>
  <si>
    <t>transcription</t>
  </si>
  <si>
    <t xml:space="preserve">total </t>
  </si>
  <si>
    <t>arabic letter</t>
  </si>
  <si>
    <t>phonological_processes</t>
  </si>
  <si>
    <t>allophones</t>
  </si>
  <si>
    <t xml:space="preserve">nubmer of occurance in the corpus </t>
  </si>
  <si>
    <t>percetage of phonological_processes</t>
  </si>
  <si>
    <t>[l]</t>
  </si>
  <si>
    <t>[ɺ]</t>
  </si>
  <si>
    <t>[ɻ]</t>
  </si>
  <si>
    <t>[s]</t>
  </si>
  <si>
    <t>[z̥]</t>
  </si>
  <si>
    <t>[kʰ]</t>
  </si>
  <si>
    <t>[k]</t>
  </si>
  <si>
    <t>[ʔ]</t>
  </si>
  <si>
    <t>[χ]</t>
  </si>
  <si>
    <t>[ʕ]</t>
  </si>
  <si>
    <t>[ħ]</t>
  </si>
  <si>
    <t>[pʰ]</t>
  </si>
  <si>
    <t>[tˤʰ]</t>
  </si>
  <si>
    <t>[tʰ]</t>
  </si>
  <si>
    <t>[t]</t>
  </si>
  <si>
    <t>[d̥]</t>
  </si>
  <si>
    <t>[-]</t>
  </si>
  <si>
    <t>d͡ʒ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</si>
  <si>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</si>
  <si>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</si>
  <si>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</si>
  <si>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</si>
  <si>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</si>
  <si>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</si>
  <si>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</si>
  <si>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</si>
  <si>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</si>
  <si>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d͡ʒ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</si>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</sst>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  <xf numFmtId="0" fontId="1" fillId="11" borderId="0" applyNumberFormat="0" applyBorder="0" applyAlignment="0" applyProtection="0"/>
  </cellStyleXfs>
  <cellXfs count="10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2" fillId="4" borderId="1" xfId="3" applyFont="1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0" fillId="4" borderId="1" xfId="3" applyFont="1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12" fillId="3" borderId="1" xfId="2" applyFont="1" applyBorder="1" applyAlignment="1">
      <alignment vertical="center" wrapText="1"/>
    </xf>
    <xf numFmtId="0" fontId="4" fillId="4" borderId="1" xfId="3" applyBorder="1" applyAlignment="1">
      <alignment horizontal="center" vertical="center" wrapText="1" readingOrder="2"/>
    </xf>
    <xf numFmtId="0" fontId="5" fillId="4" borderId="1" xfId="3" applyFont="1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2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 wrapText="1" readingOrder="2"/>
    </xf>
    <xf numFmtId="0" fontId="12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2" fillId="2" borderId="1" xfId="1" applyBorder="1" applyAlignment="1">
      <alignment horizontal="center" vertical="center" wrapText="1" readingOrder="2"/>
    </xf>
    <xf numFmtId="0" fontId="12" fillId="2" borderId="1" xfId="1" applyFont="1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0" fontId="14" fillId="0" borderId="1" xfId="10" applyNumberFormat="1" applyFont="1" applyBorder="1" applyAlignment="1">
      <alignment vertical="center" wrapText="1"/>
    </xf>
    <xf numFmtId="0" fontId="4" fillId="4" borderId="1" xfId="3" applyBorder="1"/>
    <xf numFmtId="0" fontId="1" fillId="9" borderId="1" xfId="8" applyBorder="1"/>
    <xf numFmtId="0" fontId="1" fillId="7" borderId="1" xfId="6" applyBorder="1"/>
    <xf numFmtId="0" fontId="1" fillId="5" borderId="1" xfId="4" applyBorder="1"/>
    <xf numFmtId="0" fontId="1" fillId="6" borderId="1" xfId="5" applyBorder="1"/>
    <xf numFmtId="0" fontId="1" fillId="8" borderId="1" xfId="7" applyBorder="1"/>
    <xf numFmtId="10" fontId="0" fillId="0" borderId="1" xfId="10" applyNumberFormat="1" applyFont="1" applyBorder="1"/>
    <xf numFmtId="10" fontId="0" fillId="0" borderId="0" xfId="10" applyNumberFormat="1" applyFont="1"/>
    <xf numFmtId="10" fontId="2" fillId="2" borderId="1" xfId="1" applyNumberFormat="1" applyBorder="1"/>
    <xf numFmtId="10" fontId="4" fillId="4" borderId="1" xfId="3" applyNumberFormat="1" applyBorder="1"/>
    <xf numFmtId="10" fontId="3" fillId="3" borderId="1" xfId="2" applyNumberFormat="1" applyBorder="1"/>
    <xf numFmtId="10" fontId="1" fillId="11" borderId="1" xfId="11" applyNumberFormat="1" applyBorder="1"/>
    <xf numFmtId="10" fontId="1" fillId="6" borderId="1" xfId="5" applyNumberFormat="1" applyBorder="1"/>
    <xf numFmtId="10" fontId="1" fillId="8" borderId="1" xfId="7" applyNumberFormat="1" applyBorder="1"/>
    <xf numFmtId="10" fontId="1" fillId="10" borderId="1" xfId="9" applyNumberFormat="1" applyBorder="1"/>
    <xf numFmtId="10" fontId="1" fillId="9" borderId="1" xfId="8" applyNumberFormat="1" applyBorder="1"/>
    <xf numFmtId="10" fontId="1" fillId="7" borderId="1" xfId="6" applyNumberFormat="1" applyBorder="1"/>
    <xf numFmtId="10" fontId="1" fillId="5" borderId="1" xfId="4" applyNumberFormat="1" applyBorder="1"/>
    <xf numFmtId="0" fontId="0" fillId="9" borderId="1" xfId="8" applyFont="1" applyBorder="1" applyAlignment="1">
      <alignment horizontal="center" vertical="center"/>
    </xf>
    <xf numFmtId="0" fontId="0" fillId="6" borderId="1" xfId="5" applyFont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/>
    </xf>
    <xf numFmtId="0" fontId="16" fillId="4" borderId="1" xfId="3" applyFont="1" applyBorder="1" applyAlignment="1">
      <alignment horizontal="center" vertical="center"/>
    </xf>
    <xf numFmtId="0" fontId="17" fillId="3" borderId="1" xfId="2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5" fillId="9" borderId="1" xfId="8" applyFont="1" applyBorder="1" applyAlignment="1">
      <alignment horizontal="center" vertical="center"/>
    </xf>
    <xf numFmtId="0" fontId="15" fillId="7" borderId="1" xfId="6" applyFont="1" applyBorder="1" applyAlignment="1">
      <alignment horizontal="center" vertical="center"/>
    </xf>
    <xf numFmtId="0" fontId="15" fillId="5" borderId="1" xfId="4" applyFont="1" applyBorder="1" applyAlignment="1">
      <alignment horizontal="center" vertical="center"/>
    </xf>
    <xf numFmtId="0" fontId="15" fillId="6" borderId="1" xfId="5" applyFont="1" applyBorder="1" applyAlignment="1">
      <alignment horizontal="center" vertical="center"/>
    </xf>
    <xf numFmtId="0" fontId="15" fillId="8" borderId="1" xfId="7" applyFont="1" applyBorder="1" applyAlignment="1">
      <alignment horizontal="center" vertical="center"/>
    </xf>
  </cellXfs>
  <cellStyles count="12">
    <cellStyle name="20% - Accent1" xfId="11" builtinId="30"/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[ɻ]</c:v>
                </c:pt>
                <c:pt idx="2">
                  <c:v>[ɺ]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C-4902-B917-0E9F2D0D8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678064"/>
        <c:axId val="152568347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[ɻ]</c:v>
                </c:pt>
                <c:pt idx="2">
                  <c:v>[ɺ]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0.61538461538461542</c:v>
                </c:pt>
                <c:pt idx="1">
                  <c:v>0.15384615384615385</c:v>
                </c:pt>
                <c:pt idx="2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C-4902-B917-0E9F2D0D8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84304"/>
        <c:axId val="1525683888"/>
      </c:lineChart>
      <c:catAx>
        <c:axId val="15256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83472"/>
        <c:crosses val="autoZero"/>
        <c:auto val="1"/>
        <c:lblAlgn val="ctr"/>
        <c:lblOffset val="100"/>
        <c:noMultiLvlLbl val="0"/>
      </c:catAx>
      <c:valAx>
        <c:axId val="15256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78064"/>
        <c:crosses val="autoZero"/>
        <c:crossBetween val="between"/>
      </c:valAx>
      <c:valAx>
        <c:axId val="15256838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84304"/>
        <c:crosses val="max"/>
        <c:crossBetween val="between"/>
      </c:valAx>
      <c:catAx>
        <c:axId val="1525684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56838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Sheet1!$F$6:$F$7</c:f>
              <c:strCache>
                <c:ptCount val="2"/>
                <c:pt idx="0">
                  <c:v>[ɺ]</c:v>
                </c:pt>
                <c:pt idx="1">
                  <c:v>[-]</c:v>
                </c:pt>
              </c:strCache>
            </c:strRef>
          </c:cat>
          <c:val>
            <c:numRef>
              <c:f>Sheet1!$G$6:$G$7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F-4011-9C2B-500843879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36992"/>
        <c:axId val="15798374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Sheet1!$F$6:$F$7</c:f>
              <c:strCache>
                <c:ptCount val="2"/>
                <c:pt idx="0">
                  <c:v>[ɺ]</c:v>
                </c:pt>
                <c:pt idx="1">
                  <c:v>[-]</c:v>
                </c:pt>
              </c:strCache>
            </c:strRef>
          </c:cat>
          <c:val>
            <c:numRef>
              <c:f>Sheet1!$H$6:$H$7</c:f>
              <c:numCache>
                <c:formatCode>0.00%</c:formatCode>
                <c:ptCount val="2"/>
                <c:pt idx="0">
                  <c:v>1.7857142857142856E-2</c:v>
                </c:pt>
                <c:pt idx="1">
                  <c:v>1.7857142857142856E-2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F-4011-9C2B-500843879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841568"/>
        <c:axId val="1579839072"/>
      </c:lineChart>
      <c:catAx>
        <c:axId val="15798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7408"/>
        <c:crosses val="autoZero"/>
        <c:auto val="1"/>
        <c:lblAlgn val="ctr"/>
        <c:lblOffset val="100"/>
        <c:noMultiLvlLbl val="0"/>
      </c:catAx>
      <c:valAx>
        <c:axId val="15798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6992"/>
        <c:crosses val="autoZero"/>
        <c:crossBetween val="between"/>
      </c:valAx>
      <c:valAx>
        <c:axId val="157983907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1568"/>
        <c:crosses val="max"/>
        <c:crossBetween val="between"/>
      </c:valAx>
      <c:catAx>
        <c:axId val="157984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8390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Sheet1!$F$11:$F$12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Sheet1!$G$11:$G$12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D-41F0-B38C-3C84AC26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383200"/>
        <c:axId val="13013840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Sheet1!$F$11:$F$12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Sheet1!$H$11:$H$12</c:f>
              <c:numCache>
                <c:formatCode>0.00%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D-41F0-B38C-3C84AC26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383200"/>
        <c:axId val="1301384032"/>
      </c:lineChart>
      <c:catAx>
        <c:axId val="13013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84032"/>
        <c:crosses val="autoZero"/>
        <c:auto val="1"/>
        <c:lblAlgn val="ctr"/>
        <c:lblOffset val="100"/>
        <c:noMultiLvlLbl val="0"/>
      </c:catAx>
      <c:valAx>
        <c:axId val="13013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8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Sheet1!$G$20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E-42F6-83E6-EFFE495EB0F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Sheet1!$H$20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E-42F6-83E6-EFFE495EB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067840"/>
        <c:axId val="1577069088"/>
      </c:barChart>
      <c:catAx>
        <c:axId val="15770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69088"/>
        <c:crosses val="autoZero"/>
        <c:auto val="1"/>
        <c:lblAlgn val="ctr"/>
        <c:lblOffset val="100"/>
        <c:noMultiLvlLbl val="0"/>
      </c:catAx>
      <c:valAx>
        <c:axId val="157706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67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3-4B6A-B316-FD3EC31EA8BA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Sheet1!$H$22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3-4B6A-B316-FD3EC31EA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33248"/>
        <c:axId val="1579833664"/>
      </c:barChart>
      <c:catAx>
        <c:axId val="15798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3664"/>
        <c:crosses val="autoZero"/>
        <c:auto val="1"/>
        <c:lblAlgn val="ctr"/>
        <c:lblOffset val="100"/>
        <c:noMultiLvlLbl val="0"/>
      </c:catAx>
      <c:valAx>
        <c:axId val="15798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d͡ʒ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Sheet1!$G$24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A-438A-900B-2A5F440C4FD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Sheet1!$F$24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Sheet1!$H$24</c:f>
              <c:numCache>
                <c:formatCode>0.00%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A-438A-900B-2A5F440C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03568"/>
        <c:axId val="1113603152"/>
      </c:barChart>
      <c:catAx>
        <c:axId val="11136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03152"/>
        <c:crosses val="autoZero"/>
        <c:auto val="1"/>
        <c:lblAlgn val="ctr"/>
        <c:lblOffset val="100"/>
        <c:noMultiLvlLbl val="0"/>
      </c:catAx>
      <c:valAx>
        <c:axId val="11136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03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Sheet1!$G$34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B-4E44-AB69-5E5D4FE8ED1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Sheet1!$F$34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Sheet1!$H$34</c:f>
              <c:numCache>
                <c:formatCode>0.00%</c:formatCode>
                <c:ptCount val="1"/>
                <c:pt idx="0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B-4E44-AB69-5E5D4FE8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30336"/>
        <c:axId val="1579839904"/>
      </c:barChart>
      <c:catAx>
        <c:axId val="157983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9904"/>
        <c:crosses val="autoZero"/>
        <c:auto val="1"/>
        <c:lblAlgn val="ctr"/>
        <c:lblOffset val="100"/>
        <c:noMultiLvlLbl val="0"/>
      </c:catAx>
      <c:valAx>
        <c:axId val="157983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0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Sheet1!$G$36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1-4B85-932E-9EDAC1DF2875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Sheet1!$H$36</c:f>
              <c:numCache>
                <c:formatCode>0.00%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1-4B85-932E-9EDAC1DF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067008"/>
        <c:axId val="1577067424"/>
      </c:barChart>
      <c:catAx>
        <c:axId val="157706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67424"/>
        <c:crosses val="autoZero"/>
        <c:auto val="1"/>
        <c:lblAlgn val="ctr"/>
        <c:lblOffset val="100"/>
        <c:noMultiLvlLbl val="0"/>
      </c:catAx>
      <c:valAx>
        <c:axId val="15770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067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Sheet1!$F$38:$F$39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Sheet1!$G$38:$G$39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5-4873-9FCD-D068F8273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823264"/>
        <c:axId val="153085328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Sheet1!$F$38:$F$39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Sheet1!$H$38:$H$39</c:f>
              <c:numCache>
                <c:formatCode>0.00%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5-4873-9FCD-D068F8273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823264"/>
        <c:axId val="1530853280"/>
      </c:lineChart>
      <c:catAx>
        <c:axId val="15748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53280"/>
        <c:crosses val="autoZero"/>
        <c:auto val="1"/>
        <c:lblAlgn val="ctr"/>
        <c:lblOffset val="100"/>
        <c:noMultiLvlLbl val="0"/>
      </c:catAx>
      <c:valAx>
        <c:axId val="15308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23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Sheet1!$G$41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D-4358-882A-BD34A30BEDC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Sheet1!$H$41</c:f>
              <c:numCache>
                <c:formatCode>0.00%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D-4358-882A-BD34A30B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89440"/>
        <c:axId val="1433282368"/>
      </c:barChart>
      <c:catAx>
        <c:axId val="14332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82368"/>
        <c:crosses val="autoZero"/>
        <c:auto val="1"/>
        <c:lblAlgn val="ctr"/>
        <c:lblOffset val="100"/>
        <c:noMultiLvlLbl val="0"/>
      </c:catAx>
      <c:valAx>
        <c:axId val="14332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89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>
        <c:manualLayout>
          <c:xMode val="edge"/>
          <c:yMode val="edge"/>
          <c:x val="0.4289374453193350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Sheet1!$G$49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C-4276-9441-F03482B063CE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Sheet1!$H$49</c:f>
              <c:numCache>
                <c:formatCode>0.00%</c:formatCode>
                <c:ptCount val="1"/>
                <c:pt idx="0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C-4276-9441-F03482B0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90272"/>
        <c:axId val="1433281536"/>
      </c:barChart>
      <c:catAx>
        <c:axId val="143329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81536"/>
        <c:crosses val="autoZero"/>
        <c:auto val="1"/>
        <c:lblAlgn val="ctr"/>
        <c:lblOffset val="100"/>
        <c:noMultiLvlLbl val="0"/>
      </c:catAx>
      <c:valAx>
        <c:axId val="14332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90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[tˤʰ]</c:v>
                </c:pt>
              </c:strCache>
            </c:strRef>
          </c:cat>
          <c:val>
            <c:numRef>
              <c:f>Sheet1!$G$51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8-4EF2-94C2-B71B6F289521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[tˤʰ]</c:v>
                </c:pt>
              </c:strCache>
            </c:strRef>
          </c:cat>
          <c:val>
            <c:numRef>
              <c:f>Sheet1!$H$51</c:f>
              <c:numCache>
                <c:formatCode>0.00%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8-4EF2-94C2-B71B6F289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851616"/>
        <c:axId val="1530850784"/>
      </c:barChart>
      <c:catAx>
        <c:axId val="15308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50784"/>
        <c:crosses val="autoZero"/>
        <c:auto val="1"/>
        <c:lblAlgn val="ctr"/>
        <c:lblOffset val="100"/>
        <c:noMultiLvlLbl val="0"/>
      </c:catAx>
      <c:valAx>
        <c:axId val="15308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51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Sheet1!$G$53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7-4DED-9CAC-0C5C278E8405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7-4DED-9CAC-0C5C278E8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43232"/>
        <c:axId val="1579843648"/>
      </c:barChart>
      <c:catAx>
        <c:axId val="15798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3648"/>
        <c:crosses val="autoZero"/>
        <c:auto val="1"/>
        <c:lblAlgn val="ctr"/>
        <c:lblOffset val="100"/>
        <c:noMultiLvlLbl val="0"/>
      </c:catAx>
      <c:valAx>
        <c:axId val="15798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3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Sheet1!$F$55:$F$56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Sheet1!$G$55:$G$56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9-490B-844E-12FE63434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831168"/>
        <c:axId val="157984032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Sheet1!$F$55:$F$56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Sheet1!$H$55:$H$56</c:f>
              <c:numCache>
                <c:formatCode>0.00%</c:formatCode>
                <c:ptCount val="2"/>
                <c:pt idx="0">
                  <c:v>0.92307692307692313</c:v>
                </c:pt>
                <c:pt idx="1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9-490B-844E-12FE63434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842816"/>
        <c:axId val="1579832416"/>
      </c:lineChart>
      <c:catAx>
        <c:axId val="157983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0320"/>
        <c:crosses val="autoZero"/>
        <c:auto val="1"/>
        <c:lblAlgn val="ctr"/>
        <c:lblOffset val="100"/>
        <c:noMultiLvlLbl val="0"/>
      </c:catAx>
      <c:valAx>
        <c:axId val="15798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1168"/>
        <c:crosses val="autoZero"/>
        <c:crossBetween val="between"/>
      </c:valAx>
      <c:valAx>
        <c:axId val="15798324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42816"/>
        <c:crosses val="max"/>
        <c:crossBetween val="between"/>
      </c:valAx>
      <c:catAx>
        <c:axId val="1579842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8324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Sheet2!$C$2:$C$10</c:f>
              <c:strCache>
                <c:ptCount val="9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syllable structure process (first syllable deletion) </c:v>
                </c:pt>
                <c:pt idx="5">
                  <c:v>Vowel  nasalization</c:v>
                </c:pt>
                <c:pt idx="6">
                  <c:v>final consonant deletion</c:v>
                </c:pt>
                <c:pt idx="7">
                  <c:v>Monophthongization (phone change by which a diphthong [aw]becomes a monophthong[u:])</c:v>
                </c:pt>
                <c:pt idx="8">
                  <c:v>syllable structure process (consonant insertion of  [t] phone)</c:v>
                </c:pt>
              </c:strCache>
            </c:strRef>
          </c:cat>
          <c:val>
            <c:numRef>
              <c:f>Sheet2!$D$2:$D$10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6-421C-B072-6D22E4A318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Sheet2!$C$2:$C$10</c:f>
              <c:strCache>
                <c:ptCount val="9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syllable structure process (first syllable deletion) </c:v>
                </c:pt>
                <c:pt idx="5">
                  <c:v>Vowel  nasalization</c:v>
                </c:pt>
                <c:pt idx="6">
                  <c:v>final consonant deletion</c:v>
                </c:pt>
                <c:pt idx="7">
                  <c:v>Monophthongization (phone change by which a diphthong [aw]becomes a monophthong[u:])</c:v>
                </c:pt>
                <c:pt idx="8">
                  <c:v>syllable structure process (consonant insertion of  [t] phone)</c:v>
                </c:pt>
              </c:strCache>
            </c:strRef>
          </c:cat>
          <c:val>
            <c:numRef>
              <c:f>Sheet2!$E$2:$E$10</c:f>
              <c:numCache>
                <c:formatCode>0.00%</c:formatCode>
                <c:ptCount val="9"/>
                <c:pt idx="0">
                  <c:v>0.25</c:v>
                </c:pt>
                <c:pt idx="1">
                  <c:v>0.1111111111111111</c:v>
                </c:pt>
                <c:pt idx="2">
                  <c:v>0.14814814814814814</c:v>
                </c:pt>
                <c:pt idx="3">
                  <c:v>7.407407407407407E-2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6-421C-B072-6D22E4A31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87776"/>
        <c:axId val="1433281120"/>
      </c:barChart>
      <c:catAx>
        <c:axId val="14332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81120"/>
        <c:crosses val="autoZero"/>
        <c:auto val="1"/>
        <c:lblAlgn val="ctr"/>
        <c:lblOffset val="100"/>
        <c:noMultiLvlLbl val="0"/>
      </c:catAx>
      <c:valAx>
        <c:axId val="14332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87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Sheet3!$C$2:$C$8</c:f>
              <c:strCache>
                <c:ptCount val="7"/>
                <c:pt idx="0">
                  <c:v>Definite Article deletion</c:v>
                </c:pt>
                <c:pt idx="1">
                  <c:v>replace the Modern Standard Arabic diphthong [æj]with the colloquial arabic vowel[e:]</c:v>
                </c:pt>
                <c:pt idx="2">
                  <c:v>final consonant deletion affected by colloquial arabic</c:v>
                </c:pt>
                <c:pt idx="3">
                  <c:v>replace the Modern Standard Arabic consonant [θ]with the colloquial arabic consonant [t]</c:v>
                </c:pt>
                <c:pt idx="4">
                  <c:v>replace the Modern Standard Arabic diphthong [æw]with the colloquial arabic vowel[o:]</c:v>
                </c:pt>
                <c:pt idx="5">
                  <c:v>replace the Modern Standard Arabic consonant [d͡ʒ]with the colloquial arabic consonant [g]</c:v>
                </c:pt>
                <c:pt idx="6">
                  <c:v>replace the Modern Standard Arabic consonant [ðˤ]with the colloquial arabic consonant [zˤ]</c:v>
                </c:pt>
              </c:strCache>
            </c:strRef>
          </c:cat>
          <c:val>
            <c:numRef>
              <c:f>Sheet3!$D$2:$D$8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C-4BCB-9322-E0384642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651168"/>
        <c:axId val="151865200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F5E-490C-9AA5-E961BDC07EE7}"/>
              </c:ext>
            </c:extLst>
          </c:dPt>
          <c:cat>
            <c:strRef>
              <c:f>Sheet3!$C$2:$C$8</c:f>
              <c:strCache>
                <c:ptCount val="7"/>
                <c:pt idx="0">
                  <c:v>Definite Article deletion</c:v>
                </c:pt>
                <c:pt idx="1">
                  <c:v>replace the Modern Standard Arabic diphthong [æj]with the colloquial arabic vowel[e:]</c:v>
                </c:pt>
                <c:pt idx="2">
                  <c:v>final consonant deletion affected by colloquial arabic</c:v>
                </c:pt>
                <c:pt idx="3">
                  <c:v>replace the Modern Standard Arabic consonant [θ]with the colloquial arabic consonant [t]</c:v>
                </c:pt>
                <c:pt idx="4">
                  <c:v>replace the Modern Standard Arabic diphthong [æw]with the colloquial arabic vowel[o:]</c:v>
                </c:pt>
                <c:pt idx="5">
                  <c:v>replace the Modern Standard Arabic consonant [d͡ʒ]with the colloquial arabic consonant [g]</c:v>
                </c:pt>
                <c:pt idx="6">
                  <c:v>replace the Modern Standard Arabic consonant [ðˤ]with the colloquial arabic consonant [zˤ]</c:v>
                </c:pt>
              </c:strCache>
            </c:strRef>
          </c:cat>
          <c:val>
            <c:numRef>
              <c:f>Sheet3!$E$2:$E$8</c:f>
              <c:numCache>
                <c:formatCode>0.00%</c:formatCode>
                <c:ptCount val="7"/>
                <c:pt idx="0">
                  <c:v>0.15789473684210525</c:v>
                </c:pt>
                <c:pt idx="1">
                  <c:v>0.6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C-4BCB-9322-E0384642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651168"/>
        <c:axId val="1518652000"/>
      </c:lineChart>
      <c:catAx>
        <c:axId val="15186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2000"/>
        <c:crosses val="autoZero"/>
        <c:auto val="1"/>
        <c:lblAlgn val="ctr"/>
        <c:lblOffset val="100"/>
        <c:noMultiLvlLbl val="0"/>
      </c:catAx>
      <c:valAx>
        <c:axId val="15186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1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0</xdr:row>
      <xdr:rowOff>727710</xdr:rowOff>
    </xdr:from>
    <xdr:to>
      <xdr:col>15</xdr:col>
      <xdr:colOff>594360</xdr:colOff>
      <xdr:row>3</xdr:row>
      <xdr:rowOff>678180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5</xdr:row>
      <xdr:rowOff>68580</xdr:rowOff>
    </xdr:from>
    <xdr:to>
      <xdr:col>15</xdr:col>
      <xdr:colOff>571500</xdr:colOff>
      <xdr:row>6</xdr:row>
      <xdr:rowOff>1310640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</xdr:colOff>
      <xdr:row>10</xdr:row>
      <xdr:rowOff>83820</xdr:rowOff>
    </xdr:from>
    <xdr:to>
      <xdr:col>16</xdr:col>
      <xdr:colOff>0</xdr:colOff>
      <xdr:row>11</xdr:row>
      <xdr:rowOff>1165860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19</xdr:row>
      <xdr:rowOff>106680</xdr:rowOff>
    </xdr:from>
    <xdr:to>
      <xdr:col>15</xdr:col>
      <xdr:colOff>594360</xdr:colOff>
      <xdr:row>19</xdr:row>
      <xdr:rowOff>2202180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30480</xdr:colOff>
      <xdr:row>21</xdr:row>
      <xdr:rowOff>83820</xdr:rowOff>
    </xdr:from>
    <xdr:to>
      <xdr:col>15</xdr:col>
      <xdr:colOff>586740</xdr:colOff>
      <xdr:row>21</xdr:row>
      <xdr:rowOff>2034540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53340</xdr:colOff>
      <xdr:row>23</xdr:row>
      <xdr:rowOff>76200</xdr:rowOff>
    </xdr:from>
    <xdr:to>
      <xdr:col>15</xdr:col>
      <xdr:colOff>358140</xdr:colOff>
      <xdr:row>23</xdr:row>
      <xdr:rowOff>1851660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33</xdr:row>
      <xdr:rowOff>38100</xdr:rowOff>
    </xdr:from>
    <xdr:to>
      <xdr:col>16</xdr:col>
      <xdr:colOff>30480</xdr:colOff>
      <xdr:row>33</xdr:row>
      <xdr:rowOff>1866900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601980</xdr:colOff>
      <xdr:row>35</xdr:row>
      <xdr:rowOff>38100</xdr:rowOff>
    </xdr:from>
    <xdr:to>
      <xdr:col>16</xdr:col>
      <xdr:colOff>45720</xdr:colOff>
      <xdr:row>35</xdr:row>
      <xdr:rowOff>2232660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30480</xdr:colOff>
      <xdr:row>37</xdr:row>
      <xdr:rowOff>45720</xdr:rowOff>
    </xdr:from>
    <xdr:to>
      <xdr:col>15</xdr:col>
      <xdr:colOff>601980</xdr:colOff>
      <xdr:row>38</xdr:row>
      <xdr:rowOff>1615440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22860</xdr:colOff>
      <xdr:row>40</xdr:row>
      <xdr:rowOff>91440</xdr:rowOff>
    </xdr:from>
    <xdr:to>
      <xdr:col>15</xdr:col>
      <xdr:colOff>579120</xdr:colOff>
      <xdr:row>40</xdr:row>
      <xdr:rowOff>2057400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22860</xdr:colOff>
      <xdr:row>48</xdr:row>
      <xdr:rowOff>68580</xdr:rowOff>
    </xdr:from>
    <xdr:to>
      <xdr:col>16</xdr:col>
      <xdr:colOff>53340</xdr:colOff>
      <xdr:row>48</xdr:row>
      <xdr:rowOff>2308860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601980</xdr:colOff>
      <xdr:row>50</xdr:row>
      <xdr:rowOff>53340</xdr:rowOff>
    </xdr:from>
    <xdr:to>
      <xdr:col>16</xdr:col>
      <xdr:colOff>38100</xdr:colOff>
      <xdr:row>50</xdr:row>
      <xdr:rowOff>1813560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7620</xdr:colOff>
      <xdr:row>52</xdr:row>
      <xdr:rowOff>99060</xdr:rowOff>
    </xdr:from>
    <xdr:to>
      <xdr:col>16</xdr:col>
      <xdr:colOff>114300</xdr:colOff>
      <xdr:row>52</xdr:row>
      <xdr:rowOff>2026920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22860</xdr:colOff>
      <xdr:row>54</xdr:row>
      <xdr:rowOff>76200</xdr:rowOff>
    </xdr:from>
    <xdr:to>
      <xdr:col>16</xdr:col>
      <xdr:colOff>129540</xdr:colOff>
      <xdr:row>55</xdr:row>
      <xdr:rowOff>1104900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0</xdr:row>
      <xdr:rowOff>137160</xdr:rowOff>
    </xdr:from>
    <xdr:to>
      <xdr:col>15</xdr:col>
      <xdr:colOff>38100</xdr:colOff>
      <xdr:row>11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60960</xdr:rowOff>
    </xdr:from>
    <xdr:to>
      <xdr:col>15</xdr:col>
      <xdr:colOff>106680</xdr:colOff>
      <xdr:row>10</xdr:row>
      <xdr:rowOff>243840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5"/>
  <sheetViews>
    <sheetView tabSelected="1" zoomScaleNormal="100" workbookViewId="0">
      <selection activeCell="G64" sqref="G64"/>
    </sheetView>
  </sheetViews>
  <sheetFormatPr defaultRowHeight="60" customHeight="1" outlineLevelRow="2" x14ac:dyDescent="0.3"/>
  <cols>
    <col min="2" max="2" width="11.21875" customWidth="1"/>
    <col min="3" max="4" width="10.33203125" customWidth="1"/>
    <col min="5" max="5" width="36.21875" style="1" customWidth="1"/>
    <col min="6" max="6" width="12.77734375" style="1" customWidth="1"/>
    <col min="7" max="7" width="6.21875" customWidth="1"/>
    <col min="8" max="8" width="8.88671875" style="64"/>
  </cols>
  <sheetData>
    <row r="1" spans="2:8" ht="60" customHeight="1" thickTop="1" thickBot="1" x14ac:dyDescent="0.35">
      <c r="B1" s="54" t="s">
        <v>92</v>
      </c>
      <c r="C1" s="54" t="s">
        <v>93</v>
      </c>
      <c r="D1" s="55" t="s">
        <v>94</v>
      </c>
      <c r="E1" s="54" t="s">
        <v>95</v>
      </c>
      <c r="F1" s="54" t="s">
        <v>96</v>
      </c>
      <c r="G1" s="54" t="s">
        <v>97</v>
      </c>
      <c r="H1" s="56" t="s">
        <v>98</v>
      </c>
    </row>
    <row r="2" spans="2:8" ht="60" customHeight="1" outlineLevel="2" thickTop="1" thickBot="1" x14ac:dyDescent="0.35">
      <c r="B2" s="84" t="s">
        <v>58</v>
      </c>
      <c r="C2" s="83">
        <v>13</v>
      </c>
      <c r="D2" s="83" t="s">
        <v>56</v>
      </c>
      <c r="E2" s="4" t="s">
        <v>90</v>
      </c>
      <c r="F2" s="57" t="s">
        <v>99</v>
      </c>
      <c r="G2" s="5">
        <v>8</v>
      </c>
      <c r="H2" s="66">
        <f>G2/13</f>
        <v>0.61538461538461542</v>
      </c>
    </row>
    <row r="3" spans="2:8" ht="60" customHeight="1" outlineLevel="2" thickTop="1" thickBot="1" x14ac:dyDescent="0.35">
      <c r="B3" s="84"/>
      <c r="C3" s="83"/>
      <c r="D3" s="83"/>
      <c r="E3" s="6" t="s">
        <v>4</v>
      </c>
      <c r="F3" s="57" t="s">
        <v>101</v>
      </c>
      <c r="G3" s="5">
        <v>2</v>
      </c>
      <c r="H3" s="66">
        <f>G3/13</f>
        <v>0.15384615384615385</v>
      </c>
    </row>
    <row r="4" spans="2:8" ht="60" customHeight="1" outlineLevel="2" thickTop="1" thickBot="1" x14ac:dyDescent="0.35">
      <c r="B4" s="84"/>
      <c r="C4" s="83"/>
      <c r="D4" s="83"/>
      <c r="E4" s="4" t="s">
        <v>88</v>
      </c>
      <c r="F4" s="57" t="s">
        <v>100</v>
      </c>
      <c r="G4" s="5">
        <v>1</v>
      </c>
      <c r="H4" s="66">
        <f>G4/13</f>
        <v>7.6923076923076927E-2</v>
      </c>
    </row>
    <row r="5" spans="2:8" ht="60" customHeight="1" outlineLevel="1" thickTop="1" thickBot="1" x14ac:dyDescent="0.35">
      <c r="B5" s="94" t="s">
        <v>117</v>
      </c>
      <c r="C5" s="79">
        <f>SUBTOTAL(9,C2:C4)</f>
        <v>13</v>
      </c>
      <c r="D5" s="79"/>
      <c r="E5" s="4"/>
      <c r="F5" s="57"/>
      <c r="G5" s="5">
        <f>SUBTOTAL(9,G2:G4)</f>
        <v>11</v>
      </c>
      <c r="H5" s="66">
        <f>SUBTOTAL(9,H2:H4)</f>
        <v>0.84615384615384626</v>
      </c>
    </row>
    <row r="6" spans="2:8" ht="60" customHeight="1" outlineLevel="2" thickTop="1" thickBot="1" x14ac:dyDescent="0.35">
      <c r="B6" s="86" t="s">
        <v>59</v>
      </c>
      <c r="C6" s="85">
        <v>56</v>
      </c>
      <c r="D6" s="85" t="s">
        <v>57</v>
      </c>
      <c r="E6" s="7" t="s">
        <v>3</v>
      </c>
      <c r="F6" s="17" t="s">
        <v>100</v>
      </c>
      <c r="G6" s="8">
        <v>1</v>
      </c>
      <c r="H6" s="67">
        <f>G6/56</f>
        <v>1.7857142857142856E-2</v>
      </c>
    </row>
    <row r="7" spans="2:8" ht="108" customHeight="1" outlineLevel="2" thickTop="1" thickBot="1" x14ac:dyDescent="0.35">
      <c r="B7" s="86"/>
      <c r="C7" s="85"/>
      <c r="D7" s="85"/>
      <c r="E7" s="7" t="s">
        <v>91</v>
      </c>
      <c r="F7" s="17" t="s">
        <v>115</v>
      </c>
      <c r="G7" s="8">
        <v>1</v>
      </c>
      <c r="H7" s="67">
        <f>G7/56</f>
        <v>1.7857142857142856E-2</v>
      </c>
    </row>
    <row r="8" spans="2:8" ht="28.8" customHeight="1" outlineLevel="1" thickTop="1" thickBot="1" x14ac:dyDescent="0.35">
      <c r="B8" s="95" t="s">
        <v>118</v>
      </c>
      <c r="C8" s="80">
        <f>SUBTOTAL(9,C6:C7)</f>
        <v>56</v>
      </c>
      <c r="D8" s="80"/>
      <c r="E8" s="7"/>
      <c r="F8" s="17"/>
      <c r="G8" s="8">
        <f>SUBTOTAL(9,G6:G7)</f>
        <v>2</v>
      </c>
      <c r="H8" s="67">
        <f>SUBTOTAL(9,H6:H7)</f>
        <v>3.5714285714285712E-2</v>
      </c>
    </row>
    <row r="9" spans="2:8" ht="23.4" customHeight="1" outlineLevel="2" thickTop="1" thickBot="1" x14ac:dyDescent="0.35">
      <c r="B9" s="9" t="s">
        <v>60</v>
      </c>
      <c r="C9" s="40">
        <v>18</v>
      </c>
      <c r="D9" s="40" t="s">
        <v>30</v>
      </c>
      <c r="E9" s="10">
        <v>0</v>
      </c>
      <c r="F9" s="11">
        <v>0</v>
      </c>
      <c r="G9" s="11">
        <v>0</v>
      </c>
      <c r="H9" s="65">
        <v>0</v>
      </c>
    </row>
    <row r="10" spans="2:8" ht="23.4" customHeight="1" outlineLevel="1" thickTop="1" thickBot="1" x14ac:dyDescent="0.35">
      <c r="B10" s="96" t="s">
        <v>119</v>
      </c>
      <c r="C10" s="77">
        <f>SUBTOTAL(9,C9:C9)</f>
        <v>18</v>
      </c>
      <c r="D10" s="77"/>
      <c r="E10" s="10"/>
      <c r="F10" s="11"/>
      <c r="G10" s="11">
        <f>SUBTOTAL(9,G9:G9)</f>
        <v>0</v>
      </c>
      <c r="H10" s="65">
        <f>SUBTOTAL(9,H9:H9)</f>
        <v>0</v>
      </c>
    </row>
    <row r="11" spans="2:8" ht="60" customHeight="1" outlineLevel="2" thickTop="1" thickBot="1" x14ac:dyDescent="0.35">
      <c r="B11" s="88" t="s">
        <v>61</v>
      </c>
      <c r="C11" s="87">
        <v>5</v>
      </c>
      <c r="D11" s="87" t="s">
        <v>31</v>
      </c>
      <c r="E11" s="12" t="s">
        <v>86</v>
      </c>
      <c r="F11" s="58" t="s">
        <v>102</v>
      </c>
      <c r="G11" s="13">
        <v>4</v>
      </c>
      <c r="H11" s="68">
        <f>G11/5</f>
        <v>0.8</v>
      </c>
    </row>
    <row r="12" spans="2:8" ht="97.8" customHeight="1" outlineLevel="2" thickTop="1" thickBot="1" x14ac:dyDescent="0.35">
      <c r="B12" s="88"/>
      <c r="C12" s="87"/>
      <c r="D12" s="87"/>
      <c r="E12" s="12" t="s">
        <v>89</v>
      </c>
      <c r="F12" s="58" t="s">
        <v>103</v>
      </c>
      <c r="G12" s="13">
        <v>1</v>
      </c>
      <c r="H12" s="68">
        <f>G12/5</f>
        <v>0.2</v>
      </c>
    </row>
    <row r="13" spans="2:8" ht="27.6" customHeight="1" outlineLevel="1" thickTop="1" thickBot="1" x14ac:dyDescent="0.35">
      <c r="B13" s="97" t="s">
        <v>120</v>
      </c>
      <c r="C13" s="81">
        <f>SUBTOTAL(9,C11:C12)</f>
        <v>5</v>
      </c>
      <c r="D13" s="81"/>
      <c r="E13" s="12"/>
      <c r="F13" s="58"/>
      <c r="G13" s="13">
        <f>SUBTOTAL(9,G11:G12)</f>
        <v>5</v>
      </c>
      <c r="H13" s="68">
        <f>SUBTOTAL(9,H11:H12)</f>
        <v>1</v>
      </c>
    </row>
    <row r="14" spans="2:8" ht="39.6" customHeight="1" outlineLevel="2" thickTop="1" thickBot="1" x14ac:dyDescent="0.35">
      <c r="B14" s="14" t="s">
        <v>62</v>
      </c>
      <c r="C14" s="15">
        <v>7</v>
      </c>
      <c r="D14" s="15" t="s">
        <v>32</v>
      </c>
      <c r="E14" s="16">
        <v>0</v>
      </c>
      <c r="F14" s="17">
        <v>0</v>
      </c>
      <c r="G14" s="17">
        <v>0</v>
      </c>
      <c r="H14" s="67">
        <v>0</v>
      </c>
    </row>
    <row r="15" spans="2:8" ht="16.2" customHeight="1" outlineLevel="1" thickTop="1" thickBot="1" x14ac:dyDescent="0.35">
      <c r="B15" s="95" t="s">
        <v>121</v>
      </c>
      <c r="C15" s="80">
        <f>SUBTOTAL(9,C14:C14)</f>
        <v>7</v>
      </c>
      <c r="D15" s="80"/>
      <c r="E15" s="16"/>
      <c r="F15" s="17"/>
      <c r="G15" s="17">
        <f>SUBTOTAL(9,G14:G14)</f>
        <v>0</v>
      </c>
      <c r="H15" s="67">
        <f>SUBTOTAL(9,H14:H14)</f>
        <v>0</v>
      </c>
    </row>
    <row r="16" spans="2:8" ht="25.8" customHeight="1" outlineLevel="2" thickTop="1" thickBot="1" x14ac:dyDescent="0.35">
      <c r="B16" s="9" t="s">
        <v>63</v>
      </c>
      <c r="C16" s="40">
        <v>2</v>
      </c>
      <c r="D16" s="40" t="s">
        <v>33</v>
      </c>
      <c r="E16" s="18">
        <v>0</v>
      </c>
      <c r="F16" s="11">
        <v>0</v>
      </c>
      <c r="G16" s="19">
        <v>0</v>
      </c>
      <c r="H16" s="65">
        <v>0</v>
      </c>
    </row>
    <row r="17" spans="2:8" ht="25.8" customHeight="1" outlineLevel="1" thickTop="1" thickBot="1" x14ac:dyDescent="0.35">
      <c r="B17" s="96" t="s">
        <v>122</v>
      </c>
      <c r="C17" s="77">
        <f>SUBTOTAL(9,C16:C16)</f>
        <v>2</v>
      </c>
      <c r="D17" s="77"/>
      <c r="E17" s="18"/>
      <c r="F17" s="11"/>
      <c r="G17" s="19">
        <f>SUBTOTAL(9,G16:G16)</f>
        <v>0</v>
      </c>
      <c r="H17" s="65">
        <f>SUBTOTAL(9,H16:H16)</f>
        <v>0</v>
      </c>
    </row>
    <row r="18" spans="2:8" ht="24" customHeight="1" outlineLevel="2" thickTop="1" thickBot="1" x14ac:dyDescent="0.35">
      <c r="B18" s="20" t="s">
        <v>64</v>
      </c>
      <c r="C18" s="21">
        <v>1</v>
      </c>
      <c r="D18" s="21" t="s">
        <v>34</v>
      </c>
      <c r="E18" s="4">
        <v>0</v>
      </c>
      <c r="F18" s="57">
        <v>0</v>
      </c>
      <c r="G18" s="5">
        <v>0</v>
      </c>
      <c r="H18" s="66">
        <v>0</v>
      </c>
    </row>
    <row r="19" spans="2:8" ht="24" customHeight="1" outlineLevel="1" thickTop="1" thickBot="1" x14ac:dyDescent="0.35">
      <c r="B19" s="94" t="s">
        <v>123</v>
      </c>
      <c r="C19" s="21">
        <f>SUBTOTAL(9,C18:C18)</f>
        <v>1</v>
      </c>
      <c r="D19" s="21"/>
      <c r="E19" s="4"/>
      <c r="F19" s="57"/>
      <c r="G19" s="5">
        <f>SUBTOTAL(9,G18:G18)</f>
        <v>0</v>
      </c>
      <c r="H19" s="66">
        <f>SUBTOTAL(9,H18:H18)</f>
        <v>0</v>
      </c>
    </row>
    <row r="20" spans="2:8" ht="177" customHeight="1" outlineLevel="2" thickTop="1" thickBot="1" x14ac:dyDescent="0.35">
      <c r="B20" s="75" t="s">
        <v>65</v>
      </c>
      <c r="C20" s="22">
        <v>2</v>
      </c>
      <c r="D20" s="22" t="s">
        <v>35</v>
      </c>
      <c r="E20" s="12" t="s">
        <v>11</v>
      </c>
      <c r="F20" s="58" t="s">
        <v>102</v>
      </c>
      <c r="G20" s="13">
        <v>2</v>
      </c>
      <c r="H20" s="72">
        <f>G20/C20</f>
        <v>1</v>
      </c>
    </row>
    <row r="21" spans="2:8" ht="28.8" customHeight="1" outlineLevel="1" thickTop="1" thickBot="1" x14ac:dyDescent="0.35">
      <c r="B21" s="97" t="s">
        <v>124</v>
      </c>
      <c r="C21" s="82">
        <f>SUBTOTAL(9,C20:C20)</f>
        <v>2</v>
      </c>
      <c r="D21" s="82"/>
      <c r="E21" s="12"/>
      <c r="F21" s="58"/>
      <c r="G21" s="13">
        <f>SUBTOTAL(9,G20:G20)</f>
        <v>2</v>
      </c>
      <c r="H21" s="72">
        <f>SUBTOTAL(9,H20:H20)</f>
        <v>1</v>
      </c>
    </row>
    <row r="22" spans="2:8" ht="166.2" customHeight="1" outlineLevel="2" thickTop="1" thickBot="1" x14ac:dyDescent="0.35">
      <c r="B22" s="14" t="s">
        <v>66</v>
      </c>
      <c r="C22" s="15">
        <v>4</v>
      </c>
      <c r="D22" s="15" t="s">
        <v>36</v>
      </c>
      <c r="E22" s="23" t="s">
        <v>8</v>
      </c>
      <c r="F22" s="17" t="s">
        <v>104</v>
      </c>
      <c r="G22" s="8">
        <v>4</v>
      </c>
      <c r="H22" s="67">
        <f>G22/C22</f>
        <v>1</v>
      </c>
    </row>
    <row r="23" spans="2:8" ht="25.2" customHeight="1" outlineLevel="1" thickTop="1" thickBot="1" x14ac:dyDescent="0.35">
      <c r="B23" s="95" t="s">
        <v>125</v>
      </c>
      <c r="C23" s="80">
        <f>SUBTOTAL(9,C22:C22)</f>
        <v>4</v>
      </c>
      <c r="D23" s="80"/>
      <c r="E23" s="23"/>
      <c r="F23" s="17"/>
      <c r="G23" s="8">
        <f>SUBTOTAL(9,G22:G22)</f>
        <v>4</v>
      </c>
      <c r="H23" s="67">
        <f>SUBTOTAL(9,H22:H22)</f>
        <v>1</v>
      </c>
    </row>
    <row r="24" spans="2:8" ht="152.4" customHeight="1" outlineLevel="2" thickTop="1" thickBot="1" x14ac:dyDescent="0.35">
      <c r="B24" s="9" t="s">
        <v>116</v>
      </c>
      <c r="C24" s="40">
        <v>3</v>
      </c>
      <c r="D24" s="40" t="s">
        <v>37</v>
      </c>
      <c r="E24" s="18" t="s">
        <v>15</v>
      </c>
      <c r="F24" s="11" t="s">
        <v>105</v>
      </c>
      <c r="G24" s="19">
        <v>2</v>
      </c>
      <c r="H24" s="65">
        <f>G24/C24</f>
        <v>0.66666666666666663</v>
      </c>
    </row>
    <row r="25" spans="2:8" ht="11.4" customHeight="1" outlineLevel="1" thickTop="1" thickBot="1" x14ac:dyDescent="0.35">
      <c r="B25" s="96" t="s">
        <v>126</v>
      </c>
      <c r="C25" s="77">
        <f>SUBTOTAL(9,C24:C24)</f>
        <v>3</v>
      </c>
      <c r="D25" s="77"/>
      <c r="E25" s="18"/>
      <c r="F25" s="11"/>
      <c r="G25" s="19">
        <f>SUBTOTAL(9,G24:G24)</f>
        <v>2</v>
      </c>
      <c r="H25" s="65">
        <f>SUBTOTAL(9,H24:H24)</f>
        <v>0.66666666666666663</v>
      </c>
    </row>
    <row r="26" spans="2:8" ht="17.399999999999999" customHeight="1" outlineLevel="2" thickTop="1" thickBot="1" x14ac:dyDescent="0.35">
      <c r="B26" s="20" t="s">
        <v>67</v>
      </c>
      <c r="C26" s="24">
        <v>1</v>
      </c>
      <c r="D26" s="24" t="s">
        <v>38</v>
      </c>
      <c r="E26" s="25">
        <v>0</v>
      </c>
      <c r="F26" s="57">
        <v>0</v>
      </c>
      <c r="G26" s="26">
        <v>0</v>
      </c>
      <c r="H26" s="66">
        <v>0</v>
      </c>
    </row>
    <row r="27" spans="2:8" ht="17.399999999999999" customHeight="1" outlineLevel="1" thickTop="1" thickBot="1" x14ac:dyDescent="0.35">
      <c r="B27" s="94" t="s">
        <v>127</v>
      </c>
      <c r="C27" s="79">
        <f>SUBTOTAL(9,C26:C26)</f>
        <v>1</v>
      </c>
      <c r="D27" s="79"/>
      <c r="E27" s="25"/>
      <c r="F27" s="57"/>
      <c r="G27" s="26">
        <f>SUBTOTAL(9,G26:G26)</f>
        <v>0</v>
      </c>
      <c r="H27" s="66">
        <f>SUBTOTAL(9,H26:H26)</f>
        <v>0</v>
      </c>
    </row>
    <row r="28" spans="2:8" ht="21.6" customHeight="1" outlineLevel="2" thickTop="1" thickBot="1" x14ac:dyDescent="0.35">
      <c r="B28" s="27" t="s">
        <v>68</v>
      </c>
      <c r="C28" s="28">
        <v>6</v>
      </c>
      <c r="D28" s="28" t="s">
        <v>39</v>
      </c>
      <c r="E28" s="29">
        <v>0</v>
      </c>
      <c r="F28" s="59">
        <v>0</v>
      </c>
      <c r="G28" s="30">
        <v>0</v>
      </c>
      <c r="H28" s="73">
        <v>0</v>
      </c>
    </row>
    <row r="29" spans="2:8" ht="21.6" customHeight="1" outlineLevel="1" thickTop="1" thickBot="1" x14ac:dyDescent="0.35">
      <c r="B29" s="98" t="s">
        <v>128</v>
      </c>
      <c r="C29" s="28">
        <f>SUBTOTAL(9,C28:C28)</f>
        <v>6</v>
      </c>
      <c r="D29" s="28"/>
      <c r="E29" s="29"/>
      <c r="F29" s="59"/>
      <c r="G29" s="30">
        <f>SUBTOTAL(9,G28:G28)</f>
        <v>0</v>
      </c>
      <c r="H29" s="73">
        <f>SUBTOTAL(9,H28:H28)</f>
        <v>0</v>
      </c>
    </row>
    <row r="30" spans="2:8" ht="22.2" customHeight="1" outlineLevel="2" thickTop="1" thickBot="1" x14ac:dyDescent="0.35">
      <c r="B30" s="14" t="s">
        <v>69</v>
      </c>
      <c r="C30" s="15">
        <v>1</v>
      </c>
      <c r="D30" s="15" t="s">
        <v>40</v>
      </c>
      <c r="E30" s="7">
        <v>0</v>
      </c>
      <c r="F30" s="17">
        <v>0</v>
      </c>
      <c r="G30" s="8">
        <v>0</v>
      </c>
      <c r="H30" s="67">
        <v>0</v>
      </c>
    </row>
    <row r="31" spans="2:8" ht="22.2" customHeight="1" outlineLevel="1" thickTop="1" thickBot="1" x14ac:dyDescent="0.35">
      <c r="B31" s="95" t="s">
        <v>129</v>
      </c>
      <c r="C31" s="80">
        <f>SUBTOTAL(9,C30:C30)</f>
        <v>1</v>
      </c>
      <c r="D31" s="80"/>
      <c r="E31" s="7"/>
      <c r="F31" s="17"/>
      <c r="G31" s="8">
        <f>SUBTOTAL(9,G30:G30)</f>
        <v>0</v>
      </c>
      <c r="H31" s="67">
        <f>SUBTOTAL(9,H30:H30)</f>
        <v>0</v>
      </c>
    </row>
    <row r="32" spans="2:8" ht="24.6" customHeight="1" outlineLevel="2" thickTop="1" thickBot="1" x14ac:dyDescent="0.35">
      <c r="B32" s="31" t="s">
        <v>70</v>
      </c>
      <c r="C32" s="32">
        <v>0</v>
      </c>
      <c r="D32" s="32" t="s">
        <v>41</v>
      </c>
      <c r="E32" s="33">
        <v>0</v>
      </c>
      <c r="F32" s="60">
        <v>0</v>
      </c>
      <c r="G32" s="34">
        <v>0</v>
      </c>
      <c r="H32" s="74">
        <v>0</v>
      </c>
    </row>
    <row r="33" spans="2:8" ht="24.6" customHeight="1" outlineLevel="1" thickTop="1" thickBot="1" x14ac:dyDescent="0.35">
      <c r="B33" s="99" t="s">
        <v>130</v>
      </c>
      <c r="C33" s="32">
        <f>SUBTOTAL(9,C32:C32)</f>
        <v>0</v>
      </c>
      <c r="D33" s="32"/>
      <c r="E33" s="33"/>
      <c r="F33" s="60"/>
      <c r="G33" s="34">
        <f>SUBTOTAL(9,G32:G32)</f>
        <v>0</v>
      </c>
      <c r="H33" s="74">
        <f>SUBTOTAL(9,H32:H32)</f>
        <v>0</v>
      </c>
    </row>
    <row r="34" spans="2:8" ht="154.80000000000001" customHeight="1" outlineLevel="2" thickTop="1" thickBot="1" x14ac:dyDescent="0.35">
      <c r="B34" s="76" t="s">
        <v>71</v>
      </c>
      <c r="C34" s="35">
        <v>21</v>
      </c>
      <c r="D34" s="35" t="s">
        <v>42</v>
      </c>
      <c r="E34" s="36" t="s">
        <v>2</v>
      </c>
      <c r="F34" s="61" t="s">
        <v>106</v>
      </c>
      <c r="G34" s="37">
        <v>12</v>
      </c>
      <c r="H34" s="69">
        <f>G34/C34</f>
        <v>0.5714285714285714</v>
      </c>
    </row>
    <row r="35" spans="2:8" ht="30.6" customHeight="1" outlineLevel="1" thickTop="1" thickBot="1" x14ac:dyDescent="0.35">
      <c r="B35" s="100" t="s">
        <v>131</v>
      </c>
      <c r="C35" s="35">
        <f>SUBTOTAL(9,C34:C34)</f>
        <v>21</v>
      </c>
      <c r="D35" s="35"/>
      <c r="E35" s="36"/>
      <c r="F35" s="61"/>
      <c r="G35" s="37">
        <f>SUBTOTAL(9,G34:G34)</f>
        <v>12</v>
      </c>
      <c r="H35" s="69">
        <f>SUBTOTAL(9,H34:H34)</f>
        <v>0.5714285714285714</v>
      </c>
    </row>
    <row r="36" spans="2:8" ht="182.4" customHeight="1" outlineLevel="2" thickTop="1" thickBot="1" x14ac:dyDescent="0.35">
      <c r="B36" s="9" t="s">
        <v>72</v>
      </c>
      <c r="C36" s="40">
        <v>10</v>
      </c>
      <c r="D36" s="40" t="s">
        <v>43</v>
      </c>
      <c r="E36" s="18" t="s">
        <v>17</v>
      </c>
      <c r="F36" s="11" t="s">
        <v>108</v>
      </c>
      <c r="G36" s="19">
        <v>1</v>
      </c>
      <c r="H36" s="65">
        <f>G36/C36</f>
        <v>0.1</v>
      </c>
    </row>
    <row r="37" spans="2:8" ht="30.6" customHeight="1" outlineLevel="1" thickTop="1" thickBot="1" x14ac:dyDescent="0.35">
      <c r="B37" s="96" t="s">
        <v>132</v>
      </c>
      <c r="C37" s="77">
        <f>SUBTOTAL(9,C36:C36)</f>
        <v>10</v>
      </c>
      <c r="D37" s="77"/>
      <c r="E37" s="18"/>
      <c r="F37" s="11"/>
      <c r="G37" s="19">
        <f>SUBTOTAL(9,G36:G36)</f>
        <v>1</v>
      </c>
      <c r="H37" s="65">
        <f>SUBTOTAL(9,H36:H36)</f>
        <v>0.1</v>
      </c>
    </row>
    <row r="38" spans="2:8" ht="107.4" customHeight="1" outlineLevel="2" thickTop="1" thickBot="1" x14ac:dyDescent="0.35">
      <c r="B38" s="91" t="s">
        <v>73</v>
      </c>
      <c r="C38" s="92">
        <v>6</v>
      </c>
      <c r="D38" s="92" t="s">
        <v>44</v>
      </c>
      <c r="E38" s="38" t="s">
        <v>13</v>
      </c>
      <c r="F38" s="62" t="s">
        <v>107</v>
      </c>
      <c r="G38" s="39">
        <v>2</v>
      </c>
      <c r="H38" s="70">
        <f>G38/6</f>
        <v>0.33333333333333331</v>
      </c>
    </row>
    <row r="39" spans="2:8" ht="133.80000000000001" customHeight="1" outlineLevel="2" thickTop="1" thickBot="1" x14ac:dyDescent="0.35">
      <c r="B39" s="91"/>
      <c r="C39" s="92"/>
      <c r="D39" s="92"/>
      <c r="E39" s="38" t="s">
        <v>14</v>
      </c>
      <c r="F39" s="62" t="s">
        <v>109</v>
      </c>
      <c r="G39" s="39">
        <v>2</v>
      </c>
      <c r="H39" s="70">
        <f>G39/6</f>
        <v>0.33333333333333331</v>
      </c>
    </row>
    <row r="40" spans="2:8" ht="25.2" customHeight="1" outlineLevel="1" thickTop="1" thickBot="1" x14ac:dyDescent="0.35">
      <c r="B40" s="101" t="s">
        <v>133</v>
      </c>
      <c r="C40" s="78">
        <f>SUBTOTAL(9,C38:C39)</f>
        <v>6</v>
      </c>
      <c r="D40" s="78"/>
      <c r="E40" s="38"/>
      <c r="F40" s="62"/>
      <c r="G40" s="39">
        <f>SUBTOTAL(9,G38:G39)</f>
        <v>4</v>
      </c>
      <c r="H40" s="70">
        <f>SUBTOTAL(9,H38:H39)</f>
        <v>0.66666666666666663</v>
      </c>
    </row>
    <row r="41" spans="2:8" ht="166.8" customHeight="1" outlineLevel="2" thickTop="1" thickBot="1" x14ac:dyDescent="0.35">
      <c r="B41" s="14" t="s">
        <v>74</v>
      </c>
      <c r="C41" s="15">
        <v>50</v>
      </c>
      <c r="D41" s="15" t="s">
        <v>45</v>
      </c>
      <c r="E41" s="7" t="s">
        <v>19</v>
      </c>
      <c r="F41" s="17" t="s">
        <v>115</v>
      </c>
      <c r="G41" s="8">
        <v>1</v>
      </c>
      <c r="H41" s="67">
        <f>G41/C41</f>
        <v>0.02</v>
      </c>
    </row>
    <row r="42" spans="2:8" ht="33" customHeight="1" outlineLevel="1" thickTop="1" thickBot="1" x14ac:dyDescent="0.35">
      <c r="B42" s="95" t="s">
        <v>134</v>
      </c>
      <c r="C42" s="80">
        <f>SUBTOTAL(9,C41:C41)</f>
        <v>50</v>
      </c>
      <c r="D42" s="80"/>
      <c r="E42" s="7"/>
      <c r="F42" s="17"/>
      <c r="G42" s="8">
        <f>SUBTOTAL(9,G41:G41)</f>
        <v>1</v>
      </c>
      <c r="H42" s="67">
        <f>SUBTOTAL(9,H41:H41)</f>
        <v>0.02</v>
      </c>
    </row>
    <row r="43" spans="2:8" ht="28.2" customHeight="1" outlineLevel="2" thickTop="1" thickBot="1" x14ac:dyDescent="0.35">
      <c r="B43" s="20" t="s">
        <v>75</v>
      </c>
      <c r="C43" s="24">
        <v>14</v>
      </c>
      <c r="D43" s="24" t="s">
        <v>46</v>
      </c>
      <c r="E43" s="4">
        <v>0</v>
      </c>
      <c r="F43" s="57">
        <v>0</v>
      </c>
      <c r="G43" s="5">
        <v>0</v>
      </c>
      <c r="H43" s="71">
        <v>0</v>
      </c>
    </row>
    <row r="44" spans="2:8" ht="28.2" customHeight="1" outlineLevel="1" thickTop="1" thickBot="1" x14ac:dyDescent="0.35">
      <c r="B44" s="94" t="s">
        <v>135</v>
      </c>
      <c r="C44" s="79">
        <f>SUBTOTAL(9,C43:C43)</f>
        <v>14</v>
      </c>
      <c r="D44" s="79"/>
      <c r="E44" s="4"/>
      <c r="F44" s="57"/>
      <c r="G44" s="5">
        <f>SUBTOTAL(9,G43:G43)</f>
        <v>0</v>
      </c>
      <c r="H44" s="71">
        <f>SUBTOTAL(9,H43:H43)</f>
        <v>0</v>
      </c>
    </row>
    <row r="45" spans="2:8" ht="18" customHeight="1" outlineLevel="2" thickTop="1" thickBot="1" x14ac:dyDescent="0.35">
      <c r="B45" s="27" t="s">
        <v>76</v>
      </c>
      <c r="C45" s="28">
        <v>13</v>
      </c>
      <c r="D45" s="28" t="s">
        <v>47</v>
      </c>
      <c r="E45" s="29">
        <v>0</v>
      </c>
      <c r="F45" s="59">
        <v>0</v>
      </c>
      <c r="G45" s="30">
        <v>0</v>
      </c>
      <c r="H45" s="73">
        <v>0</v>
      </c>
    </row>
    <row r="46" spans="2:8" ht="18" customHeight="1" outlineLevel="1" thickTop="1" thickBot="1" x14ac:dyDescent="0.35">
      <c r="B46" s="98" t="s">
        <v>136</v>
      </c>
      <c r="C46" s="28">
        <f>SUBTOTAL(9,C45:C45)</f>
        <v>13</v>
      </c>
      <c r="D46" s="28"/>
      <c r="E46" s="29"/>
      <c r="F46" s="59"/>
      <c r="G46" s="30">
        <f>SUBTOTAL(9,G45:G45)</f>
        <v>0</v>
      </c>
      <c r="H46" s="73">
        <f>SUBTOTAL(9,H45:H45)</f>
        <v>0</v>
      </c>
    </row>
    <row r="47" spans="2:8" ht="16.2" customHeight="1" outlineLevel="2" thickTop="1" thickBot="1" x14ac:dyDescent="0.35">
      <c r="B47" s="9" t="s">
        <v>77</v>
      </c>
      <c r="C47" s="40">
        <v>22</v>
      </c>
      <c r="D47" s="40" t="s">
        <v>48</v>
      </c>
      <c r="E47" s="18">
        <v>0</v>
      </c>
      <c r="F47" s="11">
        <v>0</v>
      </c>
      <c r="G47" s="19">
        <v>0</v>
      </c>
      <c r="H47" s="65">
        <v>0</v>
      </c>
    </row>
    <row r="48" spans="2:8" ht="16.2" customHeight="1" outlineLevel="1" thickTop="1" thickBot="1" x14ac:dyDescent="0.35">
      <c r="B48" s="96" t="s">
        <v>137</v>
      </c>
      <c r="C48" s="77">
        <f>SUBTOTAL(9,C47:C47)</f>
        <v>22</v>
      </c>
      <c r="D48" s="77"/>
      <c r="E48" s="18"/>
      <c r="F48" s="11"/>
      <c r="G48" s="19">
        <f>SUBTOTAL(9,G47:G47)</f>
        <v>0</v>
      </c>
      <c r="H48" s="65">
        <f>SUBTOTAL(9,H47:H47)</f>
        <v>0</v>
      </c>
    </row>
    <row r="49" spans="2:8" ht="191.4" customHeight="1" outlineLevel="2" thickTop="1" thickBot="1" x14ac:dyDescent="0.35">
      <c r="B49" s="20" t="s">
        <v>78</v>
      </c>
      <c r="C49" s="24">
        <v>16</v>
      </c>
      <c r="D49" s="24" t="s">
        <v>49</v>
      </c>
      <c r="E49" s="4" t="s">
        <v>18</v>
      </c>
      <c r="F49" s="57" t="s">
        <v>110</v>
      </c>
      <c r="G49" s="5">
        <v>7</v>
      </c>
      <c r="H49" s="66">
        <f>G49/C49</f>
        <v>0.4375</v>
      </c>
    </row>
    <row r="50" spans="2:8" ht="16.2" customHeight="1" outlineLevel="1" thickTop="1" thickBot="1" x14ac:dyDescent="0.35">
      <c r="B50" s="94" t="s">
        <v>138</v>
      </c>
      <c r="C50" s="79">
        <f>SUBTOTAL(9,C49:C49)</f>
        <v>16</v>
      </c>
      <c r="D50" s="79"/>
      <c r="E50" s="4"/>
      <c r="F50" s="57"/>
      <c r="G50" s="5">
        <f>SUBTOTAL(9,G49:G49)</f>
        <v>7</v>
      </c>
      <c r="H50" s="66">
        <f>SUBTOTAL(9,H49:H49)</f>
        <v>0.4375</v>
      </c>
    </row>
    <row r="51" spans="2:8" ht="147" customHeight="1" outlineLevel="2" thickTop="1" thickBot="1" x14ac:dyDescent="0.35">
      <c r="B51" s="14" t="s">
        <v>79</v>
      </c>
      <c r="C51" s="15">
        <v>3</v>
      </c>
      <c r="D51" s="15" t="s">
        <v>50</v>
      </c>
      <c r="E51" s="7" t="s">
        <v>10</v>
      </c>
      <c r="F51" s="17" t="s">
        <v>111</v>
      </c>
      <c r="G51" s="8">
        <v>2</v>
      </c>
      <c r="H51" s="67">
        <f>G51/C51</f>
        <v>0.66666666666666663</v>
      </c>
    </row>
    <row r="52" spans="2:8" ht="22.8" customHeight="1" outlineLevel="1" thickTop="1" thickBot="1" x14ac:dyDescent="0.35">
      <c r="B52" s="95" t="s">
        <v>139</v>
      </c>
      <c r="C52" s="80">
        <f>SUBTOTAL(9,C51:C51)</f>
        <v>3</v>
      </c>
      <c r="D52" s="80"/>
      <c r="E52" s="7"/>
      <c r="F52" s="17"/>
      <c r="G52" s="8">
        <f>SUBTOTAL(9,G51:G51)</f>
        <v>2</v>
      </c>
      <c r="H52" s="67">
        <f>SUBTOTAL(9,H51:H51)</f>
        <v>0.66666666666666663</v>
      </c>
    </row>
    <row r="53" spans="2:8" ht="163.19999999999999" customHeight="1" outlineLevel="2" thickTop="1" thickBot="1" x14ac:dyDescent="0.35">
      <c r="B53" s="20" t="s">
        <v>80</v>
      </c>
      <c r="C53" s="24">
        <v>13</v>
      </c>
      <c r="D53" s="24" t="s">
        <v>51</v>
      </c>
      <c r="E53" s="6" t="s">
        <v>9</v>
      </c>
      <c r="F53" s="57" t="s">
        <v>112</v>
      </c>
      <c r="G53" s="5">
        <v>13</v>
      </c>
      <c r="H53" s="66">
        <f>G53/C53</f>
        <v>1</v>
      </c>
    </row>
    <row r="54" spans="2:8" ht="31.2" customHeight="1" outlineLevel="1" thickTop="1" thickBot="1" x14ac:dyDescent="0.35">
      <c r="B54" s="94" t="s">
        <v>140</v>
      </c>
      <c r="C54" s="79">
        <f>SUBTOTAL(9,C53:C53)</f>
        <v>13</v>
      </c>
      <c r="D54" s="79"/>
      <c r="E54" s="6"/>
      <c r="F54" s="57"/>
      <c r="G54" s="5">
        <f>SUBTOTAL(9,G53:G53)</f>
        <v>13</v>
      </c>
      <c r="H54" s="66">
        <f>SUBTOTAL(9,H53:H53)</f>
        <v>1</v>
      </c>
    </row>
    <row r="55" spans="2:8" ht="88.8" customHeight="1" outlineLevel="2" thickTop="1" thickBot="1" x14ac:dyDescent="0.35">
      <c r="B55" s="89" t="s">
        <v>81</v>
      </c>
      <c r="C55" s="90">
        <v>13</v>
      </c>
      <c r="D55" s="90" t="s">
        <v>52</v>
      </c>
      <c r="E55" s="18" t="s">
        <v>16</v>
      </c>
      <c r="F55" s="11" t="s">
        <v>113</v>
      </c>
      <c r="G55" s="19">
        <v>12</v>
      </c>
      <c r="H55" s="65">
        <f>G55/13</f>
        <v>0.92307692307692313</v>
      </c>
    </row>
    <row r="56" spans="2:8" ht="94.2" customHeight="1" outlineLevel="2" thickTop="1" thickBot="1" x14ac:dyDescent="0.35">
      <c r="B56" s="89"/>
      <c r="C56" s="90"/>
      <c r="D56" s="90"/>
      <c r="E56" s="41" t="s">
        <v>85</v>
      </c>
      <c r="F56" s="11" t="s">
        <v>114</v>
      </c>
      <c r="G56" s="19">
        <v>1</v>
      </c>
      <c r="H56" s="65">
        <f>G56/13</f>
        <v>7.6923076923076927E-2</v>
      </c>
    </row>
    <row r="57" spans="2:8" ht="18.600000000000001" customHeight="1" outlineLevel="1" thickTop="1" thickBot="1" x14ac:dyDescent="0.35">
      <c r="B57" s="96" t="s">
        <v>141</v>
      </c>
      <c r="C57" s="77">
        <f>SUBTOTAL(9,C55:C56)</f>
        <v>13</v>
      </c>
      <c r="D57" s="77"/>
      <c r="E57" s="41"/>
      <c r="F57" s="11"/>
      <c r="G57" s="19">
        <f>SUBTOTAL(9,G55:G56)</f>
        <v>13</v>
      </c>
      <c r="H57" s="65">
        <f>SUBTOTAL(9,H55:H56)</f>
        <v>1</v>
      </c>
    </row>
    <row r="58" spans="2:8" ht="16.8" customHeight="1" outlineLevel="2" thickTop="1" thickBot="1" x14ac:dyDescent="0.35">
      <c r="B58" s="27" t="s">
        <v>82</v>
      </c>
      <c r="C58" s="28">
        <v>0</v>
      </c>
      <c r="D58" s="28" t="s">
        <v>53</v>
      </c>
      <c r="E58" s="42">
        <v>0</v>
      </c>
      <c r="F58" s="59">
        <v>0</v>
      </c>
      <c r="G58" s="30">
        <v>0</v>
      </c>
      <c r="H58" s="73">
        <v>0</v>
      </c>
    </row>
    <row r="59" spans="2:8" ht="16.8" customHeight="1" outlineLevel="1" thickTop="1" thickBot="1" x14ac:dyDescent="0.35">
      <c r="B59" s="98" t="s">
        <v>142</v>
      </c>
      <c r="C59" s="28">
        <f>SUBTOTAL(9,C58:C58)</f>
        <v>0</v>
      </c>
      <c r="D59" s="28"/>
      <c r="E59" s="42"/>
      <c r="F59" s="59"/>
      <c r="G59" s="30">
        <f>SUBTOTAL(9,G58:G58)</f>
        <v>0</v>
      </c>
      <c r="H59" s="73">
        <f>SUBTOTAL(9,H58:H58)</f>
        <v>0</v>
      </c>
    </row>
    <row r="60" spans="2:8" ht="15" customHeight="1" outlineLevel="2" thickTop="1" thickBot="1" x14ac:dyDescent="0.35">
      <c r="B60" s="20" t="s">
        <v>83</v>
      </c>
      <c r="C60" s="24">
        <v>20</v>
      </c>
      <c r="D60" s="24" t="s">
        <v>54</v>
      </c>
      <c r="E60" s="43">
        <v>0</v>
      </c>
      <c r="F60" s="57">
        <v>0</v>
      </c>
      <c r="G60" s="44">
        <v>0</v>
      </c>
      <c r="H60" s="66">
        <v>0</v>
      </c>
    </row>
    <row r="61" spans="2:8" ht="15" customHeight="1" outlineLevel="1" thickTop="1" thickBot="1" x14ac:dyDescent="0.35">
      <c r="B61" s="94" t="s">
        <v>143</v>
      </c>
      <c r="C61" s="79">
        <f>SUBTOTAL(9,C60:C60)</f>
        <v>20</v>
      </c>
      <c r="D61" s="79"/>
      <c r="E61" s="43"/>
      <c r="F61" s="57"/>
      <c r="G61" s="44">
        <f>SUBTOTAL(9,G60:G60)</f>
        <v>0</v>
      </c>
      <c r="H61" s="66">
        <f>SUBTOTAL(9,H60:H60)</f>
        <v>0</v>
      </c>
    </row>
    <row r="62" spans="2:8" ht="14.4" customHeight="1" outlineLevel="2" thickTop="1" thickBot="1" x14ac:dyDescent="0.35">
      <c r="B62" s="14" t="s">
        <v>84</v>
      </c>
      <c r="C62" s="15">
        <v>17</v>
      </c>
      <c r="D62" s="15" t="s">
        <v>55</v>
      </c>
      <c r="E62" s="7">
        <v>0</v>
      </c>
      <c r="F62" s="17">
        <v>0</v>
      </c>
      <c r="G62" s="8">
        <v>0</v>
      </c>
      <c r="H62" s="67">
        <v>0</v>
      </c>
    </row>
    <row r="63" spans="2:8" ht="14.4" customHeight="1" outlineLevel="1" thickTop="1" thickBot="1" x14ac:dyDescent="0.35">
      <c r="B63" s="95" t="s">
        <v>144</v>
      </c>
      <c r="C63" s="80">
        <f>SUBTOTAL(9,C62:C62)</f>
        <v>17</v>
      </c>
      <c r="D63" s="80"/>
      <c r="E63" s="7"/>
      <c r="F63" s="17"/>
      <c r="G63" s="8">
        <f>SUBTOTAL(9,G62:G62)</f>
        <v>0</v>
      </c>
      <c r="H63" s="67">
        <f>SUBTOTAL(9,H62:H62)</f>
        <v>0</v>
      </c>
    </row>
    <row r="64" spans="2:8" ht="60" customHeight="1" thickTop="1" thickBot="1" x14ac:dyDescent="0.35">
      <c r="B64" s="2"/>
      <c r="C64" s="2"/>
      <c r="D64" s="2"/>
      <c r="E64" s="3"/>
      <c r="F64" s="3"/>
      <c r="G64" s="2"/>
      <c r="H64" s="63"/>
    </row>
    <row r="65" ht="60" customHeight="1" thickTop="1" x14ac:dyDescent="0.3"/>
  </sheetData>
  <sortState ref="E2:H4">
    <sortCondition descending="1" ref="H2:H4"/>
  </sortState>
  <mergeCells count="15">
    <mergeCell ref="B55:B56"/>
    <mergeCell ref="D55:D56"/>
    <mergeCell ref="C55:C56"/>
    <mergeCell ref="B38:B39"/>
    <mergeCell ref="D38:D39"/>
    <mergeCell ref="C38:C39"/>
    <mergeCell ref="D2:D4"/>
    <mergeCell ref="B2:B4"/>
    <mergeCell ref="D6:D7"/>
    <mergeCell ref="B6:B7"/>
    <mergeCell ref="D11:D12"/>
    <mergeCell ref="B11:B12"/>
    <mergeCell ref="C2:C4"/>
    <mergeCell ref="C6:C7"/>
    <mergeCell ref="C11:C1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topLeftCell="B1" workbookViewId="0">
      <selection activeCell="H17" sqref="H17"/>
    </sheetView>
  </sheetViews>
  <sheetFormatPr defaultRowHeight="14.4" x14ac:dyDescent="0.3"/>
  <cols>
    <col min="2" max="2" width="10.109375" style="1" customWidth="1"/>
    <col min="3" max="3" width="48.77734375" style="1" customWidth="1"/>
    <col min="5" max="5" width="8.88671875" style="64"/>
  </cols>
  <sheetData>
    <row r="1" spans="2:5" ht="15.6" thickTop="1" thickBot="1" x14ac:dyDescent="0.35">
      <c r="B1" s="3"/>
      <c r="C1" s="3"/>
      <c r="D1" s="2"/>
      <c r="E1" s="63"/>
    </row>
    <row r="2" spans="2:5" ht="32.4" thickTop="1" thickBot="1" x14ac:dyDescent="0.35">
      <c r="B2" s="53">
        <v>4</v>
      </c>
      <c r="C2" s="49" t="s">
        <v>12</v>
      </c>
      <c r="D2" s="2">
        <v>1</v>
      </c>
      <c r="E2" s="63">
        <f>D2/B2</f>
        <v>0.25</v>
      </c>
    </row>
    <row r="3" spans="2:5" ht="31.2" thickTop="1" thickBot="1" x14ac:dyDescent="0.35">
      <c r="B3" s="93">
        <v>27</v>
      </c>
      <c r="C3" s="50" t="s">
        <v>6</v>
      </c>
      <c r="D3" s="2">
        <v>3</v>
      </c>
      <c r="E3" s="63">
        <f>D3/27</f>
        <v>0.1111111111111111</v>
      </c>
    </row>
    <row r="4" spans="2:5" ht="31.2" thickTop="1" thickBot="1" x14ac:dyDescent="0.35">
      <c r="B4" s="93"/>
      <c r="C4" s="50" t="s">
        <v>5</v>
      </c>
      <c r="D4" s="2">
        <v>4</v>
      </c>
      <c r="E4" s="63">
        <f t="shared" ref="E4:E5" si="0">D4/27</f>
        <v>0.14814814814814814</v>
      </c>
    </row>
    <row r="5" spans="2:5" ht="31.2" thickTop="1" thickBot="1" x14ac:dyDescent="0.35">
      <c r="B5" s="93"/>
      <c r="C5" s="50" t="s">
        <v>7</v>
      </c>
      <c r="D5" s="2">
        <v>2</v>
      </c>
      <c r="E5" s="63">
        <f t="shared" si="0"/>
        <v>7.407407407407407E-2</v>
      </c>
    </row>
    <row r="6" spans="2:5" ht="16.2" thickTop="1" thickBot="1" x14ac:dyDescent="0.35">
      <c r="B6" s="45"/>
      <c r="C6" s="45" t="s">
        <v>87</v>
      </c>
      <c r="D6" s="2">
        <v>3</v>
      </c>
      <c r="E6" s="63"/>
    </row>
    <row r="7" spans="2:5" ht="16.8" thickTop="1" thickBot="1" x14ac:dyDescent="0.35">
      <c r="B7" s="52"/>
      <c r="C7" s="52" t="s">
        <v>0</v>
      </c>
      <c r="D7" s="2">
        <v>3</v>
      </c>
      <c r="E7" s="63"/>
    </row>
    <row r="8" spans="2:5" ht="48" thickTop="1" thickBot="1" x14ac:dyDescent="0.35">
      <c r="B8" s="49"/>
      <c r="C8" s="49" t="s">
        <v>21</v>
      </c>
      <c r="D8" s="2">
        <v>1</v>
      </c>
      <c r="E8" s="63"/>
    </row>
    <row r="9" spans="2:5" ht="32.4" thickTop="1" thickBot="1" x14ac:dyDescent="0.35">
      <c r="B9" s="51"/>
      <c r="C9" s="51" t="s">
        <v>1</v>
      </c>
      <c r="D9" s="2">
        <v>1</v>
      </c>
      <c r="E9" s="63"/>
    </row>
    <row r="10" spans="2:5" ht="32.4" thickTop="1" thickBot="1" x14ac:dyDescent="0.35">
      <c r="B10" s="45"/>
      <c r="C10" s="45" t="s">
        <v>20</v>
      </c>
      <c r="D10" s="2">
        <v>1</v>
      </c>
      <c r="E10" s="63"/>
    </row>
    <row r="11" spans="2:5" ht="15.6" thickTop="1" thickBot="1" x14ac:dyDescent="0.35">
      <c r="B11" s="3"/>
      <c r="C11" s="3"/>
      <c r="D11" s="2"/>
      <c r="E11" s="63"/>
    </row>
    <row r="12" spans="2:5" ht="15" thickTop="1" x14ac:dyDescent="0.3"/>
  </sheetData>
  <sortState ref="B6:E12">
    <sortCondition descending="1" ref="D6:D12"/>
  </sortState>
  <mergeCells count="1">
    <mergeCell ref="B3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workbookViewId="0">
      <selection activeCell="C14" sqref="C14"/>
    </sheetView>
  </sheetViews>
  <sheetFormatPr defaultRowHeight="30" customHeight="1" x14ac:dyDescent="0.3"/>
  <cols>
    <col min="3" max="3" width="50.44140625" customWidth="1"/>
    <col min="5" max="5" width="8.88671875" style="64"/>
  </cols>
  <sheetData>
    <row r="1" spans="2:5" ht="30" customHeight="1" thickTop="1" thickBot="1" x14ac:dyDescent="0.35">
      <c r="B1" s="2"/>
      <c r="C1" s="45" t="s">
        <v>29</v>
      </c>
      <c r="D1" s="47">
        <v>7</v>
      </c>
      <c r="E1" s="63"/>
    </row>
    <row r="2" spans="2:5" ht="30" customHeight="1" thickTop="1" thickBot="1" x14ac:dyDescent="0.35">
      <c r="B2" s="2">
        <v>19</v>
      </c>
      <c r="C2" s="45" t="s">
        <v>22</v>
      </c>
      <c r="D2" s="46">
        <v>3</v>
      </c>
      <c r="E2" s="63">
        <f>D2/B2</f>
        <v>0.15789473684210525</v>
      </c>
    </row>
    <row r="3" spans="2:5" ht="30" customHeight="1" thickTop="1" thickBot="1" x14ac:dyDescent="0.35">
      <c r="B3" s="2">
        <v>5</v>
      </c>
      <c r="C3" s="45" t="s">
        <v>23</v>
      </c>
      <c r="D3" s="47">
        <v>3</v>
      </c>
      <c r="E3" s="63">
        <f>D3/B3</f>
        <v>0.6</v>
      </c>
    </row>
    <row r="4" spans="2:5" ht="30" customHeight="1" thickTop="1" thickBot="1" x14ac:dyDescent="0.35">
      <c r="B4" s="2"/>
      <c r="C4" s="45" t="s">
        <v>28</v>
      </c>
      <c r="D4" s="48">
        <v>3</v>
      </c>
      <c r="E4" s="63"/>
    </row>
    <row r="5" spans="2:5" ht="30" customHeight="1" thickTop="1" thickBot="1" x14ac:dyDescent="0.35">
      <c r="B5" s="2"/>
      <c r="C5" s="45" t="s">
        <v>27</v>
      </c>
      <c r="D5" s="47">
        <v>2</v>
      </c>
      <c r="E5" s="63"/>
    </row>
    <row r="6" spans="2:5" ht="30" customHeight="1" thickTop="1" thickBot="1" x14ac:dyDescent="0.35">
      <c r="B6" s="2">
        <v>1</v>
      </c>
      <c r="C6" s="45" t="s">
        <v>24</v>
      </c>
      <c r="D6" s="48">
        <v>1</v>
      </c>
      <c r="E6" s="63">
        <f>D6/B6</f>
        <v>1</v>
      </c>
    </row>
    <row r="7" spans="2:5" ht="30" customHeight="1" thickTop="1" thickBot="1" x14ac:dyDescent="0.35">
      <c r="B7" s="2"/>
      <c r="C7" s="45" t="s">
        <v>25</v>
      </c>
      <c r="D7" s="47">
        <v>1</v>
      </c>
      <c r="E7" s="63"/>
    </row>
    <row r="8" spans="2:5" ht="30" customHeight="1" thickTop="1" thickBot="1" x14ac:dyDescent="0.35">
      <c r="B8" s="2"/>
      <c r="C8" s="45" t="s">
        <v>26</v>
      </c>
      <c r="D8" s="47">
        <v>1</v>
      </c>
      <c r="E8" s="63"/>
    </row>
    <row r="9" spans="2:5" ht="30" customHeight="1" thickTop="1" thickBot="1" x14ac:dyDescent="0.35">
      <c r="B9" s="2"/>
      <c r="C9" s="3"/>
      <c r="D9" s="2"/>
      <c r="E9" s="63"/>
    </row>
    <row r="10" spans="2:5" ht="30" customHeight="1" thickTop="1" x14ac:dyDescent="0.3"/>
  </sheetData>
  <sortState ref="B1:E10">
    <sortCondition descending="1" ref="D1:D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2025-05-09T16:17:27Z</dcterms:modified>
</cp:coreProperties>
</file>