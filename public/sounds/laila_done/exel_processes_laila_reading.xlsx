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laila_done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Sheet1!$E$167</definedName>
    <definedName name="__DdeLink__363_4195966084" localSheetId="0">Sheet1!#REF!</definedName>
    <definedName name="__DdeLink__366_1609274354" localSheetId="0">Sheet1!$E$281</definedName>
    <definedName name="__DdeLink__374_2158327081" localSheetId="0">Sheet1!#REF!</definedName>
    <definedName name="__DdeLink__429_690101127" localSheetId="0">Sheet1!$E$291</definedName>
    <definedName name="__DdeLink__450_690101127" localSheetId="0">Sheet1!$E$207</definedName>
    <definedName name="__DdeLink__454_4201205227" localSheetId="0">Sheet1!$E$225</definedName>
    <definedName name="__DdeLink__461_690101127" localSheetId="0">Sheet1!$E$222</definedName>
    <definedName name="__DdeLink__481_750636418" localSheetId="0">Sheet1!$E$349</definedName>
    <definedName name="__DdeLink__502_3099655138" localSheetId="0">Sheet1!$E$166</definedName>
    <definedName name="__DdeLink__525_3099655138" localSheetId="0">Sheet1!$E$177</definedName>
    <definedName name="__DdeLink__533_4201205227" localSheetId="0">Sheet1!$E$165</definedName>
    <definedName name="__DdeLink__573_3099655138" localSheetId="0">Sheet1!$E$169</definedName>
    <definedName name="__DdeLink__588_3099655138" localSheetId="0">Sheet1!#REF!</definedName>
    <definedName name="__DdeLink__741_3099655138" localSheetId="0">Sheet1!#REF!</definedName>
    <definedName name="_xlnm._FilterDatabase" localSheetId="0" hidden="1">Sheet1!$B$1:$B$695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" i="1" l="1"/>
  <c r="H112" i="1"/>
  <c r="G8" i="1" l="1"/>
  <c r="H115" i="1" l="1"/>
  <c r="G112" i="1"/>
  <c r="G105" i="1"/>
  <c r="H105" i="1" s="1"/>
  <c r="H100" i="1"/>
  <c r="G100" i="1"/>
  <c r="G95" i="1"/>
  <c r="H95" i="1" s="1"/>
  <c r="G92" i="1"/>
  <c r="H92" i="1" s="1"/>
  <c r="H87" i="1"/>
  <c r="H85" i="1"/>
  <c r="H83" i="1"/>
  <c r="G81" i="1"/>
  <c r="H81" i="1" s="1"/>
  <c r="G78" i="1"/>
  <c r="H78" i="1" s="1"/>
  <c r="G75" i="1"/>
  <c r="H75" i="1" s="1"/>
  <c r="G70" i="1"/>
  <c r="G66" i="1"/>
  <c r="H66" i="1" s="1"/>
  <c r="G60" i="1"/>
  <c r="H60" i="1" s="1"/>
  <c r="G55" i="1"/>
  <c r="H55" i="1" s="1"/>
  <c r="G52" i="1"/>
  <c r="H52" i="1" s="1"/>
  <c r="G48" i="1"/>
  <c r="H48" i="1" s="1"/>
  <c r="H38" i="1"/>
  <c r="G36" i="1"/>
  <c r="H36" i="1" s="1"/>
  <c r="G33" i="1"/>
  <c r="H33" i="1" s="1"/>
  <c r="G26" i="1"/>
  <c r="H26" i="1" s="1"/>
  <c r="H17" i="1"/>
  <c r="G22" i="1"/>
  <c r="H22" i="1" s="1"/>
  <c r="G15" i="1"/>
  <c r="H15" i="1" s="1"/>
  <c r="H8" i="1"/>
  <c r="E4" i="3" l="1"/>
  <c r="E6" i="3"/>
  <c r="E2" i="2"/>
  <c r="E5" i="2"/>
  <c r="E8" i="2"/>
  <c r="E19" i="2"/>
  <c r="H2" i="1"/>
  <c r="H9" i="1"/>
  <c r="H10" i="1"/>
  <c r="H16" i="1"/>
  <c r="H86" i="1"/>
  <c r="H18" i="1"/>
  <c r="H23" i="1"/>
  <c r="H28" i="1"/>
  <c r="H34" i="1"/>
  <c r="H37" i="1"/>
  <c r="H39" i="1"/>
  <c r="H49" i="1"/>
  <c r="H53" i="1"/>
  <c r="H56" i="1"/>
  <c r="H61" i="1"/>
  <c r="H67" i="1"/>
  <c r="H71" i="1"/>
  <c r="H73" i="1"/>
  <c r="H76" i="1"/>
  <c r="H80" i="1"/>
  <c r="H82" i="1"/>
  <c r="H84" i="1"/>
  <c r="H89" i="1"/>
  <c r="H93" i="1"/>
  <c r="H99" i="1"/>
  <c r="H108" i="1"/>
  <c r="H111" i="1"/>
  <c r="H114" i="1"/>
  <c r="H106" i="1"/>
  <c r="H101" i="1"/>
  <c r="H94" i="1"/>
  <c r="H50" i="1"/>
  <c r="H43" i="1"/>
  <c r="H35" i="1"/>
  <c r="H30" i="1"/>
  <c r="H25" i="1"/>
  <c r="H24" i="1"/>
  <c r="H20" i="1"/>
  <c r="H11" i="1"/>
  <c r="H12" i="1"/>
  <c r="H4" i="1"/>
  <c r="H5" i="1"/>
  <c r="H6" i="1"/>
  <c r="H7" i="1"/>
  <c r="H3" i="1"/>
  <c r="E4" i="2" l="1"/>
  <c r="E6" i="2"/>
  <c r="E7" i="2"/>
  <c r="E3" i="2"/>
  <c r="D28" i="2" l="1"/>
  <c r="H113" i="1"/>
  <c r="H109" i="1"/>
  <c r="H107" i="1"/>
  <c r="H110" i="1"/>
  <c r="H102" i="1"/>
  <c r="H103" i="1"/>
  <c r="H104" i="1"/>
  <c r="H96" i="1"/>
  <c r="H98" i="1"/>
  <c r="H97" i="1"/>
  <c r="H88" i="1"/>
  <c r="H90" i="1"/>
  <c r="H91" i="1"/>
  <c r="H79" i="1"/>
  <c r="H77" i="1"/>
  <c r="H72" i="1"/>
  <c r="H74" i="1"/>
  <c r="H69" i="1"/>
  <c r="H68" i="1"/>
  <c r="H62" i="1"/>
  <c r="H64" i="1"/>
  <c r="H65" i="1"/>
  <c r="H63" i="1"/>
  <c r="H57" i="1"/>
  <c r="H58" i="1"/>
  <c r="H59" i="1"/>
  <c r="H54" i="1"/>
  <c r="H51" i="1"/>
  <c r="H44" i="1"/>
  <c r="H45" i="1"/>
  <c r="H46" i="1"/>
  <c r="H40" i="1"/>
  <c r="H42" i="1"/>
  <c r="H47" i="1"/>
  <c r="H41" i="1"/>
  <c r="H29" i="1"/>
  <c r="H31" i="1"/>
  <c r="H32" i="1"/>
  <c r="H27" i="1"/>
  <c r="H19" i="1"/>
  <c r="H21" i="1"/>
  <c r="H13" i="1"/>
  <c r="H14" i="1"/>
  <c r="G116" i="1" l="1"/>
</calcChain>
</file>

<file path=xl/sharedStrings.xml><?xml version="1.0" encoding="utf-8"?>
<sst xmlns="http://schemas.openxmlformats.org/spreadsheetml/2006/main" count="313" uniqueCount="266">
  <si>
    <t>Reduplication</t>
  </si>
  <si>
    <t>Metathesis</t>
  </si>
  <si>
    <t>Vowelization</t>
  </si>
  <si>
    <t>Vowel  nasalization</t>
  </si>
  <si>
    <t>Diphthongization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</si>
  <si>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</si>
  <si>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</si>
  <si>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</si>
  <si>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</si>
  <si>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[ħ] with [ʔ]),</t>
  </si>
  <si>
    <t>Glottalization(insertion of  [ʔ] phone)</t>
  </si>
  <si>
    <t>substitution of [r] with [ɻ]</t>
  </si>
  <si>
    <t>substitution of [l] with [ɻ]</t>
  </si>
  <si>
    <t>substitution of [l] with [r]</t>
  </si>
  <si>
    <t>substitution of [f] with [m]</t>
  </si>
  <si>
    <t>substitution of [r] with [d]</t>
  </si>
  <si>
    <t>substitution of [g] with [q]</t>
  </si>
  <si>
    <t>substitution of [q] with [k]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</si>
  <si>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</si>
  <si>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</si>
  <si>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</si>
  <si>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</si>
  <si>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</si>
  <si>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</si>
  <si>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</si>
  <si>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</si>
  <si>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</si>
  <si>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>substitution of [χ] with [d͡ʒ]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</si>
  <si>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</si>
  <si>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</si>
  <si>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</si>
  <si>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substitution of [ʃ] with [s]</t>
  </si>
  <si>
    <t xml:space="preserve">pharyngealization(substitution of [d] with [dˤ]), </t>
  </si>
  <si>
    <t>pharyngealization(substitution of [t] with [tˤ]),</t>
  </si>
  <si>
    <t>depharyngealization(substitution of [dˤ] with [d]),</t>
  </si>
  <si>
    <t>Devoicing(substitution of [d͡ʒ] with [t͡ʃ])</t>
  </si>
  <si>
    <t xml:space="preserve">depharyngealization and devoicing(substitution of [dˤ] with [t]) </t>
  </si>
  <si>
    <t xml:space="preserve">substitution of [dˤ] with [sˤ], 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</si>
  <si>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</si>
  <si>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</si>
  <si>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</si>
  <si>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degemination(reduce consonant cluster to one single consonant)</t>
  </si>
  <si>
    <t>germination</t>
  </si>
  <si>
    <t>deaffrication(substitution of [d͡ʒ]with [ʒ])</t>
  </si>
  <si>
    <t>substitution of [ħ]with [χ]</t>
  </si>
  <si>
    <t>substitution of [h]with [χ]</t>
  </si>
  <si>
    <t>substitution of [ħ]with [h]</t>
  </si>
  <si>
    <t>substitution of [h]with [ħ]</t>
  </si>
  <si>
    <t>Epenthesis(insert vowel [ʊ] between  consnant cluster)</t>
  </si>
  <si>
    <t>Epenthesis(insert diphthong [i:] between  consnant cluster)</t>
  </si>
  <si>
    <t>deaffrication and devoicing(substitution of [d͡ʒ]with [ʃ])</t>
  </si>
  <si>
    <t>devoicing(substitution of [d]with [t])</t>
  </si>
  <si>
    <t>devoicing(substitution of [ɣ]with [χ])</t>
  </si>
  <si>
    <t>devoicing(substitution of [ðˤ]with [θˤ])</t>
  </si>
  <si>
    <t>substitution of [ʕ]with [ɣ]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</si>
  <si>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</si>
  <si>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</si>
  <si>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</si>
  <si>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</si>
  <si>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</si>
  <si>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insertion of  [l] phone)</t>
  </si>
  <si>
    <t>syllable structure process (consonant deletion of  [b] phone)</t>
  </si>
  <si>
    <t>syllable structure process (consonant insertion of  [n] phone)</t>
  </si>
  <si>
    <t>syllable structure process (consonant insertion of  [t] phone)</t>
  </si>
  <si>
    <t>syllable structure process (consonant deletion of  [n] phone)</t>
  </si>
  <si>
    <t>syllable structure process (weak syllable deletion)</t>
  </si>
  <si>
    <t>syllable structure process (final syllable deletion)</t>
  </si>
  <si>
    <t>substitution of [d͡ʒ] with [l]</t>
  </si>
  <si>
    <t>final consonant deletion</t>
  </si>
  <si>
    <t>interdentalization(substitution of [z] with [ð])</t>
  </si>
  <si>
    <t>interdentalization(substitution of [s] with [θ])</t>
  </si>
  <si>
    <t>assimilation (the  [r] phone changes to  [m] to become  similar to the nearby  phone[ n])</t>
  </si>
  <si>
    <t>assimilation (the  [sˤ] phone changes to  [dˤ] to become  similar to the nearby  phone[ d])</t>
  </si>
  <si>
    <t>Definite Article deletion</t>
  </si>
  <si>
    <t>replace the Modern Standard Arabic diphthong [æj]with the colloquial arabic vowel[e:]</t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</si>
  <si>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</si>
  <si>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</si>
  <si>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</si>
  <si>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</si>
  <si>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</si>
  <si>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</si>
  <si>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</si>
  <si>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 [j]with  [i:] affected by colloquial Arabic</t>
  </si>
  <si>
    <t>replace  [i:]with  [jj] affected by colloquial arabic</t>
  </si>
  <si>
    <t>consonant deletion  of [ʔ] phone affected by colloquial Arabic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</si>
  <si>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</si>
  <si>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</si>
  <si>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</si>
  <si>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</si>
  <si>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</si>
  <si>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</si>
  <si>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</si>
  <si>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</si>
  <si>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</si>
  <si>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</si>
  <si>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</si>
  <si>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</si>
  <si>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</si>
  <si>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</si>
  <si>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</si>
  <si>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</si>
  <si>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</si>
  <si>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</si>
  <si>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</si>
  <si>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</si>
  <si>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</si>
  <si>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</si>
  <si>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</si>
  <si>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</si>
  <si>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</si>
  <si>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</si>
  <si>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</si>
  <si>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</si>
  <si>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</si>
  <si>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</si>
  <si>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</si>
  <si>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</si>
  <si>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</si>
  <si>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</si>
  <si>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</si>
  <si>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</si>
  <si>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</si>
  <si>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</si>
  <si>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</si>
  <si>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</si>
  <si>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</si>
  <si>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</si>
  <si>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</si>
  <si>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</si>
  <si>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</si>
  <si>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</si>
  <si>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</si>
  <si>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</si>
  <si>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</si>
  <si>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</si>
  <si>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</si>
  <si>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</si>
  <si>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</si>
  <si>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</si>
  <si>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</si>
  <si>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</si>
  <si>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</si>
  <si>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</si>
  <si>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</si>
  <si>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</si>
  <si>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</si>
  <si>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arabic letter</t>
  </si>
  <si>
    <t>phonological_processes</t>
  </si>
  <si>
    <t xml:space="preserve">depharyngealization  (substitution of [tˤ] with [t]) </t>
  </si>
  <si>
    <t>substitution of [χ] with [h]</t>
  </si>
  <si>
    <t xml:space="preserve">substitution of [dˤ] with [z], </t>
  </si>
  <si>
    <t xml:space="preserve">devoicing(substitution of [d]with [d̥])  </t>
  </si>
  <si>
    <t>devoicing(substitution of [z]with [s]),</t>
  </si>
  <si>
    <t>devoicing(substitution of [dˤ]with [tˤ])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</si>
  <si>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</si>
  <si>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</si>
  <si>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</si>
  <si>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</si>
  <si>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</si>
  <si>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</si>
  <si>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syllable structure process (consonant insertion of  [ɻ] phone)</t>
  </si>
  <si>
    <t>Epenthesis(insert diphthong [æj] between  consnant cluster)</t>
  </si>
  <si>
    <t>syllable structure process (consonant insertion of  [j] phone)</t>
  </si>
  <si>
    <t>substitution of [t]with [f]</t>
  </si>
  <si>
    <t>substitution of [χ] with [ʒ]</t>
  </si>
  <si>
    <t>syllable structure process (consonant insertion of  [m] phone)</t>
  </si>
  <si>
    <t>assimilation (the  [q] phone changes to  [f]  phone to become  similar to the nearby  phone[f])</t>
  </si>
  <si>
    <t xml:space="preserve">depharyngealization(substitution of [sˤ] with [θ]), </t>
  </si>
  <si>
    <t>substitution of [dˤ] with [l],</t>
  </si>
  <si>
    <t>substitution of [d͡ʒ]with [ħ]</t>
  </si>
  <si>
    <t>substitution of [l] with [t]</t>
  </si>
  <si>
    <t>assimilation (the  [ɣ] phone changes to  [d]  phone to become  similar to the nearby  phone[t])</t>
  </si>
  <si>
    <t>substitution of [m]with [b]</t>
  </si>
  <si>
    <t>syllable structure process (consonant insertion of  [h] phone)</t>
  </si>
  <si>
    <t>misreading</t>
  </si>
  <si>
    <t>assimilation ( [t] changes to emphatic voiced stop [tˤ]  to become more similar to the nearby  phone[sˤ])</t>
  </si>
  <si>
    <t>assimilation (the  voicleed stop [b] changes to  voicless stop [t]  to become more similar to the nearby emphatic phone[tˤ])</t>
  </si>
  <si>
    <t>gliding(substitution of [ʕ]with [j])</t>
  </si>
  <si>
    <t>gliding(substitution of [ʔ]with [w])</t>
  </si>
  <si>
    <t>gliding(substitution of [l] with [j])</t>
  </si>
  <si>
    <t>stopping(substitution of[ðˤ] with [tˤ]),</t>
  </si>
  <si>
    <t>stopping(substitution of[ħ] with [k]),</t>
  </si>
  <si>
    <t>stopping(substitution of[j] with [b]),</t>
  </si>
  <si>
    <t>syllable structure process (consonant deletion of  [r] phone)</t>
  </si>
  <si>
    <t>interdentalization(substitution of [ʃ] with [θ])</t>
  </si>
  <si>
    <t>transcription</t>
  </si>
  <si>
    <t xml:space="preserve">total </t>
  </si>
  <si>
    <t xml:space="preserve">nubmer of occurance in the corpus </t>
  </si>
  <si>
    <t>deaffrication and devoicing(substitution of [d͡ʒ]with [k])</t>
  </si>
  <si>
    <t>[l]</t>
  </si>
  <si>
    <t>[ɺ]</t>
  </si>
  <si>
    <t>[ɻ]</t>
  </si>
  <si>
    <t>[d]</t>
  </si>
  <si>
    <t>allophones</t>
  </si>
  <si>
    <t>percetage of phonological_processes</t>
  </si>
  <si>
    <t>Aspiration ( substitution of [t]with [tʰ]) ,</t>
  </si>
  <si>
    <t>total</t>
  </si>
  <si>
    <t xml:space="preserve">Monophthongization </t>
  </si>
  <si>
    <t>notes</t>
  </si>
  <si>
    <t>nubmer of occurance in the corpus</t>
  </si>
  <si>
    <t>[ʔ]</t>
  </si>
  <si>
    <t>[r]</t>
  </si>
  <si>
    <t>[t]</t>
  </si>
  <si>
    <t>[j]</t>
  </si>
  <si>
    <t>[θ]</t>
  </si>
  <si>
    <t>[s]</t>
  </si>
  <si>
    <t>[ð]</t>
  </si>
  <si>
    <t>[dˤ]</t>
  </si>
  <si>
    <t>[tˤ]</t>
  </si>
  <si>
    <t>[z]</t>
  </si>
  <si>
    <t>[q]</t>
  </si>
  <si>
    <t>[ħ]</t>
  </si>
  <si>
    <t>[kʰ]</t>
  </si>
  <si>
    <t>[k]</t>
  </si>
  <si>
    <t>[ʒ]</t>
  </si>
  <si>
    <t>[t͡ʃ]</t>
  </si>
  <si>
    <t>[f]</t>
  </si>
  <si>
    <t>[h]</t>
  </si>
  <si>
    <t>[d͡ʒ]</t>
  </si>
  <si>
    <t>[χ]</t>
  </si>
  <si>
    <t>[ʕ]</t>
  </si>
  <si>
    <t>[ɣ]</t>
  </si>
  <si>
    <t>[m]</t>
  </si>
  <si>
    <t>[t͡s]</t>
  </si>
  <si>
    <t>[z̥]</t>
  </si>
  <si>
    <t>[sˤ]</t>
  </si>
  <si>
    <t>[θˤ]</t>
  </si>
  <si>
    <t>[ʃ]</t>
  </si>
  <si>
    <t>[d͡ʒ̥]</t>
  </si>
  <si>
    <t>[w]</t>
  </si>
  <si>
    <t>[b]</t>
  </si>
  <si>
    <t>[p]</t>
  </si>
  <si>
    <t>[pʰ]</t>
  </si>
  <si>
    <t>[zˤ]</t>
  </si>
  <si>
    <t>[tʰ]</t>
  </si>
  <si>
    <t>[d̥]</t>
  </si>
  <si>
    <t>substitution of [l] with [d], assimilation (the  [l] phone changes to  [d] to become  similar to the nearby  phone[ d])</t>
  </si>
  <si>
    <t>[-]</t>
  </si>
  <si>
    <t>percentage of error</t>
  </si>
  <si>
    <t>percentage</t>
  </si>
  <si>
    <t>r TOTAL</t>
  </si>
  <si>
    <t>l TOTAL</t>
  </si>
  <si>
    <t>s TOTAL</t>
  </si>
  <si>
    <t>z TOTAL</t>
  </si>
  <si>
    <t>sˤ TOTAL</t>
  </si>
  <si>
    <t>ðˤ TOTAL</t>
  </si>
  <si>
    <t>ð total</t>
  </si>
  <si>
    <t>k TOTAL</t>
  </si>
  <si>
    <t>d͡ʒTOTAL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</si>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</sst>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C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 tint="0.79998168889431442"/>
        <bgColor indexed="6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5" fillId="0" borderId="3" xfId="0" applyFont="1" applyBorder="1"/>
    <xf numFmtId="0" fontId="15" fillId="0" borderId="4" xfId="0" applyFont="1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15" fillId="0" borderId="0" xfId="0" applyFont="1" applyBorder="1"/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vertical="center" wrapText="1"/>
    </xf>
    <xf numFmtId="0" fontId="0" fillId="0" borderId="1" xfId="0" applyBorder="1"/>
    <xf numFmtId="0" fontId="14" fillId="0" borderId="1" xfId="0" applyFont="1" applyBorder="1" applyAlignment="1">
      <alignment horizontal="center" vertical="center" wrapText="1"/>
    </xf>
    <xf numFmtId="10" fontId="0" fillId="0" borderId="8" xfId="11" applyNumberFormat="1" applyFont="1" applyBorder="1" applyAlignment="1">
      <alignment wrapText="1"/>
    </xf>
    <xf numFmtId="10" fontId="0" fillId="0" borderId="9" xfId="11" applyNumberFormat="1" applyFont="1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wrapText="1"/>
    </xf>
    <xf numFmtId="10" fontId="0" fillId="0" borderId="12" xfId="11" applyNumberFormat="1" applyFont="1" applyBorder="1" applyAlignment="1">
      <alignment wrapText="1"/>
    </xf>
    <xf numFmtId="0" fontId="1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vertical="center" wrapText="1"/>
    </xf>
    <xf numFmtId="10" fontId="17" fillId="0" borderId="12" xfId="11" applyNumberFormat="1" applyFont="1" applyBorder="1" applyAlignment="1">
      <alignment vertical="center" wrapText="1"/>
    </xf>
    <xf numFmtId="0" fontId="4" fillId="4" borderId="12" xfId="3" applyBorder="1" applyAlignment="1">
      <alignment vertical="center" wrapText="1"/>
    </xf>
    <xf numFmtId="10" fontId="4" fillId="4" borderId="12" xfId="11" applyNumberFormat="1" applyFont="1" applyFill="1" applyBorder="1" applyAlignment="1">
      <alignment wrapText="1"/>
    </xf>
    <xf numFmtId="0" fontId="16" fillId="4" borderId="12" xfId="3" applyFont="1" applyBorder="1" applyAlignment="1">
      <alignment vertical="center" wrapText="1"/>
    </xf>
    <xf numFmtId="0" fontId="4" fillId="4" borderId="12" xfId="3" applyBorder="1" applyAlignment="1">
      <alignment wrapText="1"/>
    </xf>
    <xf numFmtId="0" fontId="3" fillId="3" borderId="12" xfId="2" applyBorder="1" applyAlignment="1">
      <alignment vertical="center" wrapText="1"/>
    </xf>
    <xf numFmtId="10" fontId="3" fillId="3" borderId="12" xfId="11" applyNumberFormat="1" applyFont="1" applyFill="1" applyBorder="1" applyAlignment="1">
      <alignment wrapText="1"/>
    </xf>
    <xf numFmtId="0" fontId="3" fillId="3" borderId="12" xfId="2" applyBorder="1" applyAlignment="1">
      <alignment wrapText="1"/>
    </xf>
    <xf numFmtId="0" fontId="2" fillId="2" borderId="12" xfId="1" applyBorder="1" applyAlignment="1">
      <alignment horizontal="center" vertical="center" wrapText="1"/>
    </xf>
    <xf numFmtId="0" fontId="2" fillId="2" borderId="12" xfId="1" applyBorder="1" applyAlignment="1">
      <alignment horizontal="center" vertical="center" wrapText="1" readingOrder="2"/>
    </xf>
    <xf numFmtId="0" fontId="2" fillId="2" borderId="12" xfId="1" applyBorder="1" applyAlignment="1">
      <alignment wrapText="1"/>
    </xf>
    <xf numFmtId="0" fontId="2" fillId="2" borderId="12" xfId="1" applyBorder="1" applyAlignment="1">
      <alignment vertical="center" wrapText="1"/>
    </xf>
    <xf numFmtId="10" fontId="2" fillId="2" borderId="12" xfId="11" applyNumberFormat="1" applyFont="1" applyFill="1" applyBorder="1" applyAlignment="1">
      <alignment wrapText="1"/>
    </xf>
    <xf numFmtId="0" fontId="0" fillId="9" borderId="12" xfId="8" applyFont="1" applyBorder="1" applyAlignment="1">
      <alignment wrapText="1"/>
    </xf>
    <xf numFmtId="0" fontId="1" fillId="9" borderId="12" xfId="8" applyBorder="1" applyAlignment="1">
      <alignment vertical="center" wrapText="1"/>
    </xf>
    <xf numFmtId="0" fontId="1" fillId="9" borderId="12" xfId="8" applyBorder="1" applyAlignment="1">
      <alignment wrapText="1"/>
    </xf>
    <xf numFmtId="10" fontId="1" fillId="9" borderId="12" xfId="8" applyNumberFormat="1" applyBorder="1" applyAlignment="1">
      <alignment wrapText="1"/>
    </xf>
    <xf numFmtId="0" fontId="0" fillId="9" borderId="12" xfId="8" applyFont="1" applyBorder="1" applyAlignment="1">
      <alignment vertical="center" wrapText="1"/>
    </xf>
    <xf numFmtId="0" fontId="16" fillId="3" borderId="12" xfId="2" applyFont="1" applyBorder="1" applyAlignment="1">
      <alignment wrapText="1"/>
    </xf>
    <xf numFmtId="0" fontId="4" fillId="4" borderId="12" xfId="3" applyBorder="1" applyAlignment="1">
      <alignment horizontal="center" vertical="center" wrapText="1"/>
    </xf>
    <xf numFmtId="0" fontId="5" fillId="9" borderId="12" xfId="8" applyFont="1" applyBorder="1" applyAlignment="1">
      <alignment vertical="center" wrapText="1"/>
    </xf>
    <xf numFmtId="0" fontId="1" fillId="11" borderId="12" xfId="10" applyBorder="1" applyAlignment="1">
      <alignment vertical="center" wrapText="1"/>
    </xf>
    <xf numFmtId="10" fontId="1" fillId="11" borderId="12" xfId="11" applyNumberFormat="1" applyFill="1" applyBorder="1" applyAlignment="1">
      <alignment wrapText="1"/>
    </xf>
    <xf numFmtId="0" fontId="3" fillId="3" borderId="12" xfId="2" applyBorder="1" applyAlignment="1">
      <alignment horizontal="center" vertical="center" wrapText="1"/>
    </xf>
    <xf numFmtId="0" fontId="3" fillId="3" borderId="12" xfId="2" applyBorder="1" applyAlignment="1">
      <alignment horizontal="center" vertical="center" wrapText="1" readingOrder="2"/>
    </xf>
    <xf numFmtId="0" fontId="16" fillId="3" borderId="12" xfId="2" applyFont="1" applyBorder="1" applyAlignment="1">
      <alignment vertical="center" wrapText="1"/>
    </xf>
    <xf numFmtId="0" fontId="1" fillId="7" borderId="12" xfId="6" applyBorder="1" applyAlignment="1">
      <alignment vertical="center" wrapText="1"/>
    </xf>
    <xf numFmtId="0" fontId="1" fillId="7" borderId="12" xfId="6" applyBorder="1" applyAlignment="1">
      <alignment horizontal="center" vertical="center" wrapText="1"/>
    </xf>
    <xf numFmtId="0" fontId="1" fillId="7" borderId="12" xfId="6" applyBorder="1" applyAlignment="1">
      <alignment horizontal="center" vertical="center" wrapText="1" readingOrder="2"/>
    </xf>
    <xf numFmtId="0" fontId="0" fillId="7" borderId="12" xfId="6" applyFont="1" applyBorder="1" applyAlignment="1">
      <alignment vertical="center" wrapText="1"/>
    </xf>
    <xf numFmtId="10" fontId="1" fillId="7" borderId="12" xfId="6" applyNumberFormat="1" applyBorder="1" applyAlignment="1">
      <alignment wrapText="1"/>
    </xf>
    <xf numFmtId="0" fontId="0" fillId="5" borderId="12" xfId="4" applyFont="1" applyBorder="1" applyAlignment="1">
      <alignment vertical="center" wrapText="1"/>
    </xf>
    <xf numFmtId="0" fontId="1" fillId="5" borderId="12" xfId="4" applyBorder="1" applyAlignment="1">
      <alignment vertical="center" wrapText="1"/>
    </xf>
    <xf numFmtId="10" fontId="1" fillId="5" borderId="12" xfId="11" applyNumberFormat="1" applyFill="1" applyBorder="1" applyAlignment="1">
      <alignment wrapText="1"/>
    </xf>
    <xf numFmtId="0" fontId="1" fillId="5" borderId="12" xfId="4" applyBorder="1" applyAlignment="1">
      <alignment wrapText="1"/>
    </xf>
    <xf numFmtId="0" fontId="16" fillId="6" borderId="12" xfId="5" applyFont="1" applyBorder="1" applyAlignment="1">
      <alignment vertical="center" wrapText="1"/>
    </xf>
    <xf numFmtId="0" fontId="1" fillId="6" borderId="12" xfId="5" applyBorder="1" applyAlignment="1">
      <alignment vertical="center" wrapText="1"/>
    </xf>
    <xf numFmtId="10" fontId="1" fillId="6" borderId="12" xfId="11" applyNumberFormat="1" applyFill="1" applyBorder="1" applyAlignment="1">
      <alignment wrapText="1"/>
    </xf>
    <xf numFmtId="0" fontId="0" fillId="6" borderId="12" xfId="5" applyFont="1" applyBorder="1" applyAlignment="1">
      <alignment vertical="center" wrapText="1"/>
    </xf>
    <xf numFmtId="0" fontId="16" fillId="2" borderId="12" xfId="1" applyFont="1" applyBorder="1" applyAlignment="1">
      <alignment vertical="center" wrapText="1"/>
    </xf>
    <xf numFmtId="0" fontId="16" fillId="8" borderId="12" xfId="7" applyFont="1" applyBorder="1" applyAlignment="1">
      <alignment vertical="center" wrapText="1"/>
    </xf>
    <xf numFmtId="0" fontId="1" fillId="8" borderId="12" xfId="7" applyBorder="1" applyAlignment="1">
      <alignment vertical="center" wrapText="1"/>
    </xf>
    <xf numFmtId="10" fontId="1" fillId="8" borderId="12" xfId="11" applyNumberFormat="1" applyFill="1" applyBorder="1" applyAlignment="1">
      <alignment wrapText="1"/>
    </xf>
    <xf numFmtId="0" fontId="4" fillId="4" borderId="12" xfId="3" applyBorder="1" applyAlignment="1">
      <alignment vertical="center" wrapText="1" readingOrder="2"/>
    </xf>
    <xf numFmtId="0" fontId="5" fillId="4" borderId="12" xfId="3" applyFont="1" applyBorder="1" applyAlignment="1">
      <alignment vertical="center" wrapText="1"/>
    </xf>
    <xf numFmtId="10" fontId="1" fillId="7" borderId="12" xfId="11" applyNumberFormat="1" applyFill="1" applyBorder="1" applyAlignment="1">
      <alignment wrapText="1"/>
    </xf>
    <xf numFmtId="0" fontId="4" fillId="4" borderId="12" xfId="3" applyBorder="1" applyAlignment="1">
      <alignment horizontal="center" vertical="center" wrapText="1" readingOrder="2"/>
    </xf>
    <xf numFmtId="10" fontId="4" fillId="4" borderId="12" xfId="3" applyNumberFormat="1" applyBorder="1" applyAlignment="1">
      <alignment wrapText="1"/>
    </xf>
    <xf numFmtId="0" fontId="9" fillId="0" borderId="7" xfId="0" applyFont="1" applyBorder="1" applyAlignment="1">
      <alignment vertical="center" wrapText="1"/>
    </xf>
    <xf numFmtId="0" fontId="0" fillId="10" borderId="12" xfId="9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0" fontId="0" fillId="0" borderId="0" xfId="11" applyNumberFormat="1" applyFont="1"/>
    <xf numFmtId="0" fontId="19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0" fontId="0" fillId="0" borderId="12" xfId="11" applyNumberFormat="1" applyFont="1" applyBorder="1"/>
    <xf numFmtId="10" fontId="18" fillId="0" borderId="12" xfId="11" applyNumberFormat="1" applyFont="1" applyBorder="1" applyAlignment="1">
      <alignment wrapText="1"/>
    </xf>
    <xf numFmtId="0" fontId="3" fillId="3" borderId="12" xfId="2" applyBorder="1" applyAlignment="1">
      <alignment horizontal="center" vertical="center" wrapText="1"/>
    </xf>
    <xf numFmtId="0" fontId="0" fillId="9" borderId="12" xfId="8" applyFont="1" applyBorder="1" applyAlignment="1">
      <alignment horizontal="center" vertical="center" wrapText="1"/>
    </xf>
    <xf numFmtId="0" fontId="1" fillId="9" borderId="12" xfId="8" applyBorder="1" applyAlignment="1">
      <alignment horizontal="center" vertical="center" wrapText="1"/>
    </xf>
    <xf numFmtId="0" fontId="0" fillId="9" borderId="12" xfId="8" applyFont="1" applyBorder="1" applyAlignment="1">
      <alignment horizontal="center" vertical="center" wrapText="1" readingOrder="2"/>
    </xf>
    <xf numFmtId="0" fontId="4" fillId="4" borderId="12" xfId="3" applyBorder="1" applyAlignment="1">
      <alignment horizontal="center" vertical="center" wrapText="1" readingOrder="2"/>
    </xf>
    <xf numFmtId="0" fontId="4" fillId="4" borderId="12" xfId="3" applyBorder="1" applyAlignment="1">
      <alignment horizontal="center" vertical="center" wrapText="1"/>
    </xf>
    <xf numFmtId="0" fontId="2" fillId="2" borderId="12" xfId="1" applyBorder="1" applyAlignment="1">
      <alignment horizontal="center" vertical="center" wrapText="1" readingOrder="2"/>
    </xf>
    <xf numFmtId="0" fontId="2" fillId="2" borderId="12" xfId="1" applyBorder="1" applyAlignment="1">
      <alignment horizontal="center" vertical="center" wrapText="1"/>
    </xf>
    <xf numFmtId="0" fontId="3" fillId="3" borderId="12" xfId="2" applyBorder="1" applyAlignment="1">
      <alignment horizontal="center" vertical="center" wrapText="1" readingOrder="2"/>
    </xf>
    <xf numFmtId="0" fontId="0" fillId="7" borderId="12" xfId="6" applyFont="1" applyBorder="1" applyAlignment="1">
      <alignment horizontal="center" vertical="center" wrapText="1"/>
    </xf>
    <xf numFmtId="0" fontId="1" fillId="7" borderId="12" xfId="6" applyBorder="1" applyAlignment="1">
      <alignment horizontal="center" vertical="center" wrapText="1"/>
    </xf>
    <xf numFmtId="0" fontId="1" fillId="7" borderId="12" xfId="6" applyBorder="1" applyAlignment="1">
      <alignment horizontal="center" vertical="center" wrapText="1" readingOrder="2"/>
    </xf>
    <xf numFmtId="0" fontId="1" fillId="8" borderId="12" xfId="7" applyBorder="1" applyAlignment="1">
      <alignment horizontal="center" vertical="center" wrapText="1"/>
    </xf>
    <xf numFmtId="0" fontId="1" fillId="8" borderId="12" xfId="7" applyBorder="1" applyAlignment="1">
      <alignment horizontal="center" vertical="center" wrapText="1" readingOrder="2"/>
    </xf>
    <xf numFmtId="0" fontId="4" fillId="4" borderId="13" xfId="3" applyBorder="1" applyAlignment="1">
      <alignment horizontal="center" vertical="center" wrapText="1"/>
    </xf>
    <xf numFmtId="0" fontId="4" fillId="4" borderId="15" xfId="3" applyBorder="1" applyAlignment="1">
      <alignment horizontal="center" vertical="center" wrapText="1"/>
    </xf>
    <xf numFmtId="0" fontId="4" fillId="4" borderId="14" xfId="3" applyBorder="1" applyAlignment="1">
      <alignment horizontal="center" vertical="center" wrapText="1"/>
    </xf>
    <xf numFmtId="0" fontId="4" fillId="4" borderId="13" xfId="3" applyBorder="1" applyAlignment="1">
      <alignment horizontal="center" vertical="center" wrapText="1" readingOrder="2"/>
    </xf>
    <xf numFmtId="0" fontId="4" fillId="4" borderId="15" xfId="3" applyBorder="1" applyAlignment="1">
      <alignment horizontal="center" vertical="center" wrapText="1" readingOrder="2"/>
    </xf>
    <xf numFmtId="0" fontId="1" fillId="5" borderId="12" xfId="4" applyBorder="1" applyAlignment="1">
      <alignment horizontal="center" vertical="center" wrapText="1"/>
    </xf>
    <xf numFmtId="0" fontId="1" fillId="6" borderId="12" xfId="5" applyBorder="1" applyAlignment="1">
      <alignment horizontal="center" vertical="center" wrapText="1"/>
    </xf>
    <xf numFmtId="0" fontId="1" fillId="5" borderId="12" xfId="4" applyBorder="1" applyAlignment="1">
      <alignment horizontal="center" vertical="center" wrapText="1" readingOrder="2"/>
    </xf>
    <xf numFmtId="0" fontId="0" fillId="5" borderId="12" xfId="4" applyFont="1" applyBorder="1" applyAlignment="1">
      <alignment horizontal="center" vertical="center" wrapText="1"/>
    </xf>
    <xf numFmtId="0" fontId="1" fillId="6" borderId="12" xfId="5" applyBorder="1" applyAlignment="1">
      <alignment horizontal="center" vertical="center" wrapText="1" readingOrder="2"/>
    </xf>
    <xf numFmtId="0" fontId="0" fillId="6" borderId="12" xfId="5" applyFont="1" applyBorder="1" applyAlignment="1">
      <alignment horizontal="center" vertical="center" wrapText="1"/>
    </xf>
    <xf numFmtId="0" fontId="1" fillId="7" borderId="14" xfId="6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7" borderId="14" xfId="6" applyBorder="1" applyAlignment="1">
      <alignment horizontal="center" vertical="center" wrapText="1" readingOrder="2"/>
    </xf>
    <xf numFmtId="0" fontId="9" fillId="0" borderId="10" xfId="0" applyFont="1" applyBorder="1" applyAlignment="1">
      <alignment vertical="center" wrapText="1"/>
    </xf>
    <xf numFmtId="0" fontId="0" fillId="0" borderId="3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0" fontId="0" fillId="0" borderId="12" xfId="0" applyNumberFormat="1" applyBorder="1"/>
    <xf numFmtId="0" fontId="0" fillId="9" borderId="12" xfId="8" applyFont="1" applyBorder="1" applyAlignment="1">
      <alignment horizontal="center" vertical="center" wrapText="1"/>
    </xf>
    <xf numFmtId="0" fontId="0" fillId="7" borderId="14" xfId="6" applyFont="1" applyBorder="1" applyAlignment="1">
      <alignment horizontal="center" vertical="center" wrapText="1"/>
    </xf>
    <xf numFmtId="0" fontId="0" fillId="8" borderId="12" xfId="7" applyFont="1" applyBorder="1" applyAlignment="1">
      <alignment horizontal="center" vertical="center" wrapText="1"/>
    </xf>
    <xf numFmtId="0" fontId="2" fillId="2" borderId="13" xfId="1" applyBorder="1" applyAlignment="1">
      <alignment horizontal="center" vertical="center" wrapText="1"/>
    </xf>
    <xf numFmtId="0" fontId="0" fillId="7" borderId="13" xfId="6" applyFont="1" applyBorder="1" applyAlignment="1">
      <alignment horizontal="center" vertical="center" wrapText="1"/>
    </xf>
    <xf numFmtId="0" fontId="1" fillId="7" borderId="14" xfId="6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" fillId="3" borderId="12" xfId="2" applyBorder="1" applyAlignment="1">
      <alignment horizontal="center" vertical="center" wrapText="1" readingOrder="2"/>
    </xf>
    <xf numFmtId="0" fontId="3" fillId="3" borderId="12" xfId="2" applyBorder="1" applyAlignment="1">
      <alignment horizontal="center" vertical="center" wrapText="1"/>
    </xf>
    <xf numFmtId="0" fontId="4" fillId="4" borderId="12" xfId="3" applyBorder="1" applyAlignment="1">
      <alignment horizontal="center" vertical="center" wrapText="1" readingOrder="2"/>
    </xf>
    <xf numFmtId="0" fontId="4" fillId="4" borderId="12" xfId="3" applyBorder="1" applyAlignment="1">
      <alignment horizontal="center" vertical="center" wrapText="1"/>
    </xf>
    <xf numFmtId="0" fontId="0" fillId="9" borderId="12" xfId="8" applyFont="1" applyBorder="1" applyAlignment="1">
      <alignment horizontal="center" vertical="center" wrapText="1"/>
    </xf>
    <xf numFmtId="0" fontId="1" fillId="9" borderId="12" xfId="8" applyBorder="1" applyAlignment="1">
      <alignment horizontal="center" vertical="center" wrapText="1"/>
    </xf>
    <xf numFmtId="0" fontId="1" fillId="7" borderId="13" xfId="6" applyBorder="1" applyAlignment="1">
      <alignment horizontal="center" vertical="center" wrapText="1"/>
    </xf>
    <xf numFmtId="0" fontId="1" fillId="7" borderId="13" xfId="6" applyBorder="1" applyAlignment="1">
      <alignment horizontal="center" vertical="center" wrapText="1" readingOrder="2"/>
    </xf>
    <xf numFmtId="0" fontId="1" fillId="7" borderId="14" xfId="6" applyBorder="1" applyAlignment="1">
      <alignment horizontal="center" vertical="center" wrapText="1" readingOrder="2"/>
    </xf>
    <xf numFmtId="0" fontId="4" fillId="4" borderId="13" xfId="3" applyBorder="1" applyAlignment="1">
      <alignment horizontal="center" vertical="center" wrapText="1"/>
    </xf>
    <xf numFmtId="0" fontId="4" fillId="4" borderId="15" xfId="3" applyBorder="1" applyAlignment="1">
      <alignment horizontal="center" vertical="center" wrapText="1"/>
    </xf>
    <xf numFmtId="0" fontId="4" fillId="4" borderId="13" xfId="3" applyBorder="1" applyAlignment="1">
      <alignment horizontal="center" vertical="center" wrapText="1" readingOrder="2"/>
    </xf>
    <xf numFmtId="0" fontId="4" fillId="4" borderId="15" xfId="3" applyBorder="1" applyAlignment="1">
      <alignment horizontal="center" vertical="center" wrapText="1" readingOrder="2"/>
    </xf>
    <xf numFmtId="0" fontId="2" fillId="2" borderId="12" xfId="1" applyBorder="1" applyAlignment="1">
      <alignment horizontal="center" vertical="center" wrapText="1"/>
    </xf>
    <xf numFmtId="0" fontId="2" fillId="2" borderId="12" xfId="1" applyBorder="1" applyAlignment="1">
      <alignment horizontal="center" vertical="center" wrapText="1" readingOrder="2"/>
    </xf>
    <xf numFmtId="0" fontId="1" fillId="5" borderId="12" xfId="4" applyBorder="1" applyAlignment="1">
      <alignment horizontal="center" vertical="center" wrapText="1"/>
    </xf>
    <xf numFmtId="0" fontId="1" fillId="6" borderId="12" xfId="5" applyBorder="1" applyAlignment="1">
      <alignment horizontal="center" vertical="center" wrapText="1"/>
    </xf>
    <xf numFmtId="0" fontId="1" fillId="5" borderId="12" xfId="4" applyBorder="1" applyAlignment="1">
      <alignment horizontal="center" vertical="center" wrapText="1" readingOrder="2"/>
    </xf>
    <xf numFmtId="0" fontId="0" fillId="5" borderId="12" xfId="4" applyFont="1" applyBorder="1" applyAlignment="1">
      <alignment horizontal="center" vertical="center" wrapText="1"/>
    </xf>
    <xf numFmtId="0" fontId="0" fillId="6" borderId="12" xfId="5" applyFont="1" applyBorder="1" applyAlignment="1">
      <alignment horizontal="center" vertical="center" wrapText="1" readingOrder="2"/>
    </xf>
    <xf numFmtId="0" fontId="1" fillId="6" borderId="12" xfId="5" applyBorder="1" applyAlignment="1">
      <alignment horizontal="center" vertical="center" wrapText="1" readingOrder="2"/>
    </xf>
    <xf numFmtId="0" fontId="0" fillId="9" borderId="12" xfId="8" applyFont="1" applyBorder="1" applyAlignment="1">
      <alignment horizontal="center" vertical="center" wrapText="1" readingOrder="2"/>
    </xf>
    <xf numFmtId="0" fontId="4" fillId="4" borderId="14" xfId="3" applyBorder="1" applyAlignment="1">
      <alignment horizontal="center" vertical="center" wrapText="1"/>
    </xf>
    <xf numFmtId="0" fontId="1" fillId="7" borderId="15" xfId="6" applyBorder="1" applyAlignment="1">
      <alignment horizontal="center" vertical="center" wrapText="1"/>
    </xf>
    <xf numFmtId="0" fontId="1" fillId="7" borderId="15" xfId="6" applyBorder="1" applyAlignment="1">
      <alignment horizontal="center" vertical="center" wrapText="1" readingOrder="2"/>
    </xf>
    <xf numFmtId="0" fontId="0" fillId="7" borderId="15" xfId="6" applyFont="1" applyBorder="1" applyAlignment="1">
      <alignment horizontal="center" vertical="center" wrapText="1"/>
    </xf>
    <xf numFmtId="0" fontId="0" fillId="7" borderId="14" xfId="6" applyFont="1" applyBorder="1" applyAlignment="1">
      <alignment horizontal="center" vertical="center" wrapText="1"/>
    </xf>
    <xf numFmtId="0" fontId="0" fillId="6" borderId="12" xfId="5" applyFont="1" applyBorder="1" applyAlignment="1">
      <alignment horizontal="center" vertical="center" wrapText="1"/>
    </xf>
    <xf numFmtId="0" fontId="0" fillId="8" borderId="12" xfId="7" applyFont="1" applyBorder="1" applyAlignment="1">
      <alignment horizontal="center" vertical="center" wrapText="1"/>
    </xf>
    <xf numFmtId="0" fontId="1" fillId="8" borderId="12" xfId="7" applyBorder="1" applyAlignment="1">
      <alignment horizontal="center" vertical="center" wrapText="1"/>
    </xf>
    <xf numFmtId="0" fontId="1" fillId="8" borderId="12" xfId="7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/>
    </xf>
  </cellXfs>
  <cellStyles count="12">
    <cellStyle name="20% - Accent1" xfId="10" builtinId="30"/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1" builtinId="5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>
        <c:manualLayout>
          <c:xMode val="edge"/>
          <c:yMode val="edge"/>
          <c:x val="0.42615966754155732"/>
          <c:y val="7.11537666759384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Sheet1!$F$2:$F$7</c:f>
              <c:strCache>
                <c:ptCount val="6"/>
                <c:pt idx="0">
                  <c:v>[l]</c:v>
                </c:pt>
                <c:pt idx="1">
                  <c:v>[ɺ]</c:v>
                </c:pt>
                <c:pt idx="2">
                  <c:v>[ɻ]</c:v>
                </c:pt>
                <c:pt idx="3">
                  <c:v>[d]</c:v>
                </c:pt>
                <c:pt idx="4">
                  <c:v>[m]</c:v>
                </c:pt>
                <c:pt idx="5">
                  <c:v>[-]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159</c:v>
                </c:pt>
                <c:pt idx="1">
                  <c:v>29</c:v>
                </c:pt>
                <c:pt idx="2">
                  <c:v>13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9-416B-A9C7-2AB48F4B0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055967"/>
        <c:axId val="46505971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bg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Sheet1!$F$2:$F$7</c:f>
              <c:strCache>
                <c:ptCount val="6"/>
                <c:pt idx="0">
                  <c:v>[l]</c:v>
                </c:pt>
                <c:pt idx="1">
                  <c:v>[ɺ]</c:v>
                </c:pt>
                <c:pt idx="2">
                  <c:v>[ɻ]</c:v>
                </c:pt>
                <c:pt idx="3">
                  <c:v>[d]</c:v>
                </c:pt>
                <c:pt idx="4">
                  <c:v>[m]</c:v>
                </c:pt>
                <c:pt idx="5">
                  <c:v>[-]</c:v>
                </c:pt>
              </c:strCache>
            </c:strRef>
          </c:cat>
          <c:val>
            <c:numRef>
              <c:f>Sheet1!$H$2:$H$7</c:f>
              <c:numCache>
                <c:formatCode>0.00%</c:formatCode>
                <c:ptCount val="6"/>
                <c:pt idx="0">
                  <c:v>0.7098214285714286</c:v>
                </c:pt>
                <c:pt idx="1">
                  <c:v>0.12946428571428573</c:v>
                </c:pt>
                <c:pt idx="2">
                  <c:v>5.8035714285714288E-2</c:v>
                </c:pt>
                <c:pt idx="3">
                  <c:v>4.464285714285714E-3</c:v>
                </c:pt>
                <c:pt idx="4">
                  <c:v>4.464285714285714E-3</c:v>
                </c:pt>
                <c:pt idx="5">
                  <c:v>4.464285714285714E-3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9-416B-A9C7-2AB48F4B0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058463"/>
        <c:axId val="465058047"/>
      </c:lineChart>
      <c:catAx>
        <c:axId val="46505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59711"/>
        <c:crosses val="autoZero"/>
        <c:auto val="1"/>
        <c:lblAlgn val="ctr"/>
        <c:lblOffset val="100"/>
        <c:noMultiLvlLbl val="0"/>
      </c:catAx>
      <c:valAx>
        <c:axId val="4650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55967"/>
        <c:crosses val="autoZero"/>
        <c:crossBetween val="between"/>
      </c:valAx>
      <c:valAx>
        <c:axId val="4650580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58463"/>
        <c:crosses val="max"/>
        <c:crossBetween val="between"/>
      </c:valAx>
      <c:catAx>
        <c:axId val="465058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50580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Sheet1!$F$9:$F$14</c:f>
              <c:strCache>
                <c:ptCount val="6"/>
                <c:pt idx="0">
                  <c:v>[ʔ]</c:v>
                </c:pt>
                <c:pt idx="1">
                  <c:v>[ɻ]</c:v>
                </c:pt>
                <c:pt idx="2">
                  <c:v>[d]</c:v>
                </c:pt>
                <c:pt idx="3">
                  <c:v>[r]</c:v>
                </c:pt>
                <c:pt idx="4">
                  <c:v>[t]</c:v>
                </c:pt>
                <c:pt idx="5">
                  <c:v>[j]</c:v>
                </c:pt>
              </c:strCache>
            </c:strRef>
          </c:cat>
          <c:val>
            <c:numRef>
              <c:f>Sheet1!$G$9:$G$14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A-4B9D-BF1D-FE4303A66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705055"/>
        <c:axId val="31371961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87C2-4AA3-BF77-99C7245DEF24}"/>
              </c:ext>
            </c:extLst>
          </c:dPt>
          <c:cat>
            <c:strRef>
              <c:f>Sheet1!$F$9:$F$14</c:f>
              <c:strCache>
                <c:ptCount val="6"/>
                <c:pt idx="0">
                  <c:v>[ʔ]</c:v>
                </c:pt>
                <c:pt idx="1">
                  <c:v>[ɻ]</c:v>
                </c:pt>
                <c:pt idx="2">
                  <c:v>[d]</c:v>
                </c:pt>
                <c:pt idx="3">
                  <c:v>[r]</c:v>
                </c:pt>
                <c:pt idx="4">
                  <c:v>[t]</c:v>
                </c:pt>
                <c:pt idx="5">
                  <c:v>[j]</c:v>
                </c:pt>
              </c:strCache>
            </c:strRef>
          </c:cat>
          <c:val>
            <c:numRef>
              <c:f>Sheet1!$H$9:$H$14</c:f>
              <c:numCache>
                <c:formatCode>0.00%</c:formatCode>
                <c:ptCount val="6"/>
                <c:pt idx="0">
                  <c:v>1.607717041800643E-2</c:v>
                </c:pt>
                <c:pt idx="1">
                  <c:v>1.2861736334405145E-2</c:v>
                </c:pt>
                <c:pt idx="2">
                  <c:v>6.4308681672025723E-3</c:v>
                </c:pt>
                <c:pt idx="3">
                  <c:v>3.2154340836012861E-3</c:v>
                </c:pt>
                <c:pt idx="4">
                  <c:v>3.2154340836012861E-3</c:v>
                </c:pt>
                <c:pt idx="5">
                  <c:v>3.2154340836012861E-3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A-4B9D-BF1D-FE4303A66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706719"/>
        <c:axId val="313718783"/>
      </c:lineChart>
      <c:catAx>
        <c:axId val="31370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9615"/>
        <c:crosses val="autoZero"/>
        <c:auto val="1"/>
        <c:lblAlgn val="ctr"/>
        <c:lblOffset val="100"/>
        <c:noMultiLvlLbl val="0"/>
      </c:catAx>
      <c:valAx>
        <c:axId val="31371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05055"/>
        <c:crosses val="autoZero"/>
        <c:crossBetween val="between"/>
      </c:valAx>
      <c:valAx>
        <c:axId val="3137187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06719"/>
        <c:crosses val="max"/>
        <c:crossBetween val="between"/>
      </c:valAx>
      <c:catAx>
        <c:axId val="313706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37187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Sheet1!$F$18:$F$21</c:f>
              <c:strCache>
                <c:ptCount val="4"/>
                <c:pt idx="0">
                  <c:v>[s]</c:v>
                </c:pt>
                <c:pt idx="1">
                  <c:v>[z̥]</c:v>
                </c:pt>
                <c:pt idx="2">
                  <c:v>[t͡s]</c:v>
                </c:pt>
                <c:pt idx="3">
                  <c:v>[ð]</c:v>
                </c:pt>
              </c:strCache>
            </c:strRef>
          </c:cat>
          <c:val>
            <c:numRef>
              <c:f>Sheet1!$G$18:$G$21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E-482D-992D-13FE5883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123759"/>
        <c:axId val="5031241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Sheet1!$F$18:$F$21</c:f>
              <c:strCache>
                <c:ptCount val="4"/>
                <c:pt idx="0">
                  <c:v>[s]</c:v>
                </c:pt>
                <c:pt idx="1">
                  <c:v>[z̥]</c:v>
                </c:pt>
                <c:pt idx="2">
                  <c:v>[t͡s]</c:v>
                </c:pt>
                <c:pt idx="3">
                  <c:v>[ð]</c:v>
                </c:pt>
              </c:strCache>
            </c:strRef>
          </c:cat>
          <c:val>
            <c:numRef>
              <c:f>Sheet1!$H$18:$H$21</c:f>
              <c:numCache>
                <c:formatCode>0.00%</c:formatCode>
                <c:ptCount val="4"/>
                <c:pt idx="0">
                  <c:v>0.65217391304347827</c:v>
                </c:pt>
                <c:pt idx="1">
                  <c:v>0.13043478260869565</c:v>
                </c:pt>
                <c:pt idx="2">
                  <c:v>4.3478260869565216E-2</c:v>
                </c:pt>
                <c:pt idx="3">
                  <c:v>4.3478260869565216E-2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E-482D-992D-13FE5883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895615"/>
        <c:axId val="368543567"/>
      </c:lineChart>
      <c:catAx>
        <c:axId val="50312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24175"/>
        <c:crosses val="autoZero"/>
        <c:auto val="1"/>
        <c:lblAlgn val="ctr"/>
        <c:lblOffset val="100"/>
        <c:noMultiLvlLbl val="0"/>
      </c:catAx>
      <c:valAx>
        <c:axId val="50312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23759"/>
        <c:crosses val="autoZero"/>
        <c:crossBetween val="between"/>
      </c:valAx>
      <c:valAx>
        <c:axId val="3685435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95615"/>
        <c:crosses val="max"/>
        <c:crossBetween val="between"/>
      </c:valAx>
      <c:catAx>
        <c:axId val="505895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85435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Sheet1!$F$23:$F$25</c:f>
              <c:strCache>
                <c:ptCount val="3"/>
                <c:pt idx="0">
                  <c:v>[s]</c:v>
                </c:pt>
                <c:pt idx="1">
                  <c:v>[θ]</c:v>
                </c:pt>
                <c:pt idx="2">
                  <c:v>dˤ</c:v>
                </c:pt>
              </c:strCache>
            </c:strRef>
          </c:cat>
          <c:val>
            <c:numRef>
              <c:f>Sheet1!$G$23:$G$25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C-49D8-94F2-3EE456FFE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96863"/>
        <c:axId val="50589727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Sheet1!$F$23:$F$25</c:f>
              <c:strCache>
                <c:ptCount val="3"/>
                <c:pt idx="0">
                  <c:v>[s]</c:v>
                </c:pt>
                <c:pt idx="1">
                  <c:v>[θ]</c:v>
                </c:pt>
                <c:pt idx="2">
                  <c:v>dˤ</c:v>
                </c:pt>
              </c:strCache>
            </c:strRef>
          </c:cat>
          <c:val>
            <c:numRef>
              <c:f>Sheet1!$H$23:$H$25</c:f>
              <c:numCache>
                <c:formatCode>0.00%</c:formatCode>
                <c:ptCount val="3"/>
                <c:pt idx="0">
                  <c:v>0.10909090909090909</c:v>
                </c:pt>
                <c:pt idx="1">
                  <c:v>1.8181818181818181E-2</c:v>
                </c:pt>
                <c:pt idx="2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C-49D8-94F2-3EE456FFE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898527"/>
        <c:axId val="505898111"/>
      </c:lineChart>
      <c:catAx>
        <c:axId val="50589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97279"/>
        <c:crosses val="autoZero"/>
        <c:auto val="1"/>
        <c:lblAlgn val="ctr"/>
        <c:lblOffset val="100"/>
        <c:noMultiLvlLbl val="0"/>
      </c:catAx>
      <c:valAx>
        <c:axId val="50589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96863"/>
        <c:crosses val="autoZero"/>
        <c:crossBetween val="between"/>
      </c:valAx>
      <c:valAx>
        <c:axId val="50589811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98527"/>
        <c:crosses val="max"/>
        <c:crossBetween val="between"/>
      </c:valAx>
      <c:catAx>
        <c:axId val="505898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589811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ðˤ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Sheet1!$F$28:$F$32</c:f>
              <c:strCache>
                <c:ptCount val="5"/>
                <c:pt idx="0">
                  <c:v>[θˤ]</c:v>
                </c:pt>
                <c:pt idx="1">
                  <c:v>[tˤ]</c:v>
                </c:pt>
                <c:pt idx="2">
                  <c:v>[sˤ]</c:v>
                </c:pt>
                <c:pt idx="3">
                  <c:v>[dˤ]</c:v>
                </c:pt>
                <c:pt idx="4">
                  <c:v>[ð]</c:v>
                </c:pt>
              </c:strCache>
            </c:strRef>
          </c:cat>
          <c:val>
            <c:numRef>
              <c:f>Sheet1!$G$28:$G$32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F-46CC-B8BA-3135BB3BC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128703"/>
        <c:axId val="58612911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Sheet1!$F$28:$F$32</c:f>
              <c:strCache>
                <c:ptCount val="5"/>
                <c:pt idx="0">
                  <c:v>[θˤ]</c:v>
                </c:pt>
                <c:pt idx="1">
                  <c:v>[tˤ]</c:v>
                </c:pt>
                <c:pt idx="2">
                  <c:v>[sˤ]</c:v>
                </c:pt>
                <c:pt idx="3">
                  <c:v>[dˤ]</c:v>
                </c:pt>
                <c:pt idx="4">
                  <c:v>[ð]</c:v>
                </c:pt>
              </c:strCache>
            </c:strRef>
          </c:cat>
          <c:val>
            <c:numRef>
              <c:f>Sheet1!$H$28:$H$32</c:f>
              <c:numCache>
                <c:formatCode>0.00%</c:formatCode>
                <c:ptCount val="5"/>
                <c:pt idx="0">
                  <c:v>0.1111111111111111</c:v>
                </c:pt>
                <c:pt idx="1">
                  <c:v>0.1111111111111111</c:v>
                </c:pt>
                <c:pt idx="2">
                  <c:v>5.5555555555555552E-2</c:v>
                </c:pt>
                <c:pt idx="3">
                  <c:v>5.5555555555555552E-2</c:v>
                </c:pt>
                <c:pt idx="4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9F-46CC-B8BA-3135BB3BC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544399"/>
        <c:axId val="368541487"/>
      </c:lineChart>
      <c:catAx>
        <c:axId val="58612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29119"/>
        <c:crosses val="autoZero"/>
        <c:auto val="1"/>
        <c:lblAlgn val="ctr"/>
        <c:lblOffset val="100"/>
        <c:noMultiLvlLbl val="0"/>
      </c:catAx>
      <c:valAx>
        <c:axId val="5861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28703"/>
        <c:crosses val="autoZero"/>
        <c:crossBetween val="between"/>
      </c:valAx>
      <c:valAx>
        <c:axId val="3685414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44399"/>
        <c:crosses val="max"/>
        <c:crossBetween val="between"/>
      </c:valAx>
      <c:catAx>
        <c:axId val="368544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85414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Sheet1!$F$34:$F$35</c:f>
              <c:strCache>
                <c:ptCount val="2"/>
                <c:pt idx="0">
                  <c:v>[s]</c:v>
                </c:pt>
                <c:pt idx="1">
                  <c:v>[z]</c:v>
                </c:pt>
              </c:strCache>
            </c:strRef>
          </c:cat>
          <c:val>
            <c:numRef>
              <c:f>Sheet1!$G$34:$G$35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0-465A-9B67-3D31B5857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565199"/>
        <c:axId val="37856561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Sheet1!$F$34:$F$35</c:f>
              <c:strCache>
                <c:ptCount val="2"/>
                <c:pt idx="0">
                  <c:v>[s]</c:v>
                </c:pt>
                <c:pt idx="1">
                  <c:v>[z]</c:v>
                </c:pt>
              </c:strCache>
            </c:strRef>
          </c:cat>
          <c:val>
            <c:numRef>
              <c:f>Sheet1!$H$34:$H$35</c:f>
              <c:numCache>
                <c:formatCode>0.00%</c:formatCode>
                <c:ptCount val="2"/>
                <c:pt idx="0">
                  <c:v>0.10810810810810811</c:v>
                </c:pt>
                <c:pt idx="1">
                  <c:v>2.7027027027027029E-2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0-465A-9B67-3D31B5857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123343"/>
        <c:axId val="503124591"/>
      </c:lineChart>
      <c:catAx>
        <c:axId val="37856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65615"/>
        <c:crosses val="autoZero"/>
        <c:auto val="1"/>
        <c:lblAlgn val="ctr"/>
        <c:lblOffset val="100"/>
        <c:noMultiLvlLbl val="0"/>
      </c:catAx>
      <c:valAx>
        <c:axId val="37856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65199"/>
        <c:crosses val="autoZero"/>
        <c:crossBetween val="between"/>
      </c:valAx>
      <c:valAx>
        <c:axId val="5031245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23343"/>
        <c:crosses val="max"/>
        <c:crossBetween val="between"/>
      </c:valAx>
      <c:catAx>
        <c:axId val="503123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31245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Sheet1!$F$37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Sheet1!$G$37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F-4945-ABA0-7C76F54D6C7F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Sheet1!$F$37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Sheet1!$H$37</c:f>
              <c:numCache>
                <c:formatCode>0.00%</c:formatCode>
                <c:ptCount val="1"/>
                <c:pt idx="0">
                  <c:v>0.6987951807228916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F-4945-ABA0-7C76F54D6C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0265935"/>
        <c:axId val="310267599"/>
      </c:barChart>
      <c:catAx>
        <c:axId val="31026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67599"/>
        <c:crosses val="autoZero"/>
        <c:auto val="1"/>
        <c:lblAlgn val="ctr"/>
        <c:lblOffset val="100"/>
        <c:noMultiLvlLbl val="0"/>
      </c:catAx>
      <c:valAx>
        <c:axId val="3102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65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Sheet1!$F$16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Sheet1!$G$16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7-4F89-AFF9-3E752623BF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Sheet1!$F$16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Sheet1!$H$16</c:f>
              <c:numCache>
                <c:formatCode>0.00%</c:formatCode>
                <c:ptCount val="1"/>
                <c:pt idx="0">
                  <c:v>1.6129032258064516E-2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7-4F89-AFF9-3E752623B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203039"/>
        <c:axId val="312202207"/>
      </c:barChart>
      <c:catAx>
        <c:axId val="31220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02207"/>
        <c:crosses val="autoZero"/>
        <c:auto val="1"/>
        <c:lblAlgn val="ctr"/>
        <c:lblOffset val="100"/>
        <c:noMultiLvlLbl val="0"/>
      </c:catAx>
      <c:valAx>
        <c:axId val="31220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03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Sheet1!$F$39:$F$47</c:f>
              <c:strCache>
                <c:ptCount val="9"/>
                <c:pt idx="0">
                  <c:v>[d͡ʒ̥]</c:v>
                </c:pt>
                <c:pt idx="1">
                  <c:v>[k]</c:v>
                </c:pt>
                <c:pt idx="2">
                  <c:v>[t͡ʃ]</c:v>
                </c:pt>
                <c:pt idx="3">
                  <c:v>[ʃ]</c:v>
                </c:pt>
                <c:pt idx="4">
                  <c:v>[l]</c:v>
                </c:pt>
                <c:pt idx="5">
                  <c:v>[q]</c:v>
                </c:pt>
                <c:pt idx="6">
                  <c:v>[ħ]</c:v>
                </c:pt>
                <c:pt idx="7">
                  <c:v>[kʰ]</c:v>
                </c:pt>
                <c:pt idx="8">
                  <c:v>[ʒ]</c:v>
                </c:pt>
              </c:strCache>
            </c:strRef>
          </c:cat>
          <c:val>
            <c:numRef>
              <c:f>Sheet1!$G$39:$G$47</c:f>
              <c:numCache>
                <c:formatCode>General</c:formatCode>
                <c:ptCount val="9"/>
                <c:pt idx="0">
                  <c:v>16</c:v>
                </c:pt>
                <c:pt idx="1">
                  <c:v>13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B9B-9581-06C03A220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861199"/>
        <c:axId val="3738553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Sheet1!$F$39:$F$47</c:f>
              <c:strCache>
                <c:ptCount val="9"/>
                <c:pt idx="0">
                  <c:v>[d͡ʒ̥]</c:v>
                </c:pt>
                <c:pt idx="1">
                  <c:v>[k]</c:v>
                </c:pt>
                <c:pt idx="2">
                  <c:v>[t͡ʃ]</c:v>
                </c:pt>
                <c:pt idx="3">
                  <c:v>[ʃ]</c:v>
                </c:pt>
                <c:pt idx="4">
                  <c:v>[l]</c:v>
                </c:pt>
                <c:pt idx="5">
                  <c:v>[q]</c:v>
                </c:pt>
                <c:pt idx="6">
                  <c:v>[ħ]</c:v>
                </c:pt>
                <c:pt idx="7">
                  <c:v>[kʰ]</c:v>
                </c:pt>
                <c:pt idx="8">
                  <c:v>[ʒ]</c:v>
                </c:pt>
              </c:strCache>
            </c:strRef>
          </c:cat>
          <c:val>
            <c:numRef>
              <c:f>Sheet1!$H$39:$H$47</c:f>
              <c:numCache>
                <c:formatCode>0.00%</c:formatCode>
                <c:ptCount val="9"/>
                <c:pt idx="0">
                  <c:v>0.21917808219178081</c:v>
                </c:pt>
                <c:pt idx="1">
                  <c:v>0.17808219178082191</c:v>
                </c:pt>
                <c:pt idx="2">
                  <c:v>9.5890410958904104E-2</c:v>
                </c:pt>
                <c:pt idx="3">
                  <c:v>2.7397260273972601E-2</c:v>
                </c:pt>
                <c:pt idx="4">
                  <c:v>1.3698630136986301E-2</c:v>
                </c:pt>
                <c:pt idx="5">
                  <c:v>1.3698630136986301E-2</c:v>
                </c:pt>
                <c:pt idx="6">
                  <c:v>1.3698630136986301E-2</c:v>
                </c:pt>
                <c:pt idx="7">
                  <c:v>1.3698630136986301E-2</c:v>
                </c:pt>
                <c:pt idx="8">
                  <c:v>1.3698630136986301E-2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2-4B9B-9581-06C03A220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857871"/>
        <c:axId val="373861615"/>
      </c:lineChart>
      <c:catAx>
        <c:axId val="37386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55375"/>
        <c:crosses val="autoZero"/>
        <c:auto val="1"/>
        <c:lblAlgn val="ctr"/>
        <c:lblOffset val="100"/>
        <c:noMultiLvlLbl val="0"/>
      </c:catAx>
      <c:valAx>
        <c:axId val="37385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61199"/>
        <c:crosses val="autoZero"/>
        <c:crossBetween val="between"/>
      </c:valAx>
      <c:valAx>
        <c:axId val="3738616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57871"/>
        <c:crosses val="max"/>
        <c:crossBetween val="between"/>
      </c:valAx>
      <c:catAx>
        <c:axId val="3738578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38616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Sheet1!$F$49:$F$51</c:f>
              <c:strCache>
                <c:ptCount val="3"/>
                <c:pt idx="0">
                  <c:v>[k]</c:v>
                </c:pt>
                <c:pt idx="1">
                  <c:v>[ʔ]</c:v>
                </c:pt>
                <c:pt idx="2">
                  <c:v>[f]</c:v>
                </c:pt>
              </c:strCache>
            </c:strRef>
          </c:cat>
          <c:val>
            <c:numRef>
              <c:f>Sheet1!$G$49:$G$51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B-4E33-BA13-42C0ED5D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096031"/>
        <c:axId val="50209727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Sheet1!$F$49:$F$51</c:f>
              <c:strCache>
                <c:ptCount val="3"/>
                <c:pt idx="0">
                  <c:v>[k]</c:v>
                </c:pt>
                <c:pt idx="1">
                  <c:v>[ʔ]</c:v>
                </c:pt>
                <c:pt idx="2">
                  <c:v>[f]</c:v>
                </c:pt>
              </c:strCache>
            </c:strRef>
          </c:cat>
          <c:val>
            <c:numRef>
              <c:f>Sheet1!$H$49:$H$51</c:f>
              <c:numCache>
                <c:formatCode>0.00%</c:formatCode>
                <c:ptCount val="3"/>
                <c:pt idx="0">
                  <c:v>7.1428571428571425E-2</c:v>
                </c:pt>
                <c:pt idx="1">
                  <c:v>1.7857142857142856E-2</c:v>
                </c:pt>
                <c:pt idx="2">
                  <c:v>1.7857142857142856E-2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B-4E33-BA13-42C0ED5D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569007"/>
        <c:axId val="502096447"/>
      </c:lineChart>
      <c:catAx>
        <c:axId val="50209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97279"/>
        <c:crosses val="autoZero"/>
        <c:auto val="1"/>
        <c:lblAlgn val="ctr"/>
        <c:lblOffset val="100"/>
        <c:noMultiLvlLbl val="0"/>
      </c:catAx>
      <c:valAx>
        <c:axId val="50209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96031"/>
        <c:crosses val="autoZero"/>
        <c:crossBetween val="between"/>
      </c:valAx>
      <c:valAx>
        <c:axId val="5020964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9007"/>
        <c:crosses val="max"/>
        <c:crossBetween val="between"/>
      </c:valAx>
      <c:catAx>
        <c:axId val="377569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20964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</a:t>
            </a:r>
            <a:r>
              <a:rPr lang="en-US" sz="1400" b="0" i="0" u="none" strike="noStrike" baseline="0">
                <a:effectLst/>
              </a:rPr>
              <a:t>ʃ</a:t>
            </a:r>
            <a:r>
              <a:rPr lang="en-US"/>
              <a:t>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Sheet1!$F$53:$F$54</c:f>
              <c:strCache>
                <c:ptCount val="2"/>
                <c:pt idx="0">
                  <c:v>[s]</c:v>
                </c:pt>
                <c:pt idx="1">
                  <c:v>[θ]</c:v>
                </c:pt>
              </c:strCache>
            </c:strRef>
          </c:cat>
          <c:val>
            <c:numRef>
              <c:f>Sheet1!$G$53:$G$54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D-42D2-A6DA-A6BCD99B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712127"/>
        <c:axId val="31371004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Sheet1!$F$53:$F$54</c:f>
              <c:strCache>
                <c:ptCount val="2"/>
                <c:pt idx="0">
                  <c:v>[s]</c:v>
                </c:pt>
                <c:pt idx="1">
                  <c:v>[θ]</c:v>
                </c:pt>
              </c:strCache>
            </c:strRef>
          </c:cat>
          <c:val>
            <c:numRef>
              <c:f>Sheet1!$H$53:$H$54</c:f>
              <c:numCache>
                <c:formatCode>0.00%</c:formatCode>
                <c:ptCount val="2"/>
                <c:pt idx="0">
                  <c:v>2.0833333333333332E-2</c:v>
                </c:pt>
                <c:pt idx="1">
                  <c:v>2.0833333333333332E-2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D-42D2-A6DA-A6BCD99B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717951"/>
        <c:axId val="313708383"/>
      </c:lineChart>
      <c:catAx>
        <c:axId val="31371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0047"/>
        <c:crosses val="autoZero"/>
        <c:auto val="1"/>
        <c:lblAlgn val="ctr"/>
        <c:lblOffset val="100"/>
        <c:noMultiLvlLbl val="0"/>
      </c:catAx>
      <c:valAx>
        <c:axId val="31371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2127"/>
        <c:crosses val="autoZero"/>
        <c:crossBetween val="between"/>
      </c:valAx>
      <c:valAx>
        <c:axId val="3137083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7951"/>
        <c:crosses val="max"/>
        <c:crossBetween val="between"/>
      </c:valAx>
      <c:catAx>
        <c:axId val="3137179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37083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[χ</a:t>
            </a:r>
            <a:r>
              <a:rPr lang="en-US"/>
              <a:t>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Sheet1!$F$56:$F$59</c:f>
              <c:strCache>
                <c:ptCount val="4"/>
                <c:pt idx="0">
                  <c:v>[h]</c:v>
                </c:pt>
                <c:pt idx="1">
                  <c:v>[ħ]</c:v>
                </c:pt>
                <c:pt idx="2">
                  <c:v>[d͡ʒ]</c:v>
                </c:pt>
                <c:pt idx="3">
                  <c:v>[ʒ]</c:v>
                </c:pt>
              </c:strCache>
            </c:strRef>
          </c:cat>
          <c:val>
            <c:numRef>
              <c:f>Sheet1!$G$56:$G$59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5-4AB9-853D-225B792BA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714623"/>
        <c:axId val="31371628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Sheet1!$F$56:$F$59</c:f>
              <c:strCache>
                <c:ptCount val="4"/>
                <c:pt idx="0">
                  <c:v>[h]</c:v>
                </c:pt>
                <c:pt idx="1">
                  <c:v>[ħ]</c:v>
                </c:pt>
                <c:pt idx="2">
                  <c:v>[d͡ʒ]</c:v>
                </c:pt>
                <c:pt idx="3">
                  <c:v>[ʒ]</c:v>
                </c:pt>
              </c:strCache>
            </c:strRef>
          </c:cat>
          <c:val>
            <c:numRef>
              <c:f>Sheet1!$H$56:$H$59</c:f>
              <c:numCache>
                <c:formatCode>0.00%</c:formatCode>
                <c:ptCount val="4"/>
                <c:pt idx="0">
                  <c:v>2.564102564102564E-2</c:v>
                </c:pt>
                <c:pt idx="1">
                  <c:v>2.564102564102564E-2</c:v>
                </c:pt>
                <c:pt idx="2">
                  <c:v>2.564102564102564E-2</c:v>
                </c:pt>
                <c:pt idx="3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95-4AB9-853D-225B792BA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862447"/>
        <c:axId val="313716703"/>
      </c:lineChart>
      <c:catAx>
        <c:axId val="3137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6287"/>
        <c:crosses val="autoZero"/>
        <c:auto val="1"/>
        <c:lblAlgn val="ctr"/>
        <c:lblOffset val="100"/>
        <c:noMultiLvlLbl val="0"/>
      </c:catAx>
      <c:valAx>
        <c:axId val="31371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4623"/>
        <c:crosses val="autoZero"/>
        <c:crossBetween val="between"/>
      </c:valAx>
      <c:valAx>
        <c:axId val="3137167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62447"/>
        <c:crosses val="max"/>
        <c:crossBetween val="between"/>
      </c:valAx>
      <c:catAx>
        <c:axId val="373862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37167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Sheet1!$F$61:$F$65</c:f>
              <c:strCache>
                <c:ptCount val="5"/>
                <c:pt idx="0">
                  <c:v>[ʔ]</c:v>
                </c:pt>
                <c:pt idx="1">
                  <c:v>[ʕ]</c:v>
                </c:pt>
                <c:pt idx="2">
                  <c:v>[χ]</c:v>
                </c:pt>
                <c:pt idx="3">
                  <c:v>[h]</c:v>
                </c:pt>
                <c:pt idx="4">
                  <c:v>[d]</c:v>
                </c:pt>
              </c:strCache>
            </c:strRef>
          </c:cat>
          <c:val>
            <c:numRef>
              <c:f>Sheet1!$G$61:$G$65</c:f>
              <c:numCache>
                <c:formatCode>General</c:formatCode>
                <c:ptCount val="5"/>
                <c:pt idx="0">
                  <c:v>11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7-49A1-8C93-FDA2F4231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007167"/>
        <c:axId val="4980075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Sheet1!$F$61:$F$65</c:f>
              <c:strCache>
                <c:ptCount val="5"/>
                <c:pt idx="0">
                  <c:v>[ʔ]</c:v>
                </c:pt>
                <c:pt idx="1">
                  <c:v>[ʕ]</c:v>
                </c:pt>
                <c:pt idx="2">
                  <c:v>[χ]</c:v>
                </c:pt>
                <c:pt idx="3">
                  <c:v>[h]</c:v>
                </c:pt>
                <c:pt idx="4">
                  <c:v>[d]</c:v>
                </c:pt>
              </c:strCache>
            </c:strRef>
          </c:cat>
          <c:val>
            <c:numRef>
              <c:f>Sheet1!$H$61:$H$65</c:f>
              <c:numCache>
                <c:formatCode>0.00%</c:formatCode>
                <c:ptCount val="5"/>
                <c:pt idx="0">
                  <c:v>0.26829268292682928</c:v>
                </c:pt>
                <c:pt idx="1">
                  <c:v>0.1951219512195122</c:v>
                </c:pt>
                <c:pt idx="2">
                  <c:v>2.4390243902439025E-2</c:v>
                </c:pt>
                <c:pt idx="3">
                  <c:v>2.4390243902439025E-2</c:v>
                </c:pt>
                <c:pt idx="4">
                  <c:v>2.4390243902439025E-2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7-49A1-8C93-FDA2F4231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008831"/>
        <c:axId val="498005919"/>
      </c:lineChart>
      <c:catAx>
        <c:axId val="49800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07583"/>
        <c:crosses val="autoZero"/>
        <c:auto val="1"/>
        <c:lblAlgn val="ctr"/>
        <c:lblOffset val="100"/>
        <c:noMultiLvlLbl val="0"/>
      </c:catAx>
      <c:valAx>
        <c:axId val="4980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07167"/>
        <c:crosses val="autoZero"/>
        <c:crossBetween val="between"/>
      </c:valAx>
      <c:valAx>
        <c:axId val="49800591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08831"/>
        <c:crosses val="max"/>
        <c:crossBetween val="between"/>
      </c:valAx>
      <c:catAx>
        <c:axId val="498008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80059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Sheet1!$F$67:$F$69</c:f>
              <c:strCache>
                <c:ptCount val="3"/>
                <c:pt idx="0">
                  <c:v>[ʔ]</c:v>
                </c:pt>
                <c:pt idx="1">
                  <c:v>[j]</c:v>
                </c:pt>
                <c:pt idx="2">
                  <c:v>[ɣ]</c:v>
                </c:pt>
              </c:strCache>
            </c:strRef>
          </c:cat>
          <c:val>
            <c:numRef>
              <c:f>Sheet1!$G$67:$G$69</c:f>
              <c:numCache>
                <c:formatCode>General</c:formatCode>
                <c:ptCount val="3"/>
                <c:pt idx="0">
                  <c:v>33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F-41BA-86BE-C957071E7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603887"/>
        <c:axId val="62260430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Sheet1!$F$67:$F$69</c:f>
              <c:strCache>
                <c:ptCount val="3"/>
                <c:pt idx="0">
                  <c:v>[ʔ]</c:v>
                </c:pt>
                <c:pt idx="1">
                  <c:v>[j]</c:v>
                </c:pt>
                <c:pt idx="2">
                  <c:v>[ɣ]</c:v>
                </c:pt>
              </c:strCache>
            </c:strRef>
          </c:cat>
          <c:val>
            <c:numRef>
              <c:f>Sheet1!$H$67:$H$69</c:f>
              <c:numCache>
                <c:formatCode>0.00%</c:formatCode>
                <c:ptCount val="3"/>
                <c:pt idx="0">
                  <c:v>0.3</c:v>
                </c:pt>
                <c:pt idx="1">
                  <c:v>1.8181818181818181E-2</c:v>
                </c:pt>
                <c:pt idx="2">
                  <c:v>9.0909090909090905E-3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F-41BA-86BE-C957071E7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006335"/>
        <c:axId val="622603055"/>
      </c:lineChart>
      <c:catAx>
        <c:axId val="62260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04303"/>
        <c:crosses val="autoZero"/>
        <c:auto val="1"/>
        <c:lblAlgn val="ctr"/>
        <c:lblOffset val="100"/>
        <c:noMultiLvlLbl val="0"/>
      </c:catAx>
      <c:valAx>
        <c:axId val="6226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03887"/>
        <c:crosses val="autoZero"/>
        <c:crossBetween val="between"/>
      </c:valAx>
      <c:valAx>
        <c:axId val="62260305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06335"/>
        <c:crosses val="max"/>
        <c:crossBetween val="between"/>
      </c:valAx>
      <c:catAx>
        <c:axId val="4980063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26030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Sheet1!$F$71:$F$74</c:f>
              <c:strCache>
                <c:ptCount val="4"/>
                <c:pt idx="0">
                  <c:v>[χ]</c:v>
                </c:pt>
                <c:pt idx="1">
                  <c:v>[h]</c:v>
                </c:pt>
                <c:pt idx="2">
                  <c:v>[ʔ]</c:v>
                </c:pt>
                <c:pt idx="3">
                  <c:v>[k]</c:v>
                </c:pt>
              </c:strCache>
            </c:strRef>
          </c:cat>
          <c:val>
            <c:numRef>
              <c:f>Sheet1!$G$71:$G$74</c:f>
              <c:numCache>
                <c:formatCode>General</c:formatCode>
                <c:ptCount val="4"/>
                <c:pt idx="0">
                  <c:v>20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3-44B8-B08A-04C0033E5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087535"/>
        <c:axId val="49808919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Sheet1!$F$71:$F$74</c:f>
              <c:strCache>
                <c:ptCount val="4"/>
                <c:pt idx="0">
                  <c:v>[χ]</c:v>
                </c:pt>
                <c:pt idx="1">
                  <c:v>[h]</c:v>
                </c:pt>
                <c:pt idx="2">
                  <c:v>[ʔ]</c:v>
                </c:pt>
                <c:pt idx="3">
                  <c:v>[k]</c:v>
                </c:pt>
              </c:strCache>
            </c:strRef>
          </c:cat>
          <c:val>
            <c:numRef>
              <c:f>Sheet1!$H$71:$H$74</c:f>
              <c:numCache>
                <c:formatCode>0.00%</c:formatCode>
                <c:ptCount val="4"/>
                <c:pt idx="0">
                  <c:v>0.25974025974025972</c:v>
                </c:pt>
                <c:pt idx="1">
                  <c:v>9.0909090909090912E-2</c:v>
                </c:pt>
                <c:pt idx="2">
                  <c:v>1.2987012987012988E-2</c:v>
                </c:pt>
                <c:pt idx="3">
                  <c:v>1.2987012987012988E-2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3-44B8-B08A-04C0033E5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087951"/>
        <c:axId val="498083791"/>
      </c:lineChart>
      <c:catAx>
        <c:axId val="49808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89199"/>
        <c:crosses val="autoZero"/>
        <c:auto val="1"/>
        <c:lblAlgn val="ctr"/>
        <c:lblOffset val="100"/>
        <c:noMultiLvlLbl val="0"/>
      </c:catAx>
      <c:valAx>
        <c:axId val="4980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87535"/>
        <c:crosses val="autoZero"/>
        <c:crossBetween val="between"/>
      </c:valAx>
      <c:valAx>
        <c:axId val="4980837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87951"/>
        <c:crosses val="max"/>
        <c:crossBetween val="between"/>
      </c:valAx>
      <c:catAx>
        <c:axId val="4980879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80837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Sheet1!$F$76:$F$77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Sheet1!$G$76:$G$77</c:f>
              <c:numCache>
                <c:formatCode>General</c:formatCode>
                <c:ptCount val="2"/>
                <c:pt idx="0">
                  <c:v>20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C-4374-9B65-21553E913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747647"/>
        <c:axId val="32074639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Sheet1!$F$76:$F$77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Sheet1!$H$76:$H$77</c:f>
              <c:numCache>
                <c:formatCode>0.00%</c:formatCode>
                <c:ptCount val="2"/>
                <c:pt idx="0">
                  <c:v>0.25974025974025972</c:v>
                </c:pt>
                <c:pt idx="1">
                  <c:v>0.18181818181818182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C-4374-9B65-21553E913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748479"/>
        <c:axId val="320748063"/>
      </c:lineChart>
      <c:catAx>
        <c:axId val="32074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6399"/>
        <c:crosses val="autoZero"/>
        <c:auto val="1"/>
        <c:lblAlgn val="ctr"/>
        <c:lblOffset val="100"/>
        <c:noMultiLvlLbl val="0"/>
      </c:catAx>
      <c:valAx>
        <c:axId val="3207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7647"/>
        <c:crosses val="autoZero"/>
        <c:crossBetween val="between"/>
      </c:valAx>
      <c:valAx>
        <c:axId val="3207480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8479"/>
        <c:crosses val="max"/>
        <c:crossBetween val="between"/>
      </c:valAx>
      <c:catAx>
        <c:axId val="320748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07480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Sheet1!$F$79:$F$80</c:f>
              <c:strCache>
                <c:ptCount val="2"/>
                <c:pt idx="0">
                  <c:v>[-]</c:v>
                </c:pt>
                <c:pt idx="1">
                  <c:v>[w]</c:v>
                </c:pt>
              </c:strCache>
            </c:strRef>
          </c:cat>
          <c:val>
            <c:numRef>
              <c:f>Sheet1!$G$79:$G$80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3-4B57-82F4-7AF89D95E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425535"/>
        <c:axId val="49842470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Sheet1!$F$79:$F$80</c:f>
              <c:strCache>
                <c:ptCount val="2"/>
                <c:pt idx="0">
                  <c:v>[-]</c:v>
                </c:pt>
                <c:pt idx="1">
                  <c:v>[w]</c:v>
                </c:pt>
              </c:strCache>
            </c:strRef>
          </c:cat>
          <c:val>
            <c:numRef>
              <c:f>Sheet1!$H$79:$H$80</c:f>
              <c:numCache>
                <c:formatCode>0.00%</c:formatCode>
                <c:ptCount val="2"/>
                <c:pt idx="0">
                  <c:v>2.8571428571428571E-2</c:v>
                </c:pt>
                <c:pt idx="1">
                  <c:v>9.5238095238095247E-3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3-4B57-82F4-7AF89D95E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25951"/>
        <c:axId val="498425119"/>
      </c:lineChart>
      <c:catAx>
        <c:axId val="49842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24703"/>
        <c:crosses val="autoZero"/>
        <c:auto val="1"/>
        <c:lblAlgn val="ctr"/>
        <c:lblOffset val="100"/>
        <c:noMultiLvlLbl val="0"/>
      </c:catAx>
      <c:valAx>
        <c:axId val="4984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25535"/>
        <c:crosses val="autoZero"/>
        <c:crossBetween val="between"/>
      </c:valAx>
      <c:valAx>
        <c:axId val="49842511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25951"/>
        <c:crosses val="max"/>
        <c:crossBetween val="between"/>
      </c:valAx>
      <c:catAx>
        <c:axId val="4984259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84251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[f]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Sheet1!$F$82</c:f>
              <c:strCache>
                <c:ptCount val="1"/>
                <c:pt idx="0">
                  <c:v>[m]</c:v>
                </c:pt>
              </c:strCache>
            </c:strRef>
          </c:cat>
          <c:val>
            <c:numRef>
              <c:f>Sheet1!$G$82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3-4825-86F7-97B7250EECF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Sheet1!$F$82</c:f>
              <c:strCache>
                <c:ptCount val="1"/>
                <c:pt idx="0">
                  <c:v>[m]</c:v>
                </c:pt>
              </c:strCache>
            </c:strRef>
          </c:cat>
          <c:val>
            <c:numRef>
              <c:f>Sheet1!$H$82</c:f>
              <c:numCache>
                <c:formatCode>0.00%</c:formatCode>
                <c:ptCount val="1"/>
                <c:pt idx="0">
                  <c:v>7.9365079365079361E-3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3-4825-86F7-97B7250EE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127455"/>
        <c:axId val="586129535"/>
      </c:barChart>
      <c:catAx>
        <c:axId val="58612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29535"/>
        <c:crosses val="autoZero"/>
        <c:auto val="1"/>
        <c:lblAlgn val="ctr"/>
        <c:lblOffset val="100"/>
        <c:noMultiLvlLbl val="0"/>
      </c:catAx>
      <c:valAx>
        <c:axId val="5861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2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Sheet1!$F$84:$F$84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Sheet1!$G$84:$G$84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C-4E86-9E26-2C52A7C67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717535"/>
        <c:axId val="3137158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Sheet1!$F$84:$F$84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Sheet1!$H$84:$H$84</c:f>
              <c:numCache>
                <c:formatCode>0.00%</c:formatCode>
                <c:ptCount val="1"/>
                <c:pt idx="0">
                  <c:v>6.7114093959731542E-3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C-4E86-9E26-2C52A7C67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704223"/>
        <c:axId val="313713791"/>
      </c:lineChart>
      <c:catAx>
        <c:axId val="31371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5871"/>
        <c:crosses val="autoZero"/>
        <c:auto val="1"/>
        <c:lblAlgn val="ctr"/>
        <c:lblOffset val="100"/>
        <c:noMultiLvlLbl val="0"/>
      </c:catAx>
      <c:valAx>
        <c:axId val="3137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7535"/>
        <c:crosses val="autoZero"/>
        <c:crossBetween val="between"/>
      </c:valAx>
      <c:valAx>
        <c:axId val="3137137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04223"/>
        <c:crosses val="max"/>
        <c:crossBetween val="between"/>
      </c:valAx>
      <c:catAx>
        <c:axId val="3137042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37137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[m]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Sheet1!$F$86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Sheet1!$G$86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4-4D6F-B07D-D98A8A93F28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Sheet1!$F$86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Sheet1!$H$86</c:f>
              <c:numCache>
                <c:formatCode>0.00%</c:formatCode>
                <c:ptCount val="1"/>
                <c:pt idx="0">
                  <c:v>4.9504950495049506E-3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4-4D6F-B07D-D98A8A93F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079983"/>
        <c:axId val="505080399"/>
      </c:barChart>
      <c:catAx>
        <c:axId val="5050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80399"/>
        <c:crosses val="autoZero"/>
        <c:auto val="1"/>
        <c:lblAlgn val="ctr"/>
        <c:lblOffset val="100"/>
        <c:noMultiLvlLbl val="0"/>
      </c:catAx>
      <c:valAx>
        <c:axId val="5050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79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Sheet1!$F$88:$F$91</c:f>
              <c:strCache>
                <c:ptCount val="4"/>
                <c:pt idx="0">
                  <c:v>[pʰ]</c:v>
                </c:pt>
                <c:pt idx="1">
                  <c:v>[p]</c:v>
                </c:pt>
                <c:pt idx="2">
                  <c:v>[t]</c:v>
                </c:pt>
                <c:pt idx="3">
                  <c:v>[-]</c:v>
                </c:pt>
              </c:strCache>
            </c:strRef>
          </c:cat>
          <c:val>
            <c:numRef>
              <c:f>Sheet1!$G$88:$G$91</c:f>
              <c:numCache>
                <c:formatCode>General</c:formatCode>
                <c:ptCount val="4"/>
                <c:pt idx="0">
                  <c:v>21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1-4F53-9987-35975DB23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204287"/>
        <c:axId val="31220553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Sheet1!$F$88:$F$91</c:f>
              <c:strCache>
                <c:ptCount val="4"/>
                <c:pt idx="0">
                  <c:v>[pʰ]</c:v>
                </c:pt>
                <c:pt idx="1">
                  <c:v>[p]</c:v>
                </c:pt>
                <c:pt idx="2">
                  <c:v>[t]</c:v>
                </c:pt>
                <c:pt idx="3">
                  <c:v>[-]</c:v>
                </c:pt>
              </c:strCache>
            </c:strRef>
          </c:cat>
          <c:val>
            <c:numRef>
              <c:f>Sheet1!$H$88:$H$91</c:f>
              <c:numCache>
                <c:formatCode>0.00%</c:formatCode>
                <c:ptCount val="4"/>
                <c:pt idx="0">
                  <c:v>0.12574850299401197</c:v>
                </c:pt>
                <c:pt idx="1">
                  <c:v>2.3952095808383235E-2</c:v>
                </c:pt>
                <c:pt idx="2">
                  <c:v>5.9880239520958087E-3</c:v>
                </c:pt>
                <c:pt idx="3">
                  <c:v>5.9880239520958087E-3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1-4F53-9987-35975DB23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518815"/>
        <c:axId val="312200543"/>
      </c:lineChart>
      <c:catAx>
        <c:axId val="3122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05535"/>
        <c:crosses val="autoZero"/>
        <c:auto val="1"/>
        <c:lblAlgn val="ctr"/>
        <c:lblOffset val="100"/>
        <c:noMultiLvlLbl val="0"/>
      </c:catAx>
      <c:valAx>
        <c:axId val="3122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04287"/>
        <c:crosses val="autoZero"/>
        <c:crossBetween val="between"/>
      </c:valAx>
      <c:valAx>
        <c:axId val="3122005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18815"/>
        <c:crosses val="max"/>
        <c:crossBetween val="between"/>
      </c:valAx>
      <c:catAx>
        <c:axId val="322518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22005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>
        <c:manualLayout>
          <c:xMode val="edge"/>
          <c:yMode val="edge"/>
          <c:x val="0.40949300087489071"/>
          <c:y val="5.2173913043478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Sheet1!$F$93:$F$94</c:f>
              <c:strCache>
                <c:ptCount val="2"/>
                <c:pt idx="0">
                  <c:v>[zˤ]</c:v>
                </c:pt>
                <c:pt idx="1">
                  <c:v>[t]</c:v>
                </c:pt>
              </c:strCache>
            </c:strRef>
          </c:cat>
          <c:val>
            <c:numRef>
              <c:f>Sheet1!$G$93:$G$94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6-47CC-9513-B8DEE238F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712879"/>
        <c:axId val="623715375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BF-443E-BE8F-DEDAD24292B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B6-47CC-9513-B8DEE238F3E0}"/>
              </c:ext>
            </c:extLst>
          </c:dPt>
          <c:cat>
            <c:strRef>
              <c:f>Sheet1!$F$93:$F$94</c:f>
              <c:strCache>
                <c:ptCount val="2"/>
                <c:pt idx="0">
                  <c:v>[zˤ]</c:v>
                </c:pt>
                <c:pt idx="1">
                  <c:v>[t]</c:v>
                </c:pt>
              </c:strCache>
            </c:strRef>
          </c:cat>
          <c:val>
            <c:numRef>
              <c:f>Sheet1!$H$93:$H$94</c:f>
              <c:numCache>
                <c:formatCode>0.00%</c:formatCode>
                <c:ptCount val="2"/>
                <c:pt idx="0">
                  <c:v>5.7692307692307696E-2</c:v>
                </c:pt>
                <c:pt idx="1">
                  <c:v>1.9230769230769232E-2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B6-47CC-9513-B8DEE238F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714959"/>
        <c:axId val="623714543"/>
      </c:lineChart>
      <c:catAx>
        <c:axId val="6237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15375"/>
        <c:crosses val="autoZero"/>
        <c:auto val="1"/>
        <c:lblAlgn val="ctr"/>
        <c:lblOffset val="100"/>
        <c:noMultiLvlLbl val="0"/>
      </c:catAx>
      <c:valAx>
        <c:axId val="62371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12879"/>
        <c:crosses val="autoZero"/>
        <c:crossBetween val="between"/>
      </c:valAx>
      <c:valAx>
        <c:axId val="6237145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14959"/>
        <c:crosses val="max"/>
        <c:crossBetween val="between"/>
      </c:valAx>
      <c:catAx>
        <c:axId val="62371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37145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Sheet1!$F$96:$F$99</c:f>
              <c:strCache>
                <c:ptCount val="4"/>
                <c:pt idx="0">
                  <c:v>[tʰ]</c:v>
                </c:pt>
                <c:pt idx="1">
                  <c:v>[tˤ]</c:v>
                </c:pt>
                <c:pt idx="2">
                  <c:v>[tˤ]</c:v>
                </c:pt>
                <c:pt idx="3">
                  <c:v>[f]</c:v>
                </c:pt>
              </c:strCache>
            </c:strRef>
          </c:cat>
          <c:val>
            <c:numRef>
              <c:f>Sheet1!$G$96:$G$99</c:f>
              <c:numCache>
                <c:formatCode>General</c:formatCode>
                <c:ptCount val="4"/>
                <c:pt idx="0">
                  <c:v>65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7-4516-82FC-BDEF69DA4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203871"/>
        <c:axId val="3122026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Sheet1!$F$96:$F$99</c:f>
              <c:strCache>
                <c:ptCount val="4"/>
                <c:pt idx="0">
                  <c:v>[tʰ]</c:v>
                </c:pt>
                <c:pt idx="1">
                  <c:v>[tˤ]</c:v>
                </c:pt>
                <c:pt idx="2">
                  <c:v>[tˤ]</c:v>
                </c:pt>
                <c:pt idx="3">
                  <c:v>[f]</c:v>
                </c:pt>
              </c:strCache>
            </c:strRef>
          </c:cat>
          <c:val>
            <c:numRef>
              <c:f>Sheet1!$H$96:$H$99</c:f>
              <c:numCache>
                <c:formatCode>0.00%</c:formatCode>
                <c:ptCount val="4"/>
                <c:pt idx="0">
                  <c:v>0.43624161073825501</c:v>
                </c:pt>
                <c:pt idx="1">
                  <c:v>4.0268456375838924E-2</c:v>
                </c:pt>
                <c:pt idx="2">
                  <c:v>1.3422818791946308E-2</c:v>
                </c:pt>
                <c:pt idx="3">
                  <c:v>6.7114093959731542E-3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7-4516-82FC-BDEF69DA4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858287"/>
        <c:axId val="373862031"/>
      </c:lineChart>
      <c:catAx>
        <c:axId val="3122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02623"/>
        <c:crosses val="autoZero"/>
        <c:auto val="1"/>
        <c:lblAlgn val="ctr"/>
        <c:lblOffset val="100"/>
        <c:noMultiLvlLbl val="0"/>
      </c:catAx>
      <c:valAx>
        <c:axId val="31220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03871"/>
        <c:crosses val="autoZero"/>
        <c:crossBetween val="between"/>
      </c:valAx>
      <c:valAx>
        <c:axId val="37386203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58287"/>
        <c:crosses val="max"/>
        <c:crossBetween val="between"/>
      </c:valAx>
      <c:catAx>
        <c:axId val="373858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3862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Sheet1!$F$101:$F$104</c:f>
              <c:strCache>
                <c:ptCount val="4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[dˤ]</c:v>
                </c:pt>
              </c:strCache>
            </c:strRef>
          </c:cat>
          <c:val>
            <c:numRef>
              <c:f>Sheet1!$G$101:$G$104</c:f>
              <c:numCache>
                <c:formatCode>General</c:formatCode>
                <c:ptCount val="4"/>
                <c:pt idx="0">
                  <c:v>42</c:v>
                </c:pt>
                <c:pt idx="1">
                  <c:v>27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C-4C9B-B167-50754545C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715455"/>
        <c:axId val="31370963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Sheet1!$F$101:$F$104</c:f>
              <c:strCache>
                <c:ptCount val="4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[dˤ]</c:v>
                </c:pt>
              </c:strCache>
            </c:strRef>
          </c:cat>
          <c:val>
            <c:numRef>
              <c:f>Sheet1!$H$101:$H$104</c:f>
              <c:numCache>
                <c:formatCode>0.00%</c:formatCode>
                <c:ptCount val="4"/>
                <c:pt idx="0">
                  <c:v>0.31343283582089554</c:v>
                </c:pt>
                <c:pt idx="1">
                  <c:v>0.20149253731343283</c:v>
                </c:pt>
                <c:pt idx="2">
                  <c:v>2.2388059701492536E-2</c:v>
                </c:pt>
                <c:pt idx="3">
                  <c:v>1.4925373134328358E-2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C-4C9B-B167-50754545C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090031"/>
        <c:axId val="498085039"/>
      </c:lineChart>
      <c:catAx>
        <c:axId val="31371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09631"/>
        <c:crosses val="autoZero"/>
        <c:auto val="1"/>
        <c:lblAlgn val="ctr"/>
        <c:lblOffset val="100"/>
        <c:noMultiLvlLbl val="0"/>
      </c:catAx>
      <c:valAx>
        <c:axId val="3137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15455"/>
        <c:crosses val="autoZero"/>
        <c:crossBetween val="between"/>
      </c:valAx>
      <c:valAx>
        <c:axId val="4980850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90031"/>
        <c:crosses val="max"/>
        <c:crossBetween val="between"/>
      </c:valAx>
      <c:catAx>
        <c:axId val="498090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80850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Sheet1!$F$106:$F$111</c:f>
              <c:strCache>
                <c:ptCount val="6"/>
                <c:pt idx="0">
                  <c:v>[tˤ]</c:v>
                </c:pt>
                <c:pt idx="1">
                  <c:v>[t]</c:v>
                </c:pt>
                <c:pt idx="2">
                  <c:v>[d]</c:v>
                </c:pt>
                <c:pt idx="3">
                  <c:v>[z]</c:v>
                </c:pt>
                <c:pt idx="4">
                  <c:v>[sˤ]</c:v>
                </c:pt>
                <c:pt idx="5">
                  <c:v>[l]</c:v>
                </c:pt>
              </c:strCache>
            </c:strRef>
          </c:cat>
          <c:val>
            <c:numRef>
              <c:f>Sheet1!$G$106:$G$111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9-441B-A7A0-527CE16A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836479"/>
        <c:axId val="36283523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Sheet1!$F$106:$F$111</c:f>
              <c:strCache>
                <c:ptCount val="6"/>
                <c:pt idx="0">
                  <c:v>[tˤ]</c:v>
                </c:pt>
                <c:pt idx="1">
                  <c:v>[t]</c:v>
                </c:pt>
                <c:pt idx="2">
                  <c:v>[d]</c:v>
                </c:pt>
                <c:pt idx="3">
                  <c:v>[z]</c:v>
                </c:pt>
                <c:pt idx="4">
                  <c:v>[sˤ]</c:v>
                </c:pt>
                <c:pt idx="5">
                  <c:v>[l]</c:v>
                </c:pt>
              </c:strCache>
            </c:strRef>
          </c:cat>
          <c:val>
            <c:numRef>
              <c:f>Sheet1!$H$106:$H$111</c:f>
              <c:numCache>
                <c:formatCode>0.00%</c:formatCode>
                <c:ptCount val="6"/>
                <c:pt idx="0">
                  <c:v>0.3</c:v>
                </c:pt>
                <c:pt idx="1">
                  <c:v>0.2</c:v>
                </c:pt>
                <c:pt idx="2">
                  <c:v>0.16666666666666666</c:v>
                </c:pt>
                <c:pt idx="3">
                  <c:v>3.3333333333333333E-2</c:v>
                </c:pt>
                <c:pt idx="4">
                  <c:v>3.3333333333333333E-2</c:v>
                </c:pt>
                <c:pt idx="5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29-441B-A7A0-527CE16A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748895"/>
        <c:axId val="362836895"/>
      </c:lineChart>
      <c:catAx>
        <c:axId val="36283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35231"/>
        <c:crosses val="autoZero"/>
        <c:auto val="1"/>
        <c:lblAlgn val="ctr"/>
        <c:lblOffset val="100"/>
        <c:noMultiLvlLbl val="0"/>
      </c:catAx>
      <c:valAx>
        <c:axId val="3628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36479"/>
        <c:crosses val="autoZero"/>
        <c:crossBetween val="between"/>
      </c:valAx>
      <c:valAx>
        <c:axId val="36283689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8895"/>
        <c:crosses val="max"/>
        <c:crossBetween val="between"/>
      </c:valAx>
      <c:catAx>
        <c:axId val="320748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283689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Sheet1!$F$114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Sheet1!$G$114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1-4142-A981-02DCC8F253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Sheet1!$F$114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Sheet1!$H$114</c:f>
              <c:numCache>
                <c:formatCode>0.00%</c:formatCode>
                <c:ptCount val="1"/>
                <c:pt idx="0">
                  <c:v>9.8039215686274508E-3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1-4142-A981-02DCC8F25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713711"/>
        <c:axId val="623709551"/>
      </c:barChart>
      <c:catAx>
        <c:axId val="62371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09551"/>
        <c:crosses val="autoZero"/>
        <c:auto val="1"/>
        <c:lblAlgn val="ctr"/>
        <c:lblOffset val="100"/>
        <c:noMultiLvlLbl val="0"/>
      </c:catAx>
      <c:valAx>
        <c:axId val="6237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13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straucture processe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Sheet2!$C$2:$C$27</c:f>
              <c:strCache>
                <c:ptCount val="26"/>
                <c:pt idx="0">
                  <c:v>degemination(reduce consonant cluster to one single consonant)</c:v>
                </c:pt>
                <c:pt idx="1">
                  <c:v>Epenthesis(insert diphthong [æj] between  consnant cluster)</c:v>
                </c:pt>
                <c:pt idx="2">
                  <c:v>Epenthesis(insert diphthong [i:] between  consnant cluster)</c:v>
                </c:pt>
                <c:pt idx="3">
                  <c:v>Epenthesis(insert vowel [ʊ]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Vowel  nasalization</c:v>
                </c:pt>
                <c:pt idx="8">
                  <c:v>Glottalization(insertion of  [ʔ] phone)</c:v>
                </c:pt>
                <c:pt idx="9">
                  <c:v>syllable structure process (consonant insertion of  [j] phone)</c:v>
                </c:pt>
                <c:pt idx="10">
                  <c:v>syllable structure process (final syllable deletion)</c:v>
                </c:pt>
                <c:pt idx="11">
                  <c:v>syllable structure process (consonant insertion of  [ɻ] phone)</c:v>
                </c:pt>
                <c:pt idx="12">
                  <c:v>Metathesis</c:v>
                </c:pt>
                <c:pt idx="13">
                  <c:v>Monophthongization </c:v>
                </c:pt>
                <c:pt idx="14">
                  <c:v>Reduplication</c:v>
                </c:pt>
                <c:pt idx="15">
                  <c:v>Vowelization</c:v>
                </c:pt>
                <c:pt idx="16">
                  <c:v>Diphthongization</c:v>
                </c:pt>
                <c:pt idx="17">
                  <c:v>final consonant deletion</c:v>
                </c:pt>
                <c:pt idx="18">
                  <c:v>germination</c:v>
                </c:pt>
                <c:pt idx="19">
                  <c:v>syllable structure process (first syllable deletion) </c:v>
                </c:pt>
                <c:pt idx="20">
                  <c:v>syllable structure process (weak syllable deletion)</c:v>
                </c:pt>
                <c:pt idx="21">
                  <c:v>syllable structure process (consonant insertion of  [n] phone)</c:v>
                </c:pt>
                <c:pt idx="22">
                  <c:v>syllable structure process (consonant insertion of  [m] phone)</c:v>
                </c:pt>
                <c:pt idx="23">
                  <c:v>syllable structure process (consonant insertion of  [l] phone)</c:v>
                </c:pt>
                <c:pt idx="24">
                  <c:v>syllable structure process (consonant insertion of  [h] phone)</c:v>
                </c:pt>
                <c:pt idx="25">
                  <c:v>syllable structure process (consonant insertion of  [t] phone)</c:v>
                </c:pt>
              </c:strCache>
            </c:strRef>
          </c:cat>
          <c:val>
            <c:numRef>
              <c:f>Sheet2!$D$2:$D$27</c:f>
              <c:numCache>
                <c:formatCode>General</c:formatCode>
                <c:ptCount val="26"/>
                <c:pt idx="0">
                  <c:v>45</c:v>
                </c:pt>
                <c:pt idx="1">
                  <c:v>1</c:v>
                </c:pt>
                <c:pt idx="2">
                  <c:v>7</c:v>
                </c:pt>
                <c:pt idx="3">
                  <c:v>3</c:v>
                </c:pt>
                <c:pt idx="4">
                  <c:v>20</c:v>
                </c:pt>
                <c:pt idx="5">
                  <c:v>42</c:v>
                </c:pt>
                <c:pt idx="6">
                  <c:v>16</c:v>
                </c:pt>
                <c:pt idx="7">
                  <c:v>29</c:v>
                </c:pt>
                <c:pt idx="8">
                  <c:v>14</c:v>
                </c:pt>
                <c:pt idx="9">
                  <c:v>14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6</c:v>
                </c:pt>
                <c:pt idx="17">
                  <c:v>5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6-4917-92E0-E9C3F2CA5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943808"/>
        <c:axId val="1585955456"/>
      </c:barChart>
      <c:lineChart>
        <c:grouping val="standard"/>
        <c:varyColors val="0"/>
        <c:ser>
          <c:idx val="1"/>
          <c:order val="1"/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991F-43B2-8272-BF9A07EB6422}"/>
              </c:ext>
            </c:extLst>
          </c:dPt>
          <c:cat>
            <c:strRef>
              <c:f>Sheet2!$C$2:$C$27</c:f>
              <c:strCache>
                <c:ptCount val="26"/>
                <c:pt idx="0">
                  <c:v>degemination(reduce consonant cluster to one single consonant)</c:v>
                </c:pt>
                <c:pt idx="1">
                  <c:v>Epenthesis(insert diphthong [æj] between  consnant cluster)</c:v>
                </c:pt>
                <c:pt idx="2">
                  <c:v>Epenthesis(insert diphthong [i:] between  consnant cluster)</c:v>
                </c:pt>
                <c:pt idx="3">
                  <c:v>Epenthesis(insert vowel [ʊ]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Vowel  nasalization</c:v>
                </c:pt>
                <c:pt idx="8">
                  <c:v>Glottalization(insertion of  [ʔ] phone)</c:v>
                </c:pt>
                <c:pt idx="9">
                  <c:v>syllable structure process (consonant insertion of  [j] phone)</c:v>
                </c:pt>
                <c:pt idx="10">
                  <c:v>syllable structure process (final syllable deletion)</c:v>
                </c:pt>
                <c:pt idx="11">
                  <c:v>syllable structure process (consonant insertion of  [ɻ] phone)</c:v>
                </c:pt>
                <c:pt idx="12">
                  <c:v>Metathesis</c:v>
                </c:pt>
                <c:pt idx="13">
                  <c:v>Monophthongization </c:v>
                </c:pt>
                <c:pt idx="14">
                  <c:v>Reduplication</c:v>
                </c:pt>
                <c:pt idx="15">
                  <c:v>Vowelization</c:v>
                </c:pt>
                <c:pt idx="16">
                  <c:v>Diphthongization</c:v>
                </c:pt>
                <c:pt idx="17">
                  <c:v>final consonant deletion</c:v>
                </c:pt>
                <c:pt idx="18">
                  <c:v>germination</c:v>
                </c:pt>
                <c:pt idx="19">
                  <c:v>syllable structure process (first syllable deletion) </c:v>
                </c:pt>
                <c:pt idx="20">
                  <c:v>syllable structure process (weak syllable deletion)</c:v>
                </c:pt>
                <c:pt idx="21">
                  <c:v>syllable structure process (consonant insertion of  [n] phone)</c:v>
                </c:pt>
                <c:pt idx="22">
                  <c:v>syllable structure process (consonant insertion of  [m] phone)</c:v>
                </c:pt>
                <c:pt idx="23">
                  <c:v>syllable structure process (consonant insertion of  [l] phone)</c:v>
                </c:pt>
                <c:pt idx="24">
                  <c:v>syllable structure process (consonant insertion of  [h] phone)</c:v>
                </c:pt>
                <c:pt idx="25">
                  <c:v>syllable structure process (consonant insertion of  [t] phone)</c:v>
                </c:pt>
              </c:strCache>
            </c:strRef>
          </c:cat>
          <c:val>
            <c:numRef>
              <c:f>Sheet2!$E$2:$E$27</c:f>
              <c:numCache>
                <c:formatCode>0.00%</c:formatCode>
                <c:ptCount val="26"/>
                <c:pt idx="0">
                  <c:v>0.569620253164557</c:v>
                </c:pt>
                <c:pt idx="1">
                  <c:v>4.11522633744856E-3</c:v>
                </c:pt>
                <c:pt idx="2">
                  <c:v>2.8806584362139918E-2</c:v>
                </c:pt>
                <c:pt idx="3">
                  <c:v>1.2345679012345678E-2</c:v>
                </c:pt>
                <c:pt idx="4">
                  <c:v>8.2304526748971193E-2</c:v>
                </c:pt>
                <c:pt idx="5">
                  <c:v>0.1728395061728395</c:v>
                </c:pt>
                <c:pt idx="6">
                  <c:v>6.584362139917696E-2</c:v>
                </c:pt>
                <c:pt idx="17">
                  <c:v>1.2048192771084338E-2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6-4917-92E0-E9C3F2CA5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944640"/>
        <c:axId val="1585945056"/>
      </c:lineChart>
      <c:catAx>
        <c:axId val="15859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55456"/>
        <c:crosses val="autoZero"/>
        <c:auto val="1"/>
        <c:lblAlgn val="ctr"/>
        <c:lblOffset val="100"/>
        <c:noMultiLvlLbl val="0"/>
      </c:catAx>
      <c:valAx>
        <c:axId val="15859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43808"/>
        <c:crosses val="autoZero"/>
        <c:crossBetween val="between"/>
      </c:valAx>
      <c:valAx>
        <c:axId val="1585945056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585944640"/>
        <c:crosses val="max"/>
        <c:crossBetween val="between"/>
      </c:valAx>
      <c:catAx>
        <c:axId val="1585944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594505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Sheet3!$C$2:$C$19</c:f>
              <c:strCache>
                <c:ptCount val="18"/>
                <c:pt idx="0">
                  <c:v>replace the Modern Standard Arabic consonant [ð]with the colloquial arabic consonant [z]</c:v>
                </c:pt>
                <c:pt idx="1">
                  <c:v>replace the Modern Standard Arabic consonant [d͡ʒ]with the colloquial arabic consonant [g]</c:v>
                </c:pt>
                <c:pt idx="2">
                  <c:v>replace the Modern Standard Arabic diphthong [æw]with the colloquial arabic vowel[o:]</c:v>
                </c:pt>
                <c:pt idx="3">
                  <c:v>consonant deletion  of [ʔ] phone affected by colloquial Arabic</c:v>
                </c:pt>
                <c:pt idx="4">
                  <c:v>replace the Modern Standard Arabic diphthong [æj]with the colloquial arabic vowel[e:]</c:v>
                </c:pt>
                <c:pt idx="5">
                  <c:v>replace  [j]with  [i:] affected by colloquial Arabic</c:v>
                </c:pt>
                <c:pt idx="6">
                  <c:v>Deletion of feminine marker</c:v>
                </c:pt>
                <c:pt idx="7">
                  <c:v>misreading</c:v>
                </c:pt>
                <c:pt idx="8">
                  <c:v>replace the Modern Standard Arabic consonant [q]with the colloquial arabic consonant [ʔ]</c:v>
                </c:pt>
                <c:pt idx="9">
                  <c:v>replace the Modern Standard Arabic consonant [ðˤ]with the colloquial arabic consonant [zˤ]</c:v>
                </c:pt>
                <c:pt idx="10">
                  <c:v>replace  [i:]with  [jj] affected by colloquial arabic</c:v>
                </c:pt>
                <c:pt idx="11">
                  <c:v>replace the Modern Standard Arabic diphthong [æw]with the colloquial arabic vowel[u:]</c:v>
                </c:pt>
                <c:pt idx="12">
                  <c:v>replace the Modern Standard Arabic consonant [θ]with the colloquial arabic consonant [s]</c:v>
                </c:pt>
                <c:pt idx="13">
                  <c:v>consonant insertion of  [h] phone in final position</c:v>
                </c:pt>
                <c:pt idx="14">
                  <c:v>replace feminine with masculine</c:v>
                </c:pt>
                <c:pt idx="15">
                  <c:v>replace plural noun with singular noun</c:v>
                </c:pt>
                <c:pt idx="16">
                  <c:v>consonant deletion  of [l] phone affected by colloquial arabic</c:v>
                </c:pt>
                <c:pt idx="17">
                  <c:v>Definite Article deletion</c:v>
                </c:pt>
              </c:strCache>
            </c:strRef>
          </c:cat>
          <c:val>
            <c:numRef>
              <c:f>Sheet3!$D$2:$D$19</c:f>
              <c:numCache>
                <c:formatCode>General</c:formatCode>
                <c:ptCount val="18"/>
                <c:pt idx="0">
                  <c:v>22</c:v>
                </c:pt>
                <c:pt idx="1">
                  <c:v>18</c:v>
                </c:pt>
                <c:pt idx="2">
                  <c:v>11</c:v>
                </c:pt>
                <c:pt idx="3">
                  <c:v>10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8-4008-A1F2-83D4E3A23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191648"/>
        <c:axId val="151118582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Sheet3!$C$2:$C$19</c:f>
              <c:strCache>
                <c:ptCount val="18"/>
                <c:pt idx="0">
                  <c:v>replace the Modern Standard Arabic consonant [ð]with the colloquial arabic consonant [z]</c:v>
                </c:pt>
                <c:pt idx="1">
                  <c:v>replace the Modern Standard Arabic consonant [d͡ʒ]with the colloquial arabic consonant [g]</c:v>
                </c:pt>
                <c:pt idx="2">
                  <c:v>replace the Modern Standard Arabic diphthong [æw]with the colloquial arabic vowel[o:]</c:v>
                </c:pt>
                <c:pt idx="3">
                  <c:v>consonant deletion  of [ʔ] phone affected by colloquial Arabic</c:v>
                </c:pt>
                <c:pt idx="4">
                  <c:v>replace the Modern Standard Arabic diphthong [æj]with the colloquial arabic vowel[e:]</c:v>
                </c:pt>
                <c:pt idx="5">
                  <c:v>replace  [j]with  [i:] affected by colloquial Arabic</c:v>
                </c:pt>
                <c:pt idx="6">
                  <c:v>Deletion of feminine marker</c:v>
                </c:pt>
                <c:pt idx="7">
                  <c:v>misreading</c:v>
                </c:pt>
                <c:pt idx="8">
                  <c:v>replace the Modern Standard Arabic consonant [q]with the colloquial arabic consonant [ʔ]</c:v>
                </c:pt>
                <c:pt idx="9">
                  <c:v>replace the Modern Standard Arabic consonant [ðˤ]with the colloquial arabic consonant [zˤ]</c:v>
                </c:pt>
                <c:pt idx="10">
                  <c:v>replace  [i:]with  [jj] affected by colloquial arabic</c:v>
                </c:pt>
                <c:pt idx="11">
                  <c:v>replace the Modern Standard Arabic diphthong [æw]with the colloquial arabic vowel[u:]</c:v>
                </c:pt>
                <c:pt idx="12">
                  <c:v>replace the Modern Standard Arabic consonant [θ]with the colloquial arabic consonant [s]</c:v>
                </c:pt>
                <c:pt idx="13">
                  <c:v>consonant insertion of  [h] phone in final position</c:v>
                </c:pt>
                <c:pt idx="14">
                  <c:v>replace feminine with masculine</c:v>
                </c:pt>
                <c:pt idx="15">
                  <c:v>replace plural noun with singular noun</c:v>
                </c:pt>
                <c:pt idx="16">
                  <c:v>consonant deletion  of [l] phone affected by colloquial arabic</c:v>
                </c:pt>
                <c:pt idx="17">
                  <c:v>Definite Article deletion</c:v>
                </c:pt>
              </c:strCache>
            </c:strRef>
          </c:cat>
          <c:val>
            <c:numRef>
              <c:f>Sheet3!$E$2:$E$19</c:f>
              <c:numCache>
                <c:formatCode>0.00%</c:formatCode>
                <c:ptCount val="18"/>
                <c:pt idx="2">
                  <c:v>0.3235294117647059</c:v>
                </c:pt>
                <c:pt idx="4">
                  <c:v>0.23076923076923078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8-4008-A1F2-83D4E3A23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186656"/>
        <c:axId val="1511186240"/>
      </c:lineChart>
      <c:catAx>
        <c:axId val="151119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85824"/>
        <c:crosses val="autoZero"/>
        <c:auto val="1"/>
        <c:lblAlgn val="ctr"/>
        <c:lblOffset val="100"/>
        <c:noMultiLvlLbl val="0"/>
      </c:catAx>
      <c:valAx>
        <c:axId val="15111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91648"/>
        <c:crosses val="autoZero"/>
        <c:crossBetween val="between"/>
      </c:valAx>
      <c:valAx>
        <c:axId val="1511186240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511186656"/>
        <c:crosses val="max"/>
        <c:crossBetween val="between"/>
      </c:valAx>
      <c:catAx>
        <c:axId val="1511186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11862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0</xdr:rowOff>
    </xdr:from>
    <xdr:to>
      <xdr:col>15</xdr:col>
      <xdr:colOff>373380</xdr:colOff>
      <xdr:row>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8</xdr:row>
      <xdr:rowOff>0</xdr:rowOff>
    </xdr:from>
    <xdr:to>
      <xdr:col>16</xdr:col>
      <xdr:colOff>38100</xdr:colOff>
      <xdr:row>13</xdr:row>
      <xdr:rowOff>754380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17</xdr:row>
      <xdr:rowOff>15240</xdr:rowOff>
    </xdr:from>
    <xdr:to>
      <xdr:col>16</xdr:col>
      <xdr:colOff>0</xdr:colOff>
      <xdr:row>20</xdr:row>
      <xdr:rowOff>746760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</xdr:colOff>
      <xdr:row>22</xdr:row>
      <xdr:rowOff>22860</xdr:rowOff>
    </xdr:from>
    <xdr:to>
      <xdr:col>15</xdr:col>
      <xdr:colOff>586740</xdr:colOff>
      <xdr:row>25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76200</xdr:colOff>
      <xdr:row>27</xdr:row>
      <xdr:rowOff>22860</xdr:rowOff>
    </xdr:from>
    <xdr:to>
      <xdr:col>15</xdr:col>
      <xdr:colOff>510540</xdr:colOff>
      <xdr:row>31</xdr:row>
      <xdr:rowOff>739140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22860</xdr:colOff>
      <xdr:row>33</xdr:row>
      <xdr:rowOff>7620</xdr:rowOff>
    </xdr:from>
    <xdr:to>
      <xdr:col>15</xdr:col>
      <xdr:colOff>327660</xdr:colOff>
      <xdr:row>34</xdr:row>
      <xdr:rowOff>1409700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36</xdr:row>
      <xdr:rowOff>7620</xdr:rowOff>
    </xdr:from>
    <xdr:to>
      <xdr:col>15</xdr:col>
      <xdr:colOff>289560</xdr:colOff>
      <xdr:row>36</xdr:row>
      <xdr:rowOff>1577340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53340</xdr:colOff>
      <xdr:row>14</xdr:row>
      <xdr:rowOff>754380</xdr:rowOff>
    </xdr:from>
    <xdr:to>
      <xdr:col>15</xdr:col>
      <xdr:colOff>594360</xdr:colOff>
      <xdr:row>15</xdr:row>
      <xdr:rowOff>1905000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15</xdr:col>
      <xdr:colOff>297180</xdr:colOff>
      <xdr:row>47</xdr:row>
      <xdr:rowOff>22860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22860</xdr:colOff>
      <xdr:row>48</xdr:row>
      <xdr:rowOff>41910</xdr:rowOff>
    </xdr:from>
    <xdr:to>
      <xdr:col>15</xdr:col>
      <xdr:colOff>464820</xdr:colOff>
      <xdr:row>50</xdr:row>
      <xdr:rowOff>731520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22860</xdr:colOff>
      <xdr:row>52</xdr:row>
      <xdr:rowOff>0</xdr:rowOff>
    </xdr:from>
    <xdr:to>
      <xdr:col>15</xdr:col>
      <xdr:colOff>327660</xdr:colOff>
      <xdr:row>54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30480</xdr:colOff>
      <xdr:row>55</xdr:row>
      <xdr:rowOff>0</xdr:rowOff>
    </xdr:from>
    <xdr:to>
      <xdr:col>15</xdr:col>
      <xdr:colOff>563880</xdr:colOff>
      <xdr:row>58</xdr:row>
      <xdr:rowOff>708660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38100</xdr:colOff>
      <xdr:row>60</xdr:row>
      <xdr:rowOff>7620</xdr:rowOff>
    </xdr:from>
    <xdr:to>
      <xdr:col>16</xdr:col>
      <xdr:colOff>15240</xdr:colOff>
      <xdr:row>64</xdr:row>
      <xdr:rowOff>723900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53340</xdr:colOff>
      <xdr:row>65</xdr:row>
      <xdr:rowOff>708660</xdr:rowOff>
    </xdr:from>
    <xdr:to>
      <xdr:col>15</xdr:col>
      <xdr:colOff>594360</xdr:colOff>
      <xdr:row>68</xdr:row>
      <xdr:rowOff>746760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53340</xdr:colOff>
      <xdr:row>70</xdr:row>
      <xdr:rowOff>22860</xdr:rowOff>
    </xdr:from>
    <xdr:to>
      <xdr:col>16</xdr:col>
      <xdr:colOff>45720</xdr:colOff>
      <xdr:row>73</xdr:row>
      <xdr:rowOff>723900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38100</xdr:colOff>
      <xdr:row>74</xdr:row>
      <xdr:rowOff>746760</xdr:rowOff>
    </xdr:from>
    <xdr:to>
      <xdr:col>16</xdr:col>
      <xdr:colOff>0</xdr:colOff>
      <xdr:row>77</xdr:row>
      <xdr:rowOff>22860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7620</xdr:colOff>
      <xdr:row>78</xdr:row>
      <xdr:rowOff>0</xdr:rowOff>
    </xdr:from>
    <xdr:to>
      <xdr:col>15</xdr:col>
      <xdr:colOff>312420</xdr:colOff>
      <xdr:row>79</xdr:row>
      <xdr:rowOff>746760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7620</xdr:colOff>
      <xdr:row>81</xdr:row>
      <xdr:rowOff>38100</xdr:rowOff>
    </xdr:from>
    <xdr:to>
      <xdr:col>15</xdr:col>
      <xdr:colOff>312420</xdr:colOff>
      <xdr:row>81</xdr:row>
      <xdr:rowOff>1661160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15240</xdr:colOff>
      <xdr:row>83</xdr:row>
      <xdr:rowOff>0</xdr:rowOff>
    </xdr:from>
    <xdr:to>
      <xdr:col>15</xdr:col>
      <xdr:colOff>320040</xdr:colOff>
      <xdr:row>83</xdr:row>
      <xdr:rowOff>1874520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144780</xdr:colOff>
      <xdr:row>85</xdr:row>
      <xdr:rowOff>30480</xdr:rowOff>
    </xdr:from>
    <xdr:to>
      <xdr:col>15</xdr:col>
      <xdr:colOff>320040</xdr:colOff>
      <xdr:row>85</xdr:row>
      <xdr:rowOff>1874520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15240</xdr:colOff>
      <xdr:row>86</xdr:row>
      <xdr:rowOff>1897380</xdr:rowOff>
    </xdr:from>
    <xdr:to>
      <xdr:col>15</xdr:col>
      <xdr:colOff>320040</xdr:colOff>
      <xdr:row>90</xdr:row>
      <xdr:rowOff>716280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30480</xdr:colOff>
      <xdr:row>91</xdr:row>
      <xdr:rowOff>731520</xdr:rowOff>
    </xdr:from>
    <xdr:to>
      <xdr:col>15</xdr:col>
      <xdr:colOff>335280</xdr:colOff>
      <xdr:row>94</xdr:row>
      <xdr:rowOff>15240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30480</xdr:colOff>
      <xdr:row>95</xdr:row>
      <xdr:rowOff>41910</xdr:rowOff>
    </xdr:from>
    <xdr:to>
      <xdr:col>15</xdr:col>
      <xdr:colOff>335280</xdr:colOff>
      <xdr:row>98</xdr:row>
      <xdr:rowOff>739140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15240</xdr:colOff>
      <xdr:row>99</xdr:row>
      <xdr:rowOff>723900</xdr:rowOff>
    </xdr:from>
    <xdr:to>
      <xdr:col>15</xdr:col>
      <xdr:colOff>320040</xdr:colOff>
      <xdr:row>103</xdr:row>
      <xdr:rowOff>746760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45720</xdr:colOff>
      <xdr:row>104</xdr:row>
      <xdr:rowOff>731520</xdr:rowOff>
    </xdr:from>
    <xdr:to>
      <xdr:col>15</xdr:col>
      <xdr:colOff>434340</xdr:colOff>
      <xdr:row>110</xdr:row>
      <xdr:rowOff>754380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30480</xdr:colOff>
      <xdr:row>112</xdr:row>
      <xdr:rowOff>579120</xdr:rowOff>
    </xdr:from>
    <xdr:to>
      <xdr:col>15</xdr:col>
      <xdr:colOff>312420</xdr:colOff>
      <xdr:row>113</xdr:row>
      <xdr:rowOff>2301240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7620</xdr:rowOff>
    </xdr:from>
    <xdr:to>
      <xdr:col>25</xdr:col>
      <xdr:colOff>297180</xdr:colOff>
      <xdr:row>28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8</xdr:row>
      <xdr:rowOff>76200</xdr:rowOff>
    </xdr:from>
    <xdr:to>
      <xdr:col>26</xdr:col>
      <xdr:colOff>167640</xdr:colOff>
      <xdr:row>18</xdr:row>
      <xdr:rowOff>64770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5"/>
  <sheetViews>
    <sheetView tabSelected="1" topLeftCell="A76" zoomScale="85" zoomScaleNormal="85" workbookViewId="0">
      <selection activeCell="H71" sqref="H71"/>
    </sheetView>
  </sheetViews>
  <sheetFormatPr defaultRowHeight="60" customHeight="1" x14ac:dyDescent="0.3"/>
  <cols>
    <col min="2" max="2" width="11.21875" style="21" customWidth="1"/>
    <col min="3" max="3" width="7.109375" style="21" customWidth="1"/>
    <col min="4" max="4" width="6.33203125" style="20" customWidth="1"/>
    <col min="5" max="5" width="36.21875" style="26" customWidth="1"/>
    <col min="6" max="6" width="11.44140625" style="26" customWidth="1"/>
    <col min="7" max="7" width="8.21875" style="26" customWidth="1"/>
    <col min="8" max="8" width="9.44140625" style="48" customWidth="1"/>
    <col min="9" max="14" width="8.88671875" style="24"/>
  </cols>
  <sheetData>
    <row r="1" spans="1:14" s="19" customFormat="1" ht="60" customHeight="1" thickTop="1" thickBot="1" x14ac:dyDescent="0.45">
      <c r="A1" s="18"/>
      <c r="B1" s="52" t="s">
        <v>185</v>
      </c>
      <c r="C1" s="52" t="s">
        <v>186</v>
      </c>
      <c r="D1" s="53" t="s">
        <v>146</v>
      </c>
      <c r="E1" s="52" t="s">
        <v>147</v>
      </c>
      <c r="F1" s="52" t="s">
        <v>193</v>
      </c>
      <c r="G1" s="52" t="s">
        <v>187</v>
      </c>
      <c r="H1" s="54" t="s">
        <v>194</v>
      </c>
      <c r="I1" s="27"/>
      <c r="J1" s="27"/>
      <c r="K1" s="27"/>
      <c r="L1" s="27"/>
      <c r="M1" s="27"/>
      <c r="N1" s="27"/>
    </row>
    <row r="2" spans="1:14" ht="60" customHeight="1" thickTop="1" thickBot="1" x14ac:dyDescent="0.35">
      <c r="B2" s="167" t="s">
        <v>118</v>
      </c>
      <c r="C2" s="167">
        <v>224</v>
      </c>
      <c r="D2" s="169" t="s">
        <v>116</v>
      </c>
      <c r="E2" s="55" t="s">
        <v>159</v>
      </c>
      <c r="F2" s="55" t="s">
        <v>189</v>
      </c>
      <c r="G2" s="55">
        <v>159</v>
      </c>
      <c r="H2" s="56">
        <f>G2/224</f>
        <v>0.7098214285714286</v>
      </c>
    </row>
    <row r="3" spans="1:14" ht="60" customHeight="1" thickTop="1" thickBot="1" x14ac:dyDescent="0.35">
      <c r="B3" s="168"/>
      <c r="C3" s="168"/>
      <c r="D3" s="170"/>
      <c r="E3" s="57" t="s">
        <v>156</v>
      </c>
      <c r="F3" s="55" t="s">
        <v>190</v>
      </c>
      <c r="G3" s="55">
        <v>29</v>
      </c>
      <c r="H3" s="56">
        <f>G3/224</f>
        <v>0.12946428571428573</v>
      </c>
    </row>
    <row r="4" spans="1:14" ht="60" customHeight="1" thickTop="1" thickBot="1" x14ac:dyDescent="0.35">
      <c r="B4" s="168"/>
      <c r="C4" s="168"/>
      <c r="D4" s="170"/>
      <c r="E4" s="57" t="s">
        <v>11</v>
      </c>
      <c r="F4" s="55" t="s">
        <v>191</v>
      </c>
      <c r="G4" s="55">
        <v>13</v>
      </c>
      <c r="H4" s="56">
        <f t="shared" ref="H4:H7" si="0">G4/224</f>
        <v>5.8035714285714288E-2</v>
      </c>
    </row>
    <row r="5" spans="1:14" ht="60" customHeight="1" thickTop="1" thickBot="1" x14ac:dyDescent="0.35">
      <c r="B5" s="168"/>
      <c r="C5" s="168"/>
      <c r="D5" s="170"/>
      <c r="E5" s="55" t="s">
        <v>15</v>
      </c>
      <c r="F5" s="55" t="s">
        <v>192</v>
      </c>
      <c r="G5" s="55">
        <v>1</v>
      </c>
      <c r="H5" s="56">
        <f t="shared" si="0"/>
        <v>4.464285714285714E-3</v>
      </c>
    </row>
    <row r="6" spans="1:14" ht="60" customHeight="1" thickTop="1" thickBot="1" x14ac:dyDescent="0.35">
      <c r="B6" s="168"/>
      <c r="C6" s="168"/>
      <c r="D6" s="170"/>
      <c r="E6" s="55" t="s">
        <v>71</v>
      </c>
      <c r="F6" s="55" t="s">
        <v>222</v>
      </c>
      <c r="G6" s="58">
        <v>1</v>
      </c>
      <c r="H6" s="56">
        <f t="shared" si="0"/>
        <v>4.464285714285714E-3</v>
      </c>
      <c r="I6" s="157"/>
    </row>
    <row r="7" spans="1:14" ht="60" customHeight="1" thickTop="1" thickBot="1" x14ac:dyDescent="0.35">
      <c r="B7" s="168"/>
      <c r="C7" s="168"/>
      <c r="D7" s="170"/>
      <c r="E7" s="55" t="s">
        <v>183</v>
      </c>
      <c r="F7" s="55" t="s">
        <v>237</v>
      </c>
      <c r="G7" s="55">
        <v>1</v>
      </c>
      <c r="H7" s="56">
        <f t="shared" si="0"/>
        <v>4.464285714285714E-3</v>
      </c>
      <c r="I7" s="157"/>
    </row>
    <row r="8" spans="1:14" ht="60" customHeight="1" thickTop="1" thickBot="1" x14ac:dyDescent="0.35">
      <c r="B8" s="128" t="s">
        <v>240</v>
      </c>
      <c r="C8" s="128">
        <v>224</v>
      </c>
      <c r="D8" s="131"/>
      <c r="E8" s="55"/>
      <c r="F8" s="55"/>
      <c r="G8" s="55">
        <f>SUM(G2:G7)</f>
        <v>204</v>
      </c>
      <c r="H8" s="56">
        <f>G8/C8</f>
        <v>0.9107142857142857</v>
      </c>
      <c r="I8" s="139"/>
    </row>
    <row r="9" spans="1:14" ht="60" customHeight="1" thickTop="1" thickBot="1" x14ac:dyDescent="0.35">
      <c r="B9" s="159" t="s">
        <v>119</v>
      </c>
      <c r="C9" s="159">
        <v>311</v>
      </c>
      <c r="D9" s="158" t="s">
        <v>117</v>
      </c>
      <c r="E9" s="59" t="s">
        <v>6</v>
      </c>
      <c r="F9" s="59" t="s">
        <v>200</v>
      </c>
      <c r="G9" s="59">
        <v>5</v>
      </c>
      <c r="H9" s="60">
        <f t="shared" ref="H9:H15" si="1">G9/311</f>
        <v>1.607717041800643E-2</v>
      </c>
    </row>
    <row r="10" spans="1:14" ht="60" customHeight="1" thickTop="1" thickBot="1" x14ac:dyDescent="0.35">
      <c r="B10" s="159"/>
      <c r="C10" s="159"/>
      <c r="D10" s="158"/>
      <c r="E10" s="59" t="s">
        <v>12</v>
      </c>
      <c r="F10" s="59" t="s">
        <v>191</v>
      </c>
      <c r="G10" s="59">
        <v>4</v>
      </c>
      <c r="H10" s="60">
        <f t="shared" si="1"/>
        <v>1.2861736334405145E-2</v>
      </c>
    </row>
    <row r="11" spans="1:14" ht="60" customHeight="1" thickTop="1" thickBot="1" x14ac:dyDescent="0.35">
      <c r="B11" s="159"/>
      <c r="C11" s="159"/>
      <c r="D11" s="158"/>
      <c r="E11" s="59" t="s">
        <v>236</v>
      </c>
      <c r="F11" s="59" t="s">
        <v>192</v>
      </c>
      <c r="G11" s="59">
        <v>2</v>
      </c>
      <c r="H11" s="60">
        <f t="shared" si="1"/>
        <v>6.4308681672025723E-3</v>
      </c>
    </row>
    <row r="12" spans="1:14" ht="60" customHeight="1" thickTop="1" thickBot="1" x14ac:dyDescent="0.35">
      <c r="B12" s="159"/>
      <c r="C12" s="159"/>
      <c r="D12" s="158"/>
      <c r="E12" s="59" t="s">
        <v>13</v>
      </c>
      <c r="F12" s="59" t="s">
        <v>201</v>
      </c>
      <c r="G12" s="59">
        <v>1</v>
      </c>
      <c r="H12" s="60">
        <f t="shared" si="1"/>
        <v>3.2154340836012861E-3</v>
      </c>
    </row>
    <row r="13" spans="1:14" ht="60" customHeight="1" thickTop="1" thickBot="1" x14ac:dyDescent="0.35">
      <c r="B13" s="159"/>
      <c r="C13" s="159"/>
      <c r="D13" s="158"/>
      <c r="E13" s="59" t="s">
        <v>170</v>
      </c>
      <c r="F13" s="59" t="s">
        <v>202</v>
      </c>
      <c r="G13" s="59">
        <v>1</v>
      </c>
      <c r="H13" s="60">
        <f t="shared" si="1"/>
        <v>3.2154340836012861E-3</v>
      </c>
    </row>
    <row r="14" spans="1:14" ht="60" customHeight="1" thickTop="1" thickBot="1" x14ac:dyDescent="0.35">
      <c r="B14" s="159"/>
      <c r="C14" s="159"/>
      <c r="D14" s="158"/>
      <c r="E14" s="59" t="s">
        <v>179</v>
      </c>
      <c r="F14" s="59" t="s">
        <v>203</v>
      </c>
      <c r="G14" s="59">
        <v>1</v>
      </c>
      <c r="H14" s="60">
        <f t="shared" si="1"/>
        <v>3.2154340836012861E-3</v>
      </c>
    </row>
    <row r="15" spans="1:14" ht="60" customHeight="1" thickTop="1" thickBot="1" x14ac:dyDescent="0.35">
      <c r="B15" s="113" t="s">
        <v>241</v>
      </c>
      <c r="C15" s="113">
        <v>311</v>
      </c>
      <c r="D15" s="121"/>
      <c r="E15" s="59"/>
      <c r="F15" s="59"/>
      <c r="G15" s="59">
        <f>SUM(G9:G14)</f>
        <v>14</v>
      </c>
      <c r="H15" s="60">
        <f t="shared" si="1"/>
        <v>4.5016077170418008E-2</v>
      </c>
    </row>
    <row r="16" spans="1:14" ht="151.80000000000001" customHeight="1" thickTop="1" thickBot="1" x14ac:dyDescent="0.35">
      <c r="B16" s="62" t="s">
        <v>120</v>
      </c>
      <c r="C16" s="62">
        <v>124</v>
      </c>
      <c r="D16" s="63" t="s">
        <v>90</v>
      </c>
      <c r="E16" s="64" t="s">
        <v>70</v>
      </c>
      <c r="F16" s="65" t="s">
        <v>204</v>
      </c>
      <c r="G16" s="64">
        <v>2</v>
      </c>
      <c r="H16" s="66">
        <f>G16/C16</f>
        <v>1.6129032258064516E-2</v>
      </c>
    </row>
    <row r="17" spans="1:14" ht="24" customHeight="1" thickTop="1" thickBot="1" x14ac:dyDescent="0.35">
      <c r="B17" s="120" t="s">
        <v>242</v>
      </c>
      <c r="C17" s="120">
        <v>124</v>
      </c>
      <c r="D17" s="119"/>
      <c r="E17" s="64"/>
      <c r="F17" s="65"/>
      <c r="G17" s="64">
        <v>2</v>
      </c>
      <c r="H17" s="66">
        <f>G17/C17</f>
        <v>1.6129032258064516E-2</v>
      </c>
    </row>
    <row r="18" spans="1:14" ht="60" customHeight="1" thickTop="1" thickBot="1" x14ac:dyDescent="0.35">
      <c r="B18" s="162" t="s">
        <v>121</v>
      </c>
      <c r="C18" s="163">
        <v>23</v>
      </c>
      <c r="D18" s="179" t="s">
        <v>91</v>
      </c>
      <c r="E18" s="71" t="s">
        <v>152</v>
      </c>
      <c r="F18" s="68" t="s">
        <v>205</v>
      </c>
      <c r="G18" s="68">
        <v>15</v>
      </c>
      <c r="H18" s="70">
        <f>G18/23</f>
        <v>0.65217391304347827</v>
      </c>
    </row>
    <row r="19" spans="1:14" ht="60" customHeight="1" thickTop="1" thickBot="1" x14ac:dyDescent="0.35">
      <c r="B19" s="162"/>
      <c r="C19" s="163"/>
      <c r="D19" s="179"/>
      <c r="E19" s="71" t="s">
        <v>157</v>
      </c>
      <c r="F19" s="68" t="s">
        <v>224</v>
      </c>
      <c r="G19" s="68">
        <v>3</v>
      </c>
      <c r="H19" s="70">
        <f>G19/23</f>
        <v>0.13043478260869565</v>
      </c>
    </row>
    <row r="20" spans="1:14" ht="60" customHeight="1" thickTop="1" thickBot="1" x14ac:dyDescent="0.35">
      <c r="B20" s="162"/>
      <c r="C20" s="163"/>
      <c r="D20" s="179"/>
      <c r="E20" s="67" t="s">
        <v>28</v>
      </c>
      <c r="F20" s="68" t="s">
        <v>223</v>
      </c>
      <c r="G20" s="69">
        <v>1</v>
      </c>
      <c r="H20" s="70">
        <f>G20/23</f>
        <v>4.3478260869565216E-2</v>
      </c>
    </row>
    <row r="21" spans="1:14" ht="60" customHeight="1" thickTop="1" thickBot="1" x14ac:dyDescent="0.35">
      <c r="B21" s="162"/>
      <c r="C21" s="163"/>
      <c r="D21" s="179"/>
      <c r="E21" s="67" t="s">
        <v>69</v>
      </c>
      <c r="F21" s="68" t="s">
        <v>206</v>
      </c>
      <c r="G21" s="69">
        <v>1</v>
      </c>
      <c r="H21" s="70">
        <f>G21/23</f>
        <v>4.3478260869565216E-2</v>
      </c>
    </row>
    <row r="22" spans="1:14" ht="60" customHeight="1" thickTop="1" thickBot="1" x14ac:dyDescent="0.35">
      <c r="B22" s="114" t="s">
        <v>243</v>
      </c>
      <c r="C22" s="115">
        <v>23</v>
      </c>
      <c r="D22" s="116"/>
      <c r="E22" s="67"/>
      <c r="F22" s="68"/>
      <c r="G22" s="69">
        <f>SUM(G18:G21)</f>
        <v>20</v>
      </c>
      <c r="H22" s="70">
        <f>G22/C22</f>
        <v>0.86956521739130432</v>
      </c>
    </row>
    <row r="23" spans="1:14" ht="60" customHeight="1" thickTop="1" thickBot="1" x14ac:dyDescent="0.35">
      <c r="B23" s="159" t="s">
        <v>122</v>
      </c>
      <c r="C23" s="159">
        <v>55</v>
      </c>
      <c r="D23" s="158" t="s">
        <v>92</v>
      </c>
      <c r="E23" s="72" t="s">
        <v>29</v>
      </c>
      <c r="F23" s="59" t="s">
        <v>205</v>
      </c>
      <c r="G23" s="61">
        <v>6</v>
      </c>
      <c r="H23" s="60">
        <f>G23/55</f>
        <v>0.10909090909090909</v>
      </c>
    </row>
    <row r="24" spans="1:14" ht="60" customHeight="1" thickTop="1" thickBot="1" x14ac:dyDescent="0.35">
      <c r="B24" s="159"/>
      <c r="C24" s="159"/>
      <c r="D24" s="158"/>
      <c r="E24" s="61" t="s">
        <v>167</v>
      </c>
      <c r="F24" s="59" t="s">
        <v>204</v>
      </c>
      <c r="G24" s="61">
        <v>1</v>
      </c>
      <c r="H24" s="60">
        <f>G24/55</f>
        <v>1.8181818181818181E-2</v>
      </c>
    </row>
    <row r="25" spans="1:14" ht="60" customHeight="1" thickTop="1" thickBot="1" x14ac:dyDescent="0.35">
      <c r="B25" s="159"/>
      <c r="C25" s="159"/>
      <c r="D25" s="158"/>
      <c r="E25" s="61" t="s">
        <v>72</v>
      </c>
      <c r="F25" s="59" t="s">
        <v>143</v>
      </c>
      <c r="G25" s="61">
        <v>1</v>
      </c>
      <c r="H25" s="60">
        <f>G25/55</f>
        <v>1.8181818181818181E-2</v>
      </c>
    </row>
    <row r="26" spans="1:14" ht="35.4" customHeight="1" thickTop="1" thickBot="1" x14ac:dyDescent="0.35">
      <c r="B26" s="113" t="s">
        <v>244</v>
      </c>
      <c r="C26" s="113">
        <v>55</v>
      </c>
      <c r="D26" s="121"/>
      <c r="E26" s="61"/>
      <c r="F26" s="59"/>
      <c r="G26" s="61">
        <f>SUM(G23:G25)</f>
        <v>8</v>
      </c>
      <c r="H26" s="60">
        <f>G26/55</f>
        <v>0.14545454545454545</v>
      </c>
    </row>
    <row r="27" spans="1:14" s="23" customFormat="1" ht="25.8" customHeight="1" thickTop="1" thickBot="1" x14ac:dyDescent="0.35">
      <c r="A27" s="22"/>
      <c r="B27" s="62" t="s">
        <v>123</v>
      </c>
      <c r="C27" s="62">
        <v>26</v>
      </c>
      <c r="D27" s="63" t="s">
        <v>93</v>
      </c>
      <c r="E27" s="65">
        <v>0</v>
      </c>
      <c r="F27" s="65">
        <v>0</v>
      </c>
      <c r="G27" s="65">
        <v>0</v>
      </c>
      <c r="H27" s="66">
        <f>G27/C27</f>
        <v>0</v>
      </c>
      <c r="I27" s="24"/>
      <c r="J27" s="24"/>
      <c r="K27" s="24"/>
      <c r="L27" s="24"/>
      <c r="M27" s="24"/>
      <c r="N27" s="24"/>
    </row>
    <row r="28" spans="1:14" ht="60" customHeight="1" thickTop="1" thickBot="1" x14ac:dyDescent="0.35">
      <c r="B28" s="161" t="s">
        <v>124</v>
      </c>
      <c r="C28" s="167">
        <v>18</v>
      </c>
      <c r="D28" s="160" t="s">
        <v>94</v>
      </c>
      <c r="E28" s="55" t="s">
        <v>53</v>
      </c>
      <c r="F28" s="55" t="s">
        <v>226</v>
      </c>
      <c r="G28" s="55">
        <v>2</v>
      </c>
      <c r="H28" s="56">
        <f t="shared" ref="H28:H33" si="2">G28/18</f>
        <v>0.1111111111111111</v>
      </c>
    </row>
    <row r="29" spans="1:14" ht="60" customHeight="1" thickTop="1" thickBot="1" x14ac:dyDescent="0.35">
      <c r="B29" s="161"/>
      <c r="C29" s="168"/>
      <c r="D29" s="160"/>
      <c r="E29" s="55" t="s">
        <v>180</v>
      </c>
      <c r="F29" s="55" t="s">
        <v>208</v>
      </c>
      <c r="G29" s="55">
        <v>2</v>
      </c>
      <c r="H29" s="56">
        <f t="shared" si="2"/>
        <v>0.1111111111111111</v>
      </c>
    </row>
    <row r="30" spans="1:14" ht="60" customHeight="1" thickTop="1" thickBot="1" x14ac:dyDescent="0.35">
      <c r="B30" s="161"/>
      <c r="C30" s="168"/>
      <c r="D30" s="160"/>
      <c r="E30" s="55" t="s">
        <v>38</v>
      </c>
      <c r="F30" s="55" t="s">
        <v>225</v>
      </c>
      <c r="G30" s="55">
        <v>1</v>
      </c>
      <c r="H30" s="56">
        <f t="shared" si="2"/>
        <v>5.5555555555555552E-2</v>
      </c>
    </row>
    <row r="31" spans="1:14" ht="60" customHeight="1" thickTop="1" thickBot="1" x14ac:dyDescent="0.35">
      <c r="B31" s="161"/>
      <c r="C31" s="168"/>
      <c r="D31" s="160"/>
      <c r="E31" s="55" t="s">
        <v>40</v>
      </c>
      <c r="F31" s="55" t="s">
        <v>207</v>
      </c>
      <c r="G31" s="55">
        <v>1</v>
      </c>
      <c r="H31" s="56">
        <f t="shared" si="2"/>
        <v>5.5555555555555552E-2</v>
      </c>
    </row>
    <row r="32" spans="1:14" ht="60" customHeight="1" thickTop="1" thickBot="1" x14ac:dyDescent="0.35">
      <c r="B32" s="161"/>
      <c r="C32" s="180"/>
      <c r="D32" s="160"/>
      <c r="E32" s="55" t="s">
        <v>30</v>
      </c>
      <c r="F32" s="55" t="s">
        <v>206</v>
      </c>
      <c r="G32" s="55">
        <v>1</v>
      </c>
      <c r="H32" s="56">
        <f t="shared" si="2"/>
        <v>5.5555555555555552E-2</v>
      </c>
    </row>
    <row r="33" spans="1:14" ht="60" customHeight="1" thickTop="1" thickBot="1" x14ac:dyDescent="0.35">
      <c r="B33" s="118" t="s">
        <v>245</v>
      </c>
      <c r="C33" s="129">
        <v>18</v>
      </c>
      <c r="D33" s="117"/>
      <c r="E33" s="55"/>
      <c r="F33" s="55"/>
      <c r="G33" s="55">
        <f>SUM(G27:G32)</f>
        <v>7</v>
      </c>
      <c r="H33" s="56">
        <f t="shared" si="2"/>
        <v>0.3888888888888889</v>
      </c>
    </row>
    <row r="34" spans="1:14" ht="60" customHeight="1" thickTop="1" thickBot="1" x14ac:dyDescent="0.35">
      <c r="B34" s="162" t="s">
        <v>125</v>
      </c>
      <c r="C34" s="163">
        <v>37</v>
      </c>
      <c r="D34" s="162" t="s">
        <v>95</v>
      </c>
      <c r="E34" s="71" t="s">
        <v>39</v>
      </c>
      <c r="F34" s="75" t="s">
        <v>205</v>
      </c>
      <c r="G34" s="68">
        <v>4</v>
      </c>
      <c r="H34" s="76">
        <f>G34/37</f>
        <v>0.10810810810810811</v>
      </c>
    </row>
    <row r="35" spans="1:14" ht="60" customHeight="1" thickTop="1" thickBot="1" x14ac:dyDescent="0.35">
      <c r="B35" s="163"/>
      <c r="C35" s="163"/>
      <c r="D35" s="163"/>
      <c r="E35" s="74" t="s">
        <v>21</v>
      </c>
      <c r="F35" s="75" t="s">
        <v>209</v>
      </c>
      <c r="G35" s="74">
        <v>1</v>
      </c>
      <c r="H35" s="76">
        <f>G35/37</f>
        <v>2.7027027027027029E-2</v>
      </c>
    </row>
    <row r="36" spans="1:14" ht="60" customHeight="1" thickTop="1" thickBot="1" x14ac:dyDescent="0.35">
      <c r="B36" s="151" t="s">
        <v>246</v>
      </c>
      <c r="C36" s="115">
        <v>37</v>
      </c>
      <c r="D36" s="115"/>
      <c r="E36" s="74"/>
      <c r="F36" s="75"/>
      <c r="G36" s="74">
        <f>SUM(G34:G35)</f>
        <v>5</v>
      </c>
      <c r="H36" s="76">
        <f>G36/37</f>
        <v>0.13513513513513514</v>
      </c>
    </row>
    <row r="37" spans="1:14" s="23" customFormat="1" ht="126" customHeight="1" thickTop="1" thickBot="1" x14ac:dyDescent="0.35">
      <c r="A37" s="22"/>
      <c r="B37" s="77" t="s">
        <v>126</v>
      </c>
      <c r="C37" s="77">
        <v>83</v>
      </c>
      <c r="D37" s="78" t="s">
        <v>96</v>
      </c>
      <c r="E37" s="79" t="s">
        <v>26</v>
      </c>
      <c r="F37" s="59" t="s">
        <v>212</v>
      </c>
      <c r="G37" s="59">
        <v>58</v>
      </c>
      <c r="H37" s="60">
        <f>G37/C37</f>
        <v>0.6987951807228916</v>
      </c>
      <c r="I37" s="24"/>
      <c r="J37" s="24"/>
      <c r="K37" s="24"/>
      <c r="L37" s="24"/>
      <c r="M37" s="24"/>
      <c r="N37" s="24"/>
    </row>
    <row r="38" spans="1:14" s="24" customFormat="1" ht="45" customHeight="1" thickTop="1" thickBot="1" x14ac:dyDescent="0.35">
      <c r="B38" s="113" t="s">
        <v>247</v>
      </c>
      <c r="C38" s="113">
        <v>83</v>
      </c>
      <c r="D38" s="121"/>
      <c r="E38" s="79"/>
      <c r="F38" s="59"/>
      <c r="G38" s="59">
        <v>58</v>
      </c>
      <c r="H38" s="60">
        <f>G38/C38</f>
        <v>0.6987951807228916</v>
      </c>
    </row>
    <row r="39" spans="1:14" ht="60" customHeight="1" thickTop="1" thickBot="1" x14ac:dyDescent="0.35">
      <c r="B39" s="171" t="s">
        <v>127</v>
      </c>
      <c r="C39" s="171">
        <v>73</v>
      </c>
      <c r="D39" s="172" t="s">
        <v>97</v>
      </c>
      <c r="E39" s="65" t="s">
        <v>158</v>
      </c>
      <c r="F39" s="65" t="s">
        <v>228</v>
      </c>
      <c r="G39" s="65">
        <v>16</v>
      </c>
      <c r="H39" s="66">
        <f t="shared" ref="H39:H48" si="3">G39/73</f>
        <v>0.21917808219178081</v>
      </c>
    </row>
    <row r="40" spans="1:14" ht="60" customHeight="1" thickTop="1" thickBot="1" x14ac:dyDescent="0.35">
      <c r="B40" s="171"/>
      <c r="C40" s="171"/>
      <c r="D40" s="172"/>
      <c r="E40" s="65" t="s">
        <v>188</v>
      </c>
      <c r="F40" s="65" t="s">
        <v>213</v>
      </c>
      <c r="G40" s="65">
        <v>13</v>
      </c>
      <c r="H40" s="66">
        <f t="shared" si="3"/>
        <v>0.17808219178082191</v>
      </c>
    </row>
    <row r="41" spans="1:14" ht="60" customHeight="1" thickTop="1" thickBot="1" x14ac:dyDescent="0.35">
      <c r="B41" s="171"/>
      <c r="C41" s="171"/>
      <c r="D41" s="172"/>
      <c r="E41" s="65" t="s">
        <v>35</v>
      </c>
      <c r="F41" s="65" t="s">
        <v>215</v>
      </c>
      <c r="G41" s="65">
        <v>7</v>
      </c>
      <c r="H41" s="66">
        <f t="shared" si="3"/>
        <v>9.5890410958904104E-2</v>
      </c>
    </row>
    <row r="42" spans="1:14" ht="60" customHeight="1" thickTop="1" thickBot="1" x14ac:dyDescent="0.35">
      <c r="B42" s="171"/>
      <c r="C42" s="171"/>
      <c r="D42" s="172"/>
      <c r="E42" s="65" t="s">
        <v>50</v>
      </c>
      <c r="F42" s="65" t="s">
        <v>227</v>
      </c>
      <c r="G42" s="65">
        <v>2</v>
      </c>
      <c r="H42" s="66">
        <f t="shared" si="3"/>
        <v>2.7397260273972601E-2</v>
      </c>
    </row>
    <row r="43" spans="1:14" ht="60" customHeight="1" thickTop="1" thickBot="1" x14ac:dyDescent="0.35">
      <c r="B43" s="171"/>
      <c r="C43" s="171"/>
      <c r="D43" s="172"/>
      <c r="E43" s="64" t="s">
        <v>67</v>
      </c>
      <c r="F43" s="65" t="s">
        <v>189</v>
      </c>
      <c r="G43" s="64">
        <v>1</v>
      </c>
      <c r="H43" s="66">
        <f t="shared" si="3"/>
        <v>1.3698630136986301E-2</v>
      </c>
    </row>
    <row r="44" spans="1:14" ht="60" customHeight="1" thickTop="1" thickBot="1" x14ac:dyDescent="0.35">
      <c r="B44" s="171"/>
      <c r="C44" s="171"/>
      <c r="D44" s="172"/>
      <c r="E44" s="64" t="s">
        <v>16</v>
      </c>
      <c r="F44" s="65" t="s">
        <v>210</v>
      </c>
      <c r="G44" s="64">
        <v>1</v>
      </c>
      <c r="H44" s="66">
        <f t="shared" si="3"/>
        <v>1.3698630136986301E-2</v>
      </c>
    </row>
    <row r="45" spans="1:14" ht="60" customHeight="1" thickTop="1" thickBot="1" x14ac:dyDescent="0.35">
      <c r="B45" s="171"/>
      <c r="C45" s="171"/>
      <c r="D45" s="172"/>
      <c r="E45" s="64" t="s">
        <v>169</v>
      </c>
      <c r="F45" s="65" t="s">
        <v>211</v>
      </c>
      <c r="G45" s="64">
        <v>1</v>
      </c>
      <c r="H45" s="66">
        <f t="shared" si="3"/>
        <v>1.3698630136986301E-2</v>
      </c>
    </row>
    <row r="46" spans="1:14" ht="60" customHeight="1" thickTop="1" thickBot="1" x14ac:dyDescent="0.35">
      <c r="B46" s="171"/>
      <c r="C46" s="171"/>
      <c r="D46" s="172"/>
      <c r="E46" s="64" t="s">
        <v>55</v>
      </c>
      <c r="F46" s="65" t="s">
        <v>212</v>
      </c>
      <c r="G46" s="64">
        <v>1</v>
      </c>
      <c r="H46" s="66">
        <f t="shared" si="3"/>
        <v>1.3698630136986301E-2</v>
      </c>
    </row>
    <row r="47" spans="1:14" ht="60" customHeight="1" thickTop="1" thickBot="1" x14ac:dyDescent="0.35">
      <c r="B47" s="171"/>
      <c r="C47" s="171"/>
      <c r="D47" s="172"/>
      <c r="E47" s="65" t="s">
        <v>43</v>
      </c>
      <c r="F47" s="65" t="s">
        <v>214</v>
      </c>
      <c r="G47" s="65">
        <v>1</v>
      </c>
      <c r="H47" s="66">
        <f t="shared" si="3"/>
        <v>1.3698630136986301E-2</v>
      </c>
    </row>
    <row r="48" spans="1:14" ht="60" customHeight="1" thickTop="1" thickBot="1" x14ac:dyDescent="0.35">
      <c r="B48" s="120" t="s">
        <v>248</v>
      </c>
      <c r="C48" s="120">
        <v>73</v>
      </c>
      <c r="D48" s="119"/>
      <c r="E48" s="65"/>
      <c r="F48" s="65"/>
      <c r="G48" s="65">
        <f>SUM(G39:G47)</f>
        <v>43</v>
      </c>
      <c r="H48" s="66">
        <f t="shared" si="3"/>
        <v>0.58904109589041098</v>
      </c>
    </row>
    <row r="49" spans="2:8" ht="60" customHeight="1" thickTop="1" thickBot="1" x14ac:dyDescent="0.35">
      <c r="B49" s="161" t="s">
        <v>128</v>
      </c>
      <c r="C49" s="161">
        <v>56</v>
      </c>
      <c r="D49" s="160" t="s">
        <v>98</v>
      </c>
      <c r="E49" s="57" t="s">
        <v>17</v>
      </c>
      <c r="F49" s="55" t="s">
        <v>213</v>
      </c>
      <c r="G49" s="55">
        <v>4</v>
      </c>
      <c r="H49" s="56">
        <f>G49/56</f>
        <v>7.1428571428571425E-2</v>
      </c>
    </row>
    <row r="50" spans="2:8" ht="60" customHeight="1" thickTop="1" thickBot="1" x14ac:dyDescent="0.35">
      <c r="B50" s="161"/>
      <c r="C50" s="161"/>
      <c r="D50" s="160"/>
      <c r="E50" s="55" t="s">
        <v>7</v>
      </c>
      <c r="F50" s="55" t="s">
        <v>200</v>
      </c>
      <c r="G50" s="55">
        <v>1</v>
      </c>
      <c r="H50" s="56">
        <f>G50/56</f>
        <v>1.7857142857142856E-2</v>
      </c>
    </row>
    <row r="51" spans="2:8" ht="60" customHeight="1" thickTop="1" thickBot="1" x14ac:dyDescent="0.35">
      <c r="B51" s="161"/>
      <c r="C51" s="161"/>
      <c r="D51" s="160"/>
      <c r="E51" s="55" t="s">
        <v>166</v>
      </c>
      <c r="F51" s="55" t="s">
        <v>216</v>
      </c>
      <c r="G51" s="58">
        <v>1</v>
      </c>
      <c r="H51" s="56">
        <f>G51/56</f>
        <v>1.7857142857142856E-2</v>
      </c>
    </row>
    <row r="52" spans="2:8" ht="60" customHeight="1" thickTop="1" thickBot="1" x14ac:dyDescent="0.35">
      <c r="B52" s="127" t="s">
        <v>249</v>
      </c>
      <c r="C52" s="127">
        <v>56</v>
      </c>
      <c r="D52" s="130"/>
      <c r="E52" s="55"/>
      <c r="F52" s="55"/>
      <c r="G52" s="58">
        <f>SUM(G49:G51)</f>
        <v>6</v>
      </c>
      <c r="H52" s="56">
        <f>G52/56</f>
        <v>0.10714285714285714</v>
      </c>
    </row>
    <row r="53" spans="2:8" ht="93" customHeight="1" thickTop="1" thickBot="1" x14ac:dyDescent="0.35">
      <c r="B53" s="155" t="s">
        <v>129</v>
      </c>
      <c r="C53" s="164">
        <v>48</v>
      </c>
      <c r="D53" s="165" t="s">
        <v>99</v>
      </c>
      <c r="E53" s="83" t="s">
        <v>31</v>
      </c>
      <c r="F53" s="80" t="s">
        <v>205</v>
      </c>
      <c r="G53" s="80">
        <v>1</v>
      </c>
      <c r="H53" s="84">
        <f>G53/48</f>
        <v>2.0833333333333332E-2</v>
      </c>
    </row>
    <row r="54" spans="2:8" ht="72" customHeight="1" thickTop="1" thickBot="1" x14ac:dyDescent="0.35">
      <c r="B54" s="156"/>
      <c r="C54" s="156"/>
      <c r="D54" s="166"/>
      <c r="E54" s="83" t="s">
        <v>184</v>
      </c>
      <c r="F54" s="80" t="s">
        <v>204</v>
      </c>
      <c r="G54" s="80">
        <v>1</v>
      </c>
      <c r="H54" s="84">
        <f>G54/48</f>
        <v>2.0833333333333332E-2</v>
      </c>
    </row>
    <row r="55" spans="2:8" ht="72" customHeight="1" thickTop="1" thickBot="1" x14ac:dyDescent="0.35">
      <c r="B55" s="152" t="s">
        <v>250</v>
      </c>
      <c r="C55" s="138">
        <v>48</v>
      </c>
      <c r="D55" s="140"/>
      <c r="E55" s="83"/>
      <c r="F55" s="80"/>
      <c r="G55" s="80">
        <f>SUM(G53:G54)</f>
        <v>2</v>
      </c>
      <c r="H55" s="84">
        <f>G55/48</f>
        <v>4.1666666666666664E-2</v>
      </c>
    </row>
    <row r="56" spans="2:8" ht="60" customHeight="1" thickTop="1" thickBot="1" x14ac:dyDescent="0.35">
      <c r="B56" s="159" t="s">
        <v>130</v>
      </c>
      <c r="C56" s="159">
        <v>39</v>
      </c>
      <c r="D56" s="158" t="s">
        <v>100</v>
      </c>
      <c r="E56" s="59" t="s">
        <v>149</v>
      </c>
      <c r="F56" s="59" t="s">
        <v>217</v>
      </c>
      <c r="G56" s="59">
        <v>1</v>
      </c>
      <c r="H56" s="60">
        <f>G56/39</f>
        <v>2.564102564102564E-2</v>
      </c>
    </row>
    <row r="57" spans="2:8" ht="60" customHeight="1" thickTop="1" thickBot="1" x14ac:dyDescent="0.35">
      <c r="B57" s="159"/>
      <c r="C57" s="159"/>
      <c r="D57" s="158"/>
      <c r="E57" s="59" t="s">
        <v>24</v>
      </c>
      <c r="F57" s="59" t="s">
        <v>211</v>
      </c>
      <c r="G57" s="59">
        <v>1</v>
      </c>
      <c r="H57" s="60">
        <f t="shared" ref="H57:H60" si="4">G57/39</f>
        <v>2.564102564102564E-2</v>
      </c>
    </row>
    <row r="58" spans="2:8" ht="60" customHeight="1" thickTop="1" thickBot="1" x14ac:dyDescent="0.35">
      <c r="B58" s="159"/>
      <c r="C58" s="159"/>
      <c r="D58" s="158"/>
      <c r="E58" s="59" t="s">
        <v>27</v>
      </c>
      <c r="F58" s="59" t="s">
        <v>218</v>
      </c>
      <c r="G58" s="59">
        <v>1</v>
      </c>
      <c r="H58" s="60">
        <f t="shared" si="4"/>
        <v>2.564102564102564E-2</v>
      </c>
    </row>
    <row r="59" spans="2:8" ht="60" customHeight="1" thickTop="1" thickBot="1" x14ac:dyDescent="0.35">
      <c r="B59" s="159"/>
      <c r="C59" s="159"/>
      <c r="D59" s="158"/>
      <c r="E59" s="59" t="s">
        <v>164</v>
      </c>
      <c r="F59" s="59" t="s">
        <v>214</v>
      </c>
      <c r="G59" s="59">
        <v>1</v>
      </c>
      <c r="H59" s="60">
        <f t="shared" si="4"/>
        <v>2.564102564102564E-2</v>
      </c>
    </row>
    <row r="60" spans="2:8" ht="60" customHeight="1" thickTop="1" thickBot="1" x14ac:dyDescent="0.35">
      <c r="B60" s="113" t="s">
        <v>251</v>
      </c>
      <c r="C60" s="113">
        <v>39</v>
      </c>
      <c r="D60" s="121"/>
      <c r="E60" s="59"/>
      <c r="F60" s="59"/>
      <c r="G60" s="59">
        <f>SUM(G56:G59)</f>
        <v>4</v>
      </c>
      <c r="H60" s="60">
        <f t="shared" si="4"/>
        <v>0.10256410256410256</v>
      </c>
    </row>
    <row r="61" spans="2:8" ht="60" customHeight="1" thickTop="1" thickBot="1" x14ac:dyDescent="0.35">
      <c r="B61" s="176" t="s">
        <v>131</v>
      </c>
      <c r="C61" s="173">
        <v>41</v>
      </c>
      <c r="D61" s="175" t="s">
        <v>101</v>
      </c>
      <c r="E61" s="85" t="s">
        <v>8</v>
      </c>
      <c r="F61" s="86" t="s">
        <v>200</v>
      </c>
      <c r="G61" s="86">
        <v>11</v>
      </c>
      <c r="H61" s="87">
        <f t="shared" ref="H61:H66" si="5">G61/41</f>
        <v>0.26829268292682928</v>
      </c>
    </row>
    <row r="62" spans="2:8" ht="60" customHeight="1" thickTop="1" thickBot="1" x14ac:dyDescent="0.35">
      <c r="B62" s="173"/>
      <c r="C62" s="173"/>
      <c r="D62" s="175"/>
      <c r="E62" s="85" t="s">
        <v>22</v>
      </c>
      <c r="F62" s="86" t="s">
        <v>220</v>
      </c>
      <c r="G62" s="86">
        <v>8</v>
      </c>
      <c r="H62" s="87">
        <f t="shared" si="5"/>
        <v>0.1951219512195122</v>
      </c>
    </row>
    <row r="63" spans="2:8" ht="60" customHeight="1" thickTop="1" thickBot="1" x14ac:dyDescent="0.35">
      <c r="B63" s="173"/>
      <c r="C63" s="173"/>
      <c r="D63" s="175"/>
      <c r="E63" s="85" t="s">
        <v>52</v>
      </c>
      <c r="F63" s="86" t="s">
        <v>219</v>
      </c>
      <c r="G63" s="86">
        <v>1</v>
      </c>
      <c r="H63" s="87">
        <f t="shared" si="5"/>
        <v>2.4390243902439025E-2</v>
      </c>
    </row>
    <row r="64" spans="2:8" ht="60" customHeight="1" thickTop="1" thickBot="1" x14ac:dyDescent="0.35">
      <c r="B64" s="173"/>
      <c r="C64" s="173"/>
      <c r="D64" s="175"/>
      <c r="E64" s="85" t="s">
        <v>23</v>
      </c>
      <c r="F64" s="86" t="s">
        <v>217</v>
      </c>
      <c r="G64" s="86">
        <v>1</v>
      </c>
      <c r="H64" s="87">
        <f t="shared" si="5"/>
        <v>2.4390243902439025E-2</v>
      </c>
    </row>
    <row r="65" spans="2:8" ht="60" customHeight="1" thickTop="1" thickBot="1" x14ac:dyDescent="0.35">
      <c r="B65" s="173"/>
      <c r="C65" s="173"/>
      <c r="D65" s="175"/>
      <c r="E65" s="85" t="s">
        <v>171</v>
      </c>
      <c r="F65" s="86" t="s">
        <v>192</v>
      </c>
      <c r="G65" s="88">
        <v>1</v>
      </c>
      <c r="H65" s="87">
        <f t="shared" si="5"/>
        <v>2.4390243902439025E-2</v>
      </c>
    </row>
    <row r="66" spans="2:8" ht="60" customHeight="1" thickTop="1" thickBot="1" x14ac:dyDescent="0.35">
      <c r="B66" s="135" t="s">
        <v>252</v>
      </c>
      <c r="C66" s="132">
        <v>41</v>
      </c>
      <c r="D66" s="134"/>
      <c r="E66" s="85"/>
      <c r="F66" s="86"/>
      <c r="G66" s="88">
        <f>SUM(G61:G65)</f>
        <v>22</v>
      </c>
      <c r="H66" s="87">
        <f t="shared" si="5"/>
        <v>0.53658536585365857</v>
      </c>
    </row>
    <row r="67" spans="2:8" ht="60" customHeight="1" thickTop="1" thickBot="1" x14ac:dyDescent="0.35">
      <c r="B67" s="185" t="s">
        <v>132</v>
      </c>
      <c r="C67" s="174">
        <v>110</v>
      </c>
      <c r="D67" s="177" t="s">
        <v>102</v>
      </c>
      <c r="E67" s="89" t="s">
        <v>5</v>
      </c>
      <c r="F67" s="90" t="s">
        <v>200</v>
      </c>
      <c r="G67" s="90">
        <v>33</v>
      </c>
      <c r="H67" s="91">
        <f>G67/110</f>
        <v>0.3</v>
      </c>
    </row>
    <row r="68" spans="2:8" ht="60" customHeight="1" thickTop="1" thickBot="1" x14ac:dyDescent="0.35">
      <c r="B68" s="174"/>
      <c r="C68" s="174"/>
      <c r="D68" s="178"/>
      <c r="E68" s="92" t="s">
        <v>177</v>
      </c>
      <c r="F68" s="90" t="s">
        <v>203</v>
      </c>
      <c r="G68" s="90">
        <v>2</v>
      </c>
      <c r="H68" s="91">
        <f>G68/110</f>
        <v>1.8181818181818181E-2</v>
      </c>
    </row>
    <row r="69" spans="2:8" ht="60" customHeight="1" thickTop="1" thickBot="1" x14ac:dyDescent="0.35">
      <c r="B69" s="174"/>
      <c r="C69" s="174"/>
      <c r="D69" s="178"/>
      <c r="E69" s="92" t="s">
        <v>54</v>
      </c>
      <c r="F69" s="90" t="s">
        <v>221</v>
      </c>
      <c r="G69" s="90">
        <v>1</v>
      </c>
      <c r="H69" s="91">
        <f>G69/110</f>
        <v>9.0909090909090905E-3</v>
      </c>
    </row>
    <row r="70" spans="2:8" ht="60" customHeight="1" thickTop="1" thickBot="1" x14ac:dyDescent="0.35">
      <c r="B70" s="137" t="s">
        <v>253</v>
      </c>
      <c r="C70" s="133">
        <v>110</v>
      </c>
      <c r="D70" s="136"/>
      <c r="E70" s="92"/>
      <c r="F70" s="90"/>
      <c r="G70" s="90">
        <f>SUM(G67:G69)</f>
        <v>36</v>
      </c>
      <c r="H70" s="91">
        <f>SUM(H67:H69)</f>
        <v>0.32727272727272727</v>
      </c>
    </row>
    <row r="71" spans="2:8" ht="60" customHeight="1" thickTop="1" thickBot="1" x14ac:dyDescent="0.35">
      <c r="B71" s="171" t="s">
        <v>133</v>
      </c>
      <c r="C71" s="171">
        <v>77</v>
      </c>
      <c r="D71" s="172" t="s">
        <v>103</v>
      </c>
      <c r="E71" s="93" t="s">
        <v>44</v>
      </c>
      <c r="F71" s="65" t="s">
        <v>219</v>
      </c>
      <c r="G71" s="65">
        <v>20</v>
      </c>
      <c r="H71" s="66">
        <f t="shared" ref="H71:H78" si="6">G71/77</f>
        <v>0.25974025974025972</v>
      </c>
    </row>
    <row r="72" spans="2:8" ht="60" customHeight="1" thickTop="1" thickBot="1" x14ac:dyDescent="0.35">
      <c r="B72" s="171"/>
      <c r="C72" s="171"/>
      <c r="D72" s="172"/>
      <c r="E72" s="93" t="s">
        <v>46</v>
      </c>
      <c r="F72" s="65" t="s">
        <v>217</v>
      </c>
      <c r="G72" s="65">
        <v>7</v>
      </c>
      <c r="H72" s="66">
        <f t="shared" si="6"/>
        <v>9.0909090909090912E-2</v>
      </c>
    </row>
    <row r="73" spans="2:8" ht="60" customHeight="1" thickTop="1" thickBot="1" x14ac:dyDescent="0.35">
      <c r="B73" s="171"/>
      <c r="C73" s="171"/>
      <c r="D73" s="172"/>
      <c r="E73" s="65" t="s">
        <v>9</v>
      </c>
      <c r="F73" s="65" t="s">
        <v>200</v>
      </c>
      <c r="G73" s="65">
        <v>1</v>
      </c>
      <c r="H73" s="66">
        <f t="shared" si="6"/>
        <v>1.2987012987012988E-2</v>
      </c>
    </row>
    <row r="74" spans="2:8" ht="60" customHeight="1" thickTop="1" thickBot="1" x14ac:dyDescent="0.35">
      <c r="B74" s="171"/>
      <c r="C74" s="171"/>
      <c r="D74" s="172"/>
      <c r="E74" s="65" t="s">
        <v>181</v>
      </c>
      <c r="F74" s="65" t="s">
        <v>213</v>
      </c>
      <c r="G74" s="65">
        <v>1</v>
      </c>
      <c r="H74" s="66">
        <f t="shared" si="6"/>
        <v>1.2987012987012988E-2</v>
      </c>
    </row>
    <row r="75" spans="2:8" ht="60" customHeight="1" thickTop="1" thickBot="1" x14ac:dyDescent="0.35">
      <c r="B75" s="120" t="s">
        <v>254</v>
      </c>
      <c r="C75" s="120">
        <v>77</v>
      </c>
      <c r="D75" s="119"/>
      <c r="E75" s="65"/>
      <c r="F75" s="65"/>
      <c r="G75" s="65">
        <f>SUM(G71:G74)</f>
        <v>29</v>
      </c>
      <c r="H75" s="66">
        <f>G75/77</f>
        <v>0.37662337662337664</v>
      </c>
    </row>
    <row r="76" spans="2:8" ht="60" customHeight="1" thickTop="1" thickBot="1" x14ac:dyDescent="0.35">
      <c r="B76" s="186" t="s">
        <v>134</v>
      </c>
      <c r="C76" s="187">
        <v>77</v>
      </c>
      <c r="D76" s="188" t="s">
        <v>104</v>
      </c>
      <c r="E76" s="94" t="s">
        <v>47</v>
      </c>
      <c r="F76" s="95" t="s">
        <v>211</v>
      </c>
      <c r="G76" s="95">
        <v>20</v>
      </c>
      <c r="H76" s="96">
        <f t="shared" si="6"/>
        <v>0.25974025974025972</v>
      </c>
    </row>
    <row r="77" spans="2:8" ht="60" customHeight="1" thickTop="1" thickBot="1" x14ac:dyDescent="0.35">
      <c r="B77" s="187"/>
      <c r="C77" s="187"/>
      <c r="D77" s="188"/>
      <c r="E77" s="94" t="s">
        <v>45</v>
      </c>
      <c r="F77" s="95" t="s">
        <v>219</v>
      </c>
      <c r="G77" s="95">
        <v>14</v>
      </c>
      <c r="H77" s="96">
        <f t="shared" si="6"/>
        <v>0.18181818181818182</v>
      </c>
    </row>
    <row r="78" spans="2:8" ht="60" customHeight="1" thickTop="1" thickBot="1" x14ac:dyDescent="0.35">
      <c r="B78" s="153" t="s">
        <v>255</v>
      </c>
      <c r="C78" s="125">
        <v>77</v>
      </c>
      <c r="D78" s="126"/>
      <c r="E78" s="94"/>
      <c r="F78" s="95"/>
      <c r="G78" s="95">
        <f>SUM(G76:G77)</f>
        <v>34</v>
      </c>
      <c r="H78" s="96">
        <f t="shared" si="6"/>
        <v>0.44155844155844154</v>
      </c>
    </row>
    <row r="79" spans="2:8" ht="90.6" customHeight="1" thickTop="1" thickBot="1" x14ac:dyDescent="0.35">
      <c r="B79" s="159" t="s">
        <v>135</v>
      </c>
      <c r="C79" s="159">
        <v>210</v>
      </c>
      <c r="D79" s="158" t="s">
        <v>105</v>
      </c>
      <c r="E79" s="59" t="s">
        <v>59</v>
      </c>
      <c r="F79" s="59" t="s">
        <v>237</v>
      </c>
      <c r="G79" s="59">
        <v>6</v>
      </c>
      <c r="H79" s="60">
        <f>G79/210</f>
        <v>2.8571428571428571E-2</v>
      </c>
    </row>
    <row r="80" spans="2:8" ht="60" customHeight="1" thickTop="1" thickBot="1" x14ac:dyDescent="0.35">
      <c r="B80" s="159"/>
      <c r="C80" s="159"/>
      <c r="D80" s="158"/>
      <c r="E80" s="59" t="s">
        <v>178</v>
      </c>
      <c r="F80" s="59" t="s">
        <v>229</v>
      </c>
      <c r="G80" s="59">
        <v>2</v>
      </c>
      <c r="H80" s="60">
        <f>G80/210</f>
        <v>9.5238095238095247E-3</v>
      </c>
    </row>
    <row r="81" spans="2:8" ht="60" customHeight="1" thickTop="1" thickBot="1" x14ac:dyDescent="0.35">
      <c r="B81" s="113" t="s">
        <v>256</v>
      </c>
      <c r="C81" s="113">
        <v>210</v>
      </c>
      <c r="D81" s="121"/>
      <c r="E81" s="59"/>
      <c r="F81" s="59"/>
      <c r="G81" s="59">
        <f>SUM(G79:G80)</f>
        <v>8</v>
      </c>
      <c r="H81" s="60">
        <f>G81/210</f>
        <v>3.8095238095238099E-2</v>
      </c>
    </row>
    <row r="82" spans="2:8" ht="132" customHeight="1" thickTop="1" thickBot="1" x14ac:dyDescent="0.35">
      <c r="B82" s="55" t="s">
        <v>136</v>
      </c>
      <c r="C82" s="55">
        <v>126</v>
      </c>
      <c r="D82" s="97" t="s">
        <v>106</v>
      </c>
      <c r="E82" s="55" t="s">
        <v>14</v>
      </c>
      <c r="F82" s="55" t="s">
        <v>222</v>
      </c>
      <c r="G82" s="55">
        <v>1</v>
      </c>
      <c r="H82" s="56">
        <f>G82/C82</f>
        <v>7.9365079365079361E-3</v>
      </c>
    </row>
    <row r="83" spans="2:8" ht="35.4" customHeight="1" thickTop="1" thickBot="1" x14ac:dyDescent="0.35">
      <c r="B83" s="55" t="s">
        <v>257</v>
      </c>
      <c r="C83" s="55">
        <v>126</v>
      </c>
      <c r="D83" s="97"/>
      <c r="E83" s="55"/>
      <c r="F83" s="55"/>
      <c r="G83" s="55">
        <v>1</v>
      </c>
      <c r="H83" s="56">
        <f>G83/C83</f>
        <v>7.9365079365079361E-3</v>
      </c>
    </row>
    <row r="84" spans="2:8" ht="148.19999999999999" customHeight="1" thickTop="1" thickBot="1" x14ac:dyDescent="0.35">
      <c r="B84" s="81" t="s">
        <v>137</v>
      </c>
      <c r="C84" s="81">
        <v>149</v>
      </c>
      <c r="D84" s="82" t="s">
        <v>107</v>
      </c>
      <c r="E84" s="83" t="s">
        <v>64</v>
      </c>
      <c r="F84" s="83" t="s">
        <v>237</v>
      </c>
      <c r="G84" s="80">
        <v>1</v>
      </c>
      <c r="H84" s="84">
        <f>G84/149</f>
        <v>6.7114093959731542E-3</v>
      </c>
    </row>
    <row r="85" spans="2:8" ht="38.4" customHeight="1" thickTop="1" thickBot="1" x14ac:dyDescent="0.35">
      <c r="B85" s="122" t="s">
        <v>258</v>
      </c>
      <c r="C85" s="123">
        <v>149</v>
      </c>
      <c r="D85" s="124"/>
      <c r="E85" s="83"/>
      <c r="F85" s="83"/>
      <c r="G85" s="80">
        <v>1</v>
      </c>
      <c r="H85" s="84">
        <f>G85/149</f>
        <v>6.7114093959731542E-3</v>
      </c>
    </row>
    <row r="86" spans="2:8" ht="151.19999999999999" customHeight="1" thickTop="1" thickBot="1" x14ac:dyDescent="0.35">
      <c r="B86" s="62" t="s">
        <v>138</v>
      </c>
      <c r="C86" s="62">
        <v>202</v>
      </c>
      <c r="D86" s="63" t="s">
        <v>108</v>
      </c>
      <c r="E86" s="65" t="s">
        <v>172</v>
      </c>
      <c r="F86" s="65" t="s">
        <v>230</v>
      </c>
      <c r="G86" s="65">
        <v>1</v>
      </c>
      <c r="H86" s="66">
        <f>G86/202</f>
        <v>4.9504950495049506E-3</v>
      </c>
    </row>
    <row r="87" spans="2:8" ht="44.4" customHeight="1" thickTop="1" thickBot="1" x14ac:dyDescent="0.35">
      <c r="B87" s="120" t="s">
        <v>259</v>
      </c>
      <c r="C87" s="120">
        <v>202</v>
      </c>
      <c r="D87" s="119"/>
      <c r="E87" s="65"/>
      <c r="F87" s="65"/>
      <c r="G87" s="65">
        <v>1</v>
      </c>
      <c r="H87" s="66">
        <f>G87/202</f>
        <v>4.9504950495049506E-3</v>
      </c>
    </row>
    <row r="88" spans="2:8" ht="60" customHeight="1" thickTop="1" thickBot="1" x14ac:dyDescent="0.35">
      <c r="B88" s="161" t="s">
        <v>139</v>
      </c>
      <c r="C88" s="161">
        <v>167</v>
      </c>
      <c r="D88" s="160" t="s">
        <v>109</v>
      </c>
      <c r="E88" s="57" t="s">
        <v>56</v>
      </c>
      <c r="F88" s="55" t="s">
        <v>232</v>
      </c>
      <c r="G88" s="55">
        <v>21</v>
      </c>
      <c r="H88" s="56">
        <f>G88/167</f>
        <v>0.12574850299401197</v>
      </c>
    </row>
    <row r="89" spans="2:8" ht="60" customHeight="1" thickTop="1" thickBot="1" x14ac:dyDescent="0.35">
      <c r="B89" s="161"/>
      <c r="C89" s="161"/>
      <c r="D89" s="160"/>
      <c r="E89" s="55" t="s">
        <v>57</v>
      </c>
      <c r="F89" s="55" t="s">
        <v>231</v>
      </c>
      <c r="G89" s="55">
        <v>4</v>
      </c>
      <c r="H89" s="56">
        <f>G89/167</f>
        <v>2.3952095808383235E-2</v>
      </c>
    </row>
    <row r="90" spans="2:8" ht="60" customHeight="1" thickTop="1" thickBot="1" x14ac:dyDescent="0.35">
      <c r="B90" s="161"/>
      <c r="C90" s="161"/>
      <c r="D90" s="160"/>
      <c r="E90" s="55" t="s">
        <v>176</v>
      </c>
      <c r="F90" s="55" t="s">
        <v>202</v>
      </c>
      <c r="G90" s="55">
        <v>1</v>
      </c>
      <c r="H90" s="56">
        <f>G90/167</f>
        <v>5.9880239520958087E-3</v>
      </c>
    </row>
    <row r="91" spans="2:8" ht="60" customHeight="1" thickTop="1" thickBot="1" x14ac:dyDescent="0.35">
      <c r="B91" s="161"/>
      <c r="C91" s="161"/>
      <c r="D91" s="160"/>
      <c r="E91" s="55" t="s">
        <v>61</v>
      </c>
      <c r="F91" s="55" t="s">
        <v>237</v>
      </c>
      <c r="G91" s="55">
        <v>1</v>
      </c>
      <c r="H91" s="56">
        <f>G91/167</f>
        <v>5.9880239520958087E-3</v>
      </c>
    </row>
    <row r="92" spans="2:8" ht="60" customHeight="1" thickTop="1" thickBot="1" x14ac:dyDescent="0.35">
      <c r="B92" s="118" t="s">
        <v>260</v>
      </c>
      <c r="C92" s="118">
        <v>167</v>
      </c>
      <c r="D92" s="117"/>
      <c r="E92" s="55"/>
      <c r="F92" s="55"/>
      <c r="G92" s="55">
        <f>SUM(G88:G91)</f>
        <v>27</v>
      </c>
      <c r="H92" s="56">
        <f>G92/167</f>
        <v>0.16167664670658682</v>
      </c>
    </row>
    <row r="93" spans="2:8" ht="82.2" customHeight="1" thickTop="1" thickBot="1" x14ac:dyDescent="0.35">
      <c r="B93" s="159" t="s">
        <v>140</v>
      </c>
      <c r="C93" s="159">
        <v>52</v>
      </c>
      <c r="D93" s="158" t="s">
        <v>110</v>
      </c>
      <c r="E93" s="79" t="s">
        <v>25</v>
      </c>
      <c r="F93" s="59" t="s">
        <v>233</v>
      </c>
      <c r="G93" s="59">
        <v>3</v>
      </c>
      <c r="H93" s="60">
        <f>G93/52</f>
        <v>5.7692307692307696E-2</v>
      </c>
    </row>
    <row r="94" spans="2:8" ht="78.599999999999994" customHeight="1" thickTop="1" thickBot="1" x14ac:dyDescent="0.35">
      <c r="B94" s="159"/>
      <c r="C94" s="159"/>
      <c r="D94" s="158"/>
      <c r="E94" s="59" t="s">
        <v>148</v>
      </c>
      <c r="F94" s="59" t="s">
        <v>202</v>
      </c>
      <c r="G94" s="59">
        <v>1</v>
      </c>
      <c r="H94" s="60">
        <f>G94/52</f>
        <v>1.9230769230769232E-2</v>
      </c>
    </row>
    <row r="95" spans="2:8" ht="78.599999999999994" customHeight="1" thickTop="1" thickBot="1" x14ac:dyDescent="0.35">
      <c r="B95" s="113" t="s">
        <v>261</v>
      </c>
      <c r="C95" s="113">
        <v>52</v>
      </c>
      <c r="D95" s="121"/>
      <c r="E95" s="59"/>
      <c r="F95" s="59"/>
      <c r="G95" s="59">
        <f>SUM(G93:G94)</f>
        <v>4</v>
      </c>
      <c r="H95" s="60">
        <f>G95/52</f>
        <v>7.6923076923076927E-2</v>
      </c>
    </row>
    <row r="96" spans="2:8" ht="60" customHeight="1" thickTop="1" thickBot="1" x14ac:dyDescent="0.35">
      <c r="B96" s="161" t="s">
        <v>141</v>
      </c>
      <c r="C96" s="161">
        <v>149</v>
      </c>
      <c r="D96" s="160" t="s">
        <v>111</v>
      </c>
      <c r="E96" s="57" t="s">
        <v>195</v>
      </c>
      <c r="F96" s="55" t="s">
        <v>234</v>
      </c>
      <c r="G96" s="98">
        <v>65</v>
      </c>
      <c r="H96" s="56">
        <f>G96/149</f>
        <v>0.43624161073825501</v>
      </c>
    </row>
    <row r="97" spans="2:8" ht="60" customHeight="1" thickTop="1" thickBot="1" x14ac:dyDescent="0.35">
      <c r="B97" s="161"/>
      <c r="C97" s="161"/>
      <c r="D97" s="160"/>
      <c r="E97" s="57" t="s">
        <v>33</v>
      </c>
      <c r="F97" s="55" t="s">
        <v>208</v>
      </c>
      <c r="G97" s="98">
        <v>6</v>
      </c>
      <c r="H97" s="56">
        <f>G97/149</f>
        <v>4.0268456375838924E-2</v>
      </c>
    </row>
    <row r="98" spans="2:8" ht="60" customHeight="1" thickTop="1" thickBot="1" x14ac:dyDescent="0.35">
      <c r="B98" s="161"/>
      <c r="C98" s="161"/>
      <c r="D98" s="160"/>
      <c r="E98" s="55" t="s">
        <v>175</v>
      </c>
      <c r="F98" s="55" t="s">
        <v>208</v>
      </c>
      <c r="G98" s="55">
        <v>2</v>
      </c>
      <c r="H98" s="56">
        <f>G98/149</f>
        <v>1.3422818791946308E-2</v>
      </c>
    </row>
    <row r="99" spans="2:8" ht="60" customHeight="1" thickTop="1" thickBot="1" x14ac:dyDescent="0.35">
      <c r="B99" s="161"/>
      <c r="C99" s="161"/>
      <c r="D99" s="160"/>
      <c r="E99" s="55" t="s">
        <v>163</v>
      </c>
      <c r="F99" s="55" t="s">
        <v>216</v>
      </c>
      <c r="G99" s="55">
        <v>1</v>
      </c>
      <c r="H99" s="56">
        <f>G99/149</f>
        <v>6.7114093959731542E-3</v>
      </c>
    </row>
    <row r="100" spans="2:8" ht="60" customHeight="1" thickTop="1" thickBot="1" x14ac:dyDescent="0.35">
      <c r="B100" s="118" t="s">
        <v>262</v>
      </c>
      <c r="C100" s="118">
        <v>149</v>
      </c>
      <c r="D100" s="117"/>
      <c r="E100" s="55"/>
      <c r="F100" s="55"/>
      <c r="G100" s="55">
        <f>SUM(G96:G99)</f>
        <v>74</v>
      </c>
      <c r="H100" s="56">
        <f>G100/149</f>
        <v>0.49664429530201343</v>
      </c>
    </row>
    <row r="101" spans="2:8" ht="60" customHeight="1" thickTop="1" thickBot="1" x14ac:dyDescent="0.35">
      <c r="B101" s="171" t="s">
        <v>142</v>
      </c>
      <c r="C101" s="171">
        <v>134</v>
      </c>
      <c r="D101" s="172" t="s">
        <v>112</v>
      </c>
      <c r="E101" s="93" t="s">
        <v>51</v>
      </c>
      <c r="F101" s="65" t="s">
        <v>202</v>
      </c>
      <c r="G101" s="65">
        <v>42</v>
      </c>
      <c r="H101" s="66">
        <f>G101/134</f>
        <v>0.31343283582089554</v>
      </c>
    </row>
    <row r="102" spans="2:8" ht="60" customHeight="1" thickTop="1" thickBot="1" x14ac:dyDescent="0.35">
      <c r="B102" s="171"/>
      <c r="C102" s="171"/>
      <c r="D102" s="172"/>
      <c r="E102" s="93" t="s">
        <v>151</v>
      </c>
      <c r="F102" s="65" t="s">
        <v>235</v>
      </c>
      <c r="G102" s="65">
        <v>27</v>
      </c>
      <c r="H102" s="66">
        <f t="shared" ref="H102:H105" si="7">G102/134</f>
        <v>0.20149253731343283</v>
      </c>
    </row>
    <row r="103" spans="2:8" ht="60" customHeight="1" thickTop="1" thickBot="1" x14ac:dyDescent="0.35">
      <c r="B103" s="171"/>
      <c r="C103" s="171"/>
      <c r="D103" s="172"/>
      <c r="E103" s="65" t="s">
        <v>58</v>
      </c>
      <c r="F103" s="65" t="s">
        <v>234</v>
      </c>
      <c r="G103" s="65">
        <v>3</v>
      </c>
      <c r="H103" s="66">
        <f t="shared" si="7"/>
        <v>2.2388059701492536E-2</v>
      </c>
    </row>
    <row r="104" spans="2:8" ht="60" customHeight="1" thickTop="1" thickBot="1" x14ac:dyDescent="0.35">
      <c r="B104" s="171"/>
      <c r="C104" s="171"/>
      <c r="D104" s="172"/>
      <c r="E104" s="65" t="s">
        <v>32</v>
      </c>
      <c r="F104" s="65" t="s">
        <v>207</v>
      </c>
      <c r="G104" s="65">
        <v>2</v>
      </c>
      <c r="H104" s="66">
        <f t="shared" si="7"/>
        <v>1.4925373134328358E-2</v>
      </c>
    </row>
    <row r="105" spans="2:8" ht="60" customHeight="1" thickTop="1" thickBot="1" x14ac:dyDescent="0.35">
      <c r="B105" s="120" t="s">
        <v>263</v>
      </c>
      <c r="C105" s="154">
        <v>134</v>
      </c>
      <c r="D105" s="119"/>
      <c r="E105" s="65"/>
      <c r="F105" s="65"/>
      <c r="G105" s="65">
        <f>SUM(G101:G104)</f>
        <v>74</v>
      </c>
      <c r="H105" s="66">
        <f t="shared" si="7"/>
        <v>0.55223880597014929</v>
      </c>
    </row>
    <row r="106" spans="2:8" ht="60" customHeight="1" thickTop="1" thickBot="1" x14ac:dyDescent="0.35">
      <c r="B106" s="155" t="s">
        <v>143</v>
      </c>
      <c r="C106" s="164">
        <v>30</v>
      </c>
      <c r="D106" s="165" t="s">
        <v>113</v>
      </c>
      <c r="E106" s="83" t="s">
        <v>153</v>
      </c>
      <c r="F106" s="80" t="s">
        <v>208</v>
      </c>
      <c r="G106" s="80">
        <v>9</v>
      </c>
      <c r="H106" s="99">
        <f t="shared" ref="H106:H111" si="8">G106/30</f>
        <v>0.3</v>
      </c>
    </row>
    <row r="107" spans="2:8" ht="60" customHeight="1" thickTop="1" thickBot="1" x14ac:dyDescent="0.35">
      <c r="B107" s="183"/>
      <c r="C107" s="181"/>
      <c r="D107" s="182"/>
      <c r="E107" s="80" t="s">
        <v>36</v>
      </c>
      <c r="F107" s="80" t="s">
        <v>202</v>
      </c>
      <c r="G107" s="80">
        <v>6</v>
      </c>
      <c r="H107" s="99">
        <f t="shared" si="8"/>
        <v>0.2</v>
      </c>
    </row>
    <row r="108" spans="2:8" ht="60" customHeight="1" thickTop="1" thickBot="1" x14ac:dyDescent="0.35">
      <c r="B108" s="183"/>
      <c r="C108" s="181"/>
      <c r="D108" s="182"/>
      <c r="E108" s="80" t="s">
        <v>34</v>
      </c>
      <c r="F108" s="80" t="s">
        <v>192</v>
      </c>
      <c r="G108" s="80">
        <v>5</v>
      </c>
      <c r="H108" s="99">
        <f t="shared" si="8"/>
        <v>0.16666666666666666</v>
      </c>
    </row>
    <row r="109" spans="2:8" ht="60" customHeight="1" thickTop="1" thickBot="1" x14ac:dyDescent="0.35">
      <c r="B109" s="183"/>
      <c r="C109" s="181"/>
      <c r="D109" s="182"/>
      <c r="E109" s="80" t="s">
        <v>150</v>
      </c>
      <c r="F109" s="80" t="s">
        <v>209</v>
      </c>
      <c r="G109" s="80">
        <v>1</v>
      </c>
      <c r="H109" s="99">
        <f t="shared" si="8"/>
        <v>3.3333333333333333E-2</v>
      </c>
    </row>
    <row r="110" spans="2:8" ht="60" customHeight="1" thickTop="1" thickBot="1" x14ac:dyDescent="0.35">
      <c r="B110" s="183"/>
      <c r="C110" s="181"/>
      <c r="D110" s="182"/>
      <c r="E110" s="80" t="s">
        <v>37</v>
      </c>
      <c r="F110" s="80" t="s">
        <v>225</v>
      </c>
      <c r="G110" s="80">
        <v>1</v>
      </c>
      <c r="H110" s="99">
        <f t="shared" si="8"/>
        <v>3.3333333333333333E-2</v>
      </c>
    </row>
    <row r="111" spans="2:8" ht="60" customHeight="1" thickTop="1" thickBot="1" x14ac:dyDescent="0.35">
      <c r="B111" s="184"/>
      <c r="C111" s="156"/>
      <c r="D111" s="166"/>
      <c r="E111" s="80" t="s">
        <v>168</v>
      </c>
      <c r="F111" s="80" t="s">
        <v>189</v>
      </c>
      <c r="G111" s="80">
        <v>1</v>
      </c>
      <c r="H111" s="99">
        <f t="shared" si="8"/>
        <v>3.3333333333333333E-2</v>
      </c>
    </row>
    <row r="112" spans="2:8" ht="60" customHeight="1" thickTop="1" thickBot="1" x14ac:dyDescent="0.35">
      <c r="B112" s="122" t="s">
        <v>264</v>
      </c>
      <c r="C112" s="123">
        <v>30</v>
      </c>
      <c r="D112" s="124"/>
      <c r="E112" s="80"/>
      <c r="F112" s="80"/>
      <c r="G112" s="80">
        <f>SUM(G106:G111)</f>
        <v>23</v>
      </c>
      <c r="H112" s="99">
        <f>SUM(H106:H111)</f>
        <v>0.76666666666666661</v>
      </c>
    </row>
    <row r="113" spans="1:14" ht="23.4" customHeight="1" thickTop="1" thickBot="1" x14ac:dyDescent="0.35">
      <c r="B113" s="73" t="s">
        <v>144</v>
      </c>
      <c r="C113" s="73">
        <v>93</v>
      </c>
      <c r="D113" s="100" t="s">
        <v>114</v>
      </c>
      <c r="E113" s="103">
        <v>0</v>
      </c>
      <c r="F113" s="55">
        <v>0</v>
      </c>
      <c r="G113" s="55">
        <v>0</v>
      </c>
      <c r="H113" s="101">
        <f>G113/C113</f>
        <v>0</v>
      </c>
    </row>
    <row r="114" spans="1:14" s="23" customFormat="1" ht="184.2" customHeight="1" thickTop="1" thickBot="1" x14ac:dyDescent="0.35">
      <c r="A114" s="22"/>
      <c r="B114" s="77" t="s">
        <v>145</v>
      </c>
      <c r="C114" s="77">
        <v>102</v>
      </c>
      <c r="D114" s="78" t="s">
        <v>115</v>
      </c>
      <c r="E114" s="61" t="s">
        <v>182</v>
      </c>
      <c r="F114" s="59" t="s">
        <v>230</v>
      </c>
      <c r="G114" s="59">
        <v>1</v>
      </c>
      <c r="H114" s="60">
        <f>G114/102</f>
        <v>9.8039215686274508E-3</v>
      </c>
      <c r="I114" s="24"/>
      <c r="J114" s="24"/>
      <c r="K114" s="24"/>
      <c r="L114" s="24"/>
      <c r="M114" s="24"/>
      <c r="N114" s="24"/>
    </row>
    <row r="115" spans="1:14" s="24" customFormat="1" ht="24.6" customHeight="1" thickTop="1" thickBot="1" x14ac:dyDescent="0.35">
      <c r="B115" s="113" t="s">
        <v>265</v>
      </c>
      <c r="C115" s="113">
        <v>102</v>
      </c>
      <c r="D115" s="121"/>
      <c r="E115" s="61"/>
      <c r="F115" s="59"/>
      <c r="G115" s="59">
        <v>1</v>
      </c>
      <c r="H115" s="60">
        <f>G115/102</f>
        <v>9.8039215686274508E-3</v>
      </c>
    </row>
    <row r="116" spans="1:14" ht="24.6" customHeight="1" thickTop="1" thickBot="1" x14ac:dyDescent="0.35">
      <c r="A116" s="24"/>
      <c r="B116" s="49"/>
      <c r="C116" s="49"/>
      <c r="D116" s="50"/>
      <c r="E116" s="50"/>
      <c r="F116" s="50"/>
      <c r="G116" s="50">
        <f>SUM(G2:G114)</f>
        <v>1415</v>
      </c>
      <c r="H116" s="51"/>
    </row>
    <row r="117" spans="1:14" ht="12" customHeight="1" thickTop="1" thickBot="1" x14ac:dyDescent="0.35">
      <c r="A117" s="24"/>
      <c r="B117" s="49"/>
      <c r="C117" s="49"/>
      <c r="D117" s="50"/>
      <c r="E117" s="50"/>
      <c r="F117" s="50"/>
      <c r="G117" s="50"/>
      <c r="H117" s="51"/>
    </row>
    <row r="118" spans="1:14" ht="60" customHeight="1" thickTop="1" x14ac:dyDescent="0.3">
      <c r="A118" s="24"/>
      <c r="B118" s="10"/>
      <c r="C118" s="10"/>
      <c r="D118" s="11"/>
      <c r="E118" s="11"/>
      <c r="F118" s="11"/>
      <c r="G118" s="11"/>
      <c r="H118" s="47"/>
    </row>
    <row r="119" spans="1:14" ht="60" customHeight="1" x14ac:dyDescent="0.3">
      <c r="A119" s="24"/>
      <c r="B119" s="10"/>
      <c r="C119" s="10"/>
      <c r="D119" s="11"/>
      <c r="E119" s="11"/>
      <c r="F119" s="11"/>
      <c r="G119" s="11"/>
    </row>
    <row r="120" spans="1:14" ht="60" customHeight="1" x14ac:dyDescent="0.3">
      <c r="A120" s="24"/>
      <c r="B120" s="10"/>
      <c r="C120" s="10"/>
      <c r="D120" s="11"/>
      <c r="E120" s="11"/>
      <c r="F120" s="11"/>
      <c r="G120" s="11"/>
    </row>
    <row r="121" spans="1:14" ht="60" customHeight="1" x14ac:dyDescent="0.3">
      <c r="A121" s="24"/>
      <c r="B121" s="10"/>
      <c r="C121" s="10"/>
      <c r="D121" s="11"/>
      <c r="E121" s="11"/>
      <c r="F121" s="11"/>
      <c r="G121" s="11"/>
    </row>
    <row r="122" spans="1:14" ht="60" customHeight="1" x14ac:dyDescent="0.3">
      <c r="A122" s="24"/>
      <c r="B122" s="10"/>
      <c r="C122" s="10"/>
      <c r="D122" s="11"/>
      <c r="E122" s="11"/>
      <c r="F122" s="11"/>
      <c r="G122" s="11"/>
    </row>
    <row r="123" spans="1:14" ht="60" customHeight="1" x14ac:dyDescent="0.3">
      <c r="A123" s="24"/>
      <c r="B123" s="10"/>
      <c r="C123" s="10"/>
      <c r="D123" s="11"/>
      <c r="E123" s="11"/>
      <c r="F123" s="11"/>
      <c r="G123" s="11"/>
    </row>
    <row r="124" spans="1:14" ht="60" customHeight="1" x14ac:dyDescent="0.3">
      <c r="A124" s="24"/>
      <c r="B124" s="10"/>
      <c r="C124" s="10"/>
      <c r="D124" s="11"/>
      <c r="E124" s="11"/>
      <c r="F124" s="11"/>
      <c r="G124" s="11"/>
    </row>
    <row r="125" spans="1:14" ht="60" customHeight="1" x14ac:dyDescent="0.3">
      <c r="A125" s="24"/>
      <c r="B125" s="10"/>
      <c r="C125" s="10"/>
      <c r="D125" s="11"/>
      <c r="E125" s="11"/>
      <c r="F125" s="11"/>
      <c r="G125" s="11"/>
    </row>
    <row r="126" spans="1:14" ht="60" customHeight="1" x14ac:dyDescent="0.3">
      <c r="A126" s="24"/>
      <c r="B126" s="10"/>
      <c r="C126" s="10"/>
      <c r="D126" s="11"/>
      <c r="E126" s="11"/>
      <c r="F126" s="11"/>
      <c r="G126" s="11"/>
    </row>
    <row r="127" spans="1:14" ht="60" customHeight="1" x14ac:dyDescent="0.3">
      <c r="A127" s="24"/>
      <c r="B127" s="10"/>
      <c r="C127" s="10"/>
      <c r="D127" s="11"/>
      <c r="E127" s="11"/>
      <c r="F127" s="11"/>
      <c r="G127" s="11"/>
    </row>
    <row r="128" spans="1:14" ht="60" customHeight="1" x14ac:dyDescent="0.3">
      <c r="A128" s="24"/>
      <c r="B128" s="10"/>
      <c r="C128" s="10"/>
      <c r="D128" s="11"/>
      <c r="E128" s="11"/>
      <c r="F128" s="11"/>
      <c r="G128" s="11"/>
    </row>
    <row r="129" spans="1:7" ht="60" customHeight="1" x14ac:dyDescent="0.3">
      <c r="A129" s="24"/>
      <c r="B129" s="10"/>
      <c r="C129" s="10"/>
      <c r="D129" s="11"/>
      <c r="E129" s="11"/>
      <c r="F129" s="11"/>
      <c r="G129" s="11"/>
    </row>
    <row r="130" spans="1:7" ht="60" customHeight="1" x14ac:dyDescent="0.3">
      <c r="A130" s="24"/>
      <c r="B130" s="10"/>
      <c r="C130" s="10"/>
      <c r="D130" s="11"/>
      <c r="E130" s="11"/>
      <c r="F130" s="11"/>
      <c r="G130" s="11"/>
    </row>
    <row r="131" spans="1:7" ht="60" customHeight="1" x14ac:dyDescent="0.3">
      <c r="A131" s="24"/>
      <c r="B131" s="10"/>
      <c r="C131" s="10"/>
      <c r="D131" s="11"/>
      <c r="E131" s="11"/>
      <c r="F131" s="11"/>
      <c r="G131" s="11"/>
    </row>
    <row r="132" spans="1:7" ht="60" customHeight="1" x14ac:dyDescent="0.3">
      <c r="A132" s="24"/>
      <c r="B132" s="10"/>
      <c r="C132" s="10"/>
      <c r="D132" s="11"/>
      <c r="E132" s="11"/>
      <c r="F132" s="11"/>
      <c r="G132" s="11"/>
    </row>
    <row r="133" spans="1:7" ht="60" customHeight="1" x14ac:dyDescent="0.3">
      <c r="A133" s="24"/>
      <c r="B133" s="10"/>
      <c r="C133" s="10"/>
      <c r="D133" s="11"/>
      <c r="E133" s="11"/>
      <c r="F133" s="11"/>
      <c r="G133" s="11"/>
    </row>
    <row r="134" spans="1:7" ht="60" customHeight="1" x14ac:dyDescent="0.3">
      <c r="A134" s="24"/>
      <c r="B134" s="10"/>
      <c r="C134" s="10"/>
      <c r="D134" s="11"/>
      <c r="E134" s="11"/>
      <c r="F134" s="11"/>
      <c r="G134" s="11"/>
    </row>
    <row r="135" spans="1:7" ht="60" customHeight="1" x14ac:dyDescent="0.3">
      <c r="A135" s="24"/>
      <c r="B135" s="10"/>
      <c r="C135" s="10"/>
      <c r="D135" s="11"/>
      <c r="E135" s="11"/>
      <c r="F135" s="11"/>
      <c r="G135" s="11"/>
    </row>
    <row r="136" spans="1:7" ht="60" customHeight="1" x14ac:dyDescent="0.3">
      <c r="A136" s="24"/>
      <c r="B136" s="10"/>
      <c r="C136" s="10"/>
      <c r="D136" s="11"/>
      <c r="E136" s="11"/>
      <c r="F136" s="11"/>
      <c r="G136" s="11"/>
    </row>
    <row r="137" spans="1:7" ht="60" customHeight="1" x14ac:dyDescent="0.3">
      <c r="A137" s="24"/>
      <c r="B137" s="10"/>
      <c r="C137" s="10"/>
      <c r="D137" s="11"/>
      <c r="E137" s="11"/>
      <c r="F137" s="11"/>
      <c r="G137" s="11"/>
    </row>
    <row r="138" spans="1:7" ht="60" customHeight="1" x14ac:dyDescent="0.3">
      <c r="A138" s="24"/>
      <c r="B138" s="10"/>
      <c r="C138" s="10"/>
      <c r="D138" s="11"/>
      <c r="E138" s="11"/>
      <c r="F138" s="11"/>
      <c r="G138" s="11"/>
    </row>
    <row r="139" spans="1:7" ht="60" customHeight="1" x14ac:dyDescent="0.3">
      <c r="A139" s="24"/>
      <c r="B139" s="10"/>
      <c r="C139" s="10"/>
      <c r="D139" s="11"/>
      <c r="E139" s="11"/>
      <c r="F139" s="11"/>
      <c r="G139" s="11"/>
    </row>
    <row r="140" spans="1:7" ht="60" customHeight="1" x14ac:dyDescent="0.3">
      <c r="A140" s="24"/>
      <c r="B140" s="10"/>
      <c r="C140" s="10"/>
      <c r="D140" s="11"/>
      <c r="E140" s="11"/>
      <c r="F140" s="11"/>
      <c r="G140" s="11"/>
    </row>
    <row r="141" spans="1:7" ht="60" customHeight="1" x14ac:dyDescent="0.3">
      <c r="A141" s="24"/>
      <c r="B141" s="10"/>
      <c r="C141" s="10"/>
      <c r="D141" s="11"/>
      <c r="E141" s="11"/>
      <c r="F141" s="11"/>
    </row>
    <row r="142" spans="1:7" ht="60" customHeight="1" x14ac:dyDescent="0.3">
      <c r="A142" s="24"/>
      <c r="B142" s="10"/>
      <c r="C142" s="10"/>
      <c r="D142" s="11"/>
      <c r="E142" s="11"/>
      <c r="F142" s="11"/>
    </row>
    <row r="143" spans="1:7" ht="60" customHeight="1" x14ac:dyDescent="0.3">
      <c r="A143" s="24"/>
      <c r="B143" s="10"/>
      <c r="C143" s="10"/>
      <c r="D143" s="11"/>
      <c r="E143" s="11"/>
      <c r="F143" s="11"/>
    </row>
    <row r="144" spans="1:7" ht="60" customHeight="1" x14ac:dyDescent="0.3">
      <c r="A144" s="24"/>
      <c r="B144" s="10"/>
      <c r="C144" s="10"/>
      <c r="D144" s="11"/>
      <c r="E144" s="11"/>
      <c r="F144" s="11"/>
    </row>
    <row r="145" spans="1:7" ht="60" customHeight="1" x14ac:dyDescent="0.3">
      <c r="A145" s="24"/>
      <c r="B145" s="10"/>
      <c r="C145" s="10"/>
      <c r="D145" s="11"/>
      <c r="E145" s="11"/>
      <c r="F145" s="11"/>
    </row>
    <row r="146" spans="1:7" ht="60" customHeight="1" x14ac:dyDescent="0.3">
      <c r="A146" s="24"/>
      <c r="B146" s="10"/>
      <c r="C146" s="10"/>
      <c r="D146" s="11"/>
      <c r="E146" s="11"/>
      <c r="F146" s="11"/>
    </row>
    <row r="147" spans="1:7" ht="60" customHeight="1" x14ac:dyDescent="0.3">
      <c r="A147" s="24"/>
      <c r="B147" s="10"/>
      <c r="C147" s="10"/>
      <c r="D147" s="11"/>
      <c r="E147" s="11"/>
      <c r="F147" s="11"/>
    </row>
    <row r="148" spans="1:7" ht="60" customHeight="1" x14ac:dyDescent="0.3">
      <c r="A148" s="24"/>
      <c r="B148" s="10"/>
      <c r="C148" s="10"/>
      <c r="D148" s="11"/>
      <c r="E148" s="11"/>
      <c r="F148" s="11"/>
    </row>
    <row r="149" spans="1:7" ht="60" customHeight="1" x14ac:dyDescent="0.3">
      <c r="A149" s="24"/>
      <c r="B149" s="10"/>
      <c r="C149" s="10"/>
      <c r="D149" s="11"/>
      <c r="E149" s="11"/>
      <c r="F149" s="11"/>
    </row>
    <row r="150" spans="1:7" ht="60" customHeight="1" x14ac:dyDescent="0.3">
      <c r="A150" s="24"/>
      <c r="B150" s="10"/>
      <c r="C150" s="10"/>
      <c r="D150" s="11"/>
      <c r="E150" s="11"/>
      <c r="F150" s="11"/>
    </row>
    <row r="151" spans="1:7" ht="60" customHeight="1" x14ac:dyDescent="0.3">
      <c r="A151" s="24"/>
      <c r="B151" s="10"/>
      <c r="C151" s="10"/>
      <c r="D151" s="11"/>
      <c r="E151" s="11"/>
      <c r="F151" s="11"/>
    </row>
    <row r="152" spans="1:7" ht="60" customHeight="1" x14ac:dyDescent="0.3">
      <c r="A152" s="24"/>
      <c r="B152" s="10"/>
      <c r="C152" s="10"/>
      <c r="D152" s="11"/>
      <c r="E152" s="11"/>
      <c r="F152" s="11"/>
    </row>
    <row r="153" spans="1:7" ht="60" customHeight="1" x14ac:dyDescent="0.3">
      <c r="A153" s="24"/>
      <c r="B153" s="10"/>
      <c r="C153" s="10"/>
      <c r="D153" s="11"/>
      <c r="E153" s="11"/>
      <c r="F153" s="11"/>
    </row>
    <row r="154" spans="1:7" ht="60" customHeight="1" x14ac:dyDescent="0.3">
      <c r="A154" s="24"/>
      <c r="B154" s="10"/>
      <c r="C154" s="10"/>
      <c r="D154" s="11"/>
      <c r="E154" s="11"/>
      <c r="F154" s="11"/>
    </row>
    <row r="155" spans="1:7" ht="60" customHeight="1" x14ac:dyDescent="0.3">
      <c r="A155" s="24"/>
      <c r="B155" s="10"/>
      <c r="C155" s="10"/>
      <c r="D155" s="11"/>
      <c r="E155" s="11"/>
      <c r="F155" s="11"/>
    </row>
    <row r="156" spans="1:7" ht="60" customHeight="1" x14ac:dyDescent="0.3">
      <c r="A156" s="24"/>
      <c r="B156" s="10"/>
      <c r="C156" s="10"/>
      <c r="D156" s="11"/>
      <c r="E156" s="11"/>
      <c r="F156" s="11"/>
    </row>
    <row r="157" spans="1:7" ht="60" customHeight="1" x14ac:dyDescent="0.3">
      <c r="A157" s="24"/>
      <c r="B157" s="10"/>
      <c r="C157" s="10"/>
      <c r="D157" s="11"/>
      <c r="E157" s="11"/>
      <c r="F157" s="11"/>
    </row>
    <row r="158" spans="1:7" ht="60" customHeight="1" x14ac:dyDescent="0.3">
      <c r="A158" s="24"/>
      <c r="B158" s="10"/>
      <c r="C158" s="10"/>
      <c r="D158" s="11"/>
      <c r="E158" s="8"/>
      <c r="F158" s="8"/>
      <c r="G158" s="25"/>
    </row>
    <row r="159" spans="1:7" ht="60" customHeight="1" x14ac:dyDescent="0.3">
      <c r="A159" s="24"/>
      <c r="B159" s="10"/>
      <c r="C159" s="10"/>
      <c r="D159" s="11"/>
      <c r="E159" s="8"/>
      <c r="F159" s="8"/>
      <c r="G159" s="25"/>
    </row>
    <row r="160" spans="1:7" ht="60" customHeight="1" x14ac:dyDescent="0.3">
      <c r="A160" s="24"/>
      <c r="B160" s="10"/>
      <c r="C160" s="10"/>
      <c r="D160" s="11"/>
      <c r="E160" s="8"/>
      <c r="F160" s="8"/>
      <c r="G160" s="25"/>
    </row>
    <row r="161" spans="1:7" ht="60" customHeight="1" x14ac:dyDescent="0.3">
      <c r="A161" s="24"/>
      <c r="B161" s="10"/>
      <c r="C161" s="10"/>
      <c r="D161" s="11"/>
      <c r="E161" s="8"/>
      <c r="F161" s="8"/>
      <c r="G161" s="25"/>
    </row>
    <row r="162" spans="1:7" ht="60" customHeight="1" x14ac:dyDescent="0.3">
      <c r="A162" s="24"/>
      <c r="B162" s="10"/>
      <c r="C162" s="10"/>
      <c r="D162" s="11"/>
      <c r="E162" s="8"/>
      <c r="F162" s="8"/>
      <c r="G162" s="25"/>
    </row>
    <row r="163" spans="1:7" ht="60" customHeight="1" x14ac:dyDescent="0.3">
      <c r="A163" s="24"/>
      <c r="B163" s="10"/>
      <c r="C163" s="10"/>
      <c r="D163" s="11"/>
      <c r="E163" s="8"/>
      <c r="F163" s="8"/>
      <c r="G163" s="25"/>
    </row>
    <row r="164" spans="1:7" ht="60" customHeight="1" x14ac:dyDescent="0.3">
      <c r="A164" s="24"/>
      <c r="B164" s="10"/>
      <c r="C164" s="10"/>
      <c r="D164" s="11"/>
      <c r="E164" s="8"/>
      <c r="F164" s="8"/>
      <c r="G164" s="25"/>
    </row>
    <row r="165" spans="1:7" ht="60" customHeight="1" x14ac:dyDescent="0.3">
      <c r="A165" s="24"/>
      <c r="B165" s="10"/>
      <c r="C165" s="10"/>
      <c r="D165" s="11"/>
      <c r="E165" s="8"/>
      <c r="F165" s="8"/>
      <c r="G165" s="25"/>
    </row>
    <row r="166" spans="1:7" ht="60" customHeight="1" x14ac:dyDescent="0.3">
      <c r="A166" s="24"/>
      <c r="B166" s="10"/>
      <c r="C166" s="10"/>
      <c r="D166" s="11"/>
      <c r="E166" s="8"/>
      <c r="F166" s="8"/>
      <c r="G166" s="25"/>
    </row>
    <row r="167" spans="1:7" ht="60" customHeight="1" x14ac:dyDescent="0.3">
      <c r="A167" s="24"/>
      <c r="B167" s="10"/>
      <c r="C167" s="10"/>
      <c r="D167" s="11"/>
      <c r="E167" s="8"/>
      <c r="F167" s="8"/>
      <c r="G167" s="25"/>
    </row>
    <row r="168" spans="1:7" ht="60" customHeight="1" x14ac:dyDescent="0.3">
      <c r="A168" s="24"/>
      <c r="B168" s="10"/>
      <c r="C168" s="10"/>
      <c r="D168" s="11"/>
      <c r="E168" s="9"/>
      <c r="F168" s="9"/>
      <c r="G168" s="25"/>
    </row>
    <row r="169" spans="1:7" ht="60" customHeight="1" x14ac:dyDescent="0.3">
      <c r="A169" s="24"/>
      <c r="B169" s="10"/>
      <c r="C169" s="10"/>
      <c r="D169" s="11"/>
      <c r="E169" s="9"/>
      <c r="F169" s="9"/>
      <c r="G169" s="28"/>
    </row>
    <row r="170" spans="1:7" ht="60" customHeight="1" x14ac:dyDescent="0.3">
      <c r="A170" s="24"/>
      <c r="B170" s="10"/>
      <c r="C170" s="10"/>
      <c r="D170" s="11"/>
      <c r="E170" s="9"/>
      <c r="F170" s="9"/>
      <c r="G170" s="28"/>
    </row>
    <row r="171" spans="1:7" ht="60" customHeight="1" x14ac:dyDescent="0.3">
      <c r="A171" s="24"/>
      <c r="B171" s="10"/>
      <c r="C171" s="10"/>
      <c r="D171" s="11"/>
      <c r="E171" s="9"/>
      <c r="F171" s="9"/>
      <c r="G171" s="28"/>
    </row>
    <row r="172" spans="1:7" ht="60" customHeight="1" x14ac:dyDescent="0.3">
      <c r="A172" s="24"/>
      <c r="B172" s="10"/>
      <c r="C172" s="10"/>
      <c r="D172" s="11"/>
      <c r="E172" s="9"/>
      <c r="F172" s="9"/>
      <c r="G172" s="28"/>
    </row>
    <row r="173" spans="1:7" ht="60" customHeight="1" x14ac:dyDescent="0.3">
      <c r="A173" s="24"/>
      <c r="B173" s="10"/>
      <c r="C173" s="10"/>
      <c r="D173" s="11"/>
      <c r="E173" s="8"/>
      <c r="F173" s="8"/>
      <c r="G173" s="28"/>
    </row>
    <row r="174" spans="1:7" ht="60" customHeight="1" x14ac:dyDescent="0.3">
      <c r="A174" s="24"/>
      <c r="B174" s="10"/>
      <c r="C174" s="10"/>
      <c r="D174" s="11"/>
      <c r="E174" s="8"/>
      <c r="F174" s="8"/>
      <c r="G174" s="25"/>
    </row>
    <row r="175" spans="1:7" ht="60" customHeight="1" x14ac:dyDescent="0.3">
      <c r="A175" s="24"/>
      <c r="B175" s="10"/>
      <c r="C175" s="10"/>
      <c r="D175" s="11"/>
      <c r="E175" s="8"/>
      <c r="F175" s="8"/>
      <c r="G175" s="25"/>
    </row>
    <row r="176" spans="1:7" ht="60" customHeight="1" x14ac:dyDescent="0.3">
      <c r="A176" s="24"/>
      <c r="B176" s="10"/>
      <c r="C176" s="10"/>
      <c r="D176" s="11"/>
      <c r="E176" s="8"/>
      <c r="F176" s="8"/>
      <c r="G176" s="25"/>
    </row>
    <row r="177" spans="1:7" ht="60" customHeight="1" x14ac:dyDescent="0.3">
      <c r="A177" s="24"/>
      <c r="B177" s="10"/>
      <c r="C177" s="10"/>
      <c r="D177" s="11"/>
      <c r="E177" s="9"/>
      <c r="F177" s="9"/>
      <c r="G177" s="25"/>
    </row>
    <row r="178" spans="1:7" ht="60" customHeight="1" x14ac:dyDescent="0.3">
      <c r="A178" s="24"/>
      <c r="B178" s="10"/>
      <c r="C178" s="10"/>
      <c r="D178" s="11"/>
      <c r="E178" s="9"/>
      <c r="F178" s="9"/>
      <c r="G178" s="28"/>
    </row>
    <row r="179" spans="1:7" ht="60" customHeight="1" x14ac:dyDescent="0.3">
      <c r="A179" s="24"/>
      <c r="B179" s="10"/>
      <c r="C179" s="10"/>
      <c r="D179" s="11"/>
      <c r="E179" s="8"/>
      <c r="F179" s="8"/>
      <c r="G179" s="28"/>
    </row>
    <row r="180" spans="1:7" ht="60" customHeight="1" x14ac:dyDescent="0.3">
      <c r="A180" s="24"/>
      <c r="B180" s="10"/>
      <c r="C180" s="10"/>
      <c r="D180" s="11"/>
      <c r="E180" s="9"/>
      <c r="F180" s="9"/>
      <c r="G180" s="25"/>
    </row>
    <row r="181" spans="1:7" ht="60" customHeight="1" x14ac:dyDescent="0.3">
      <c r="A181" s="24"/>
      <c r="B181" s="10"/>
      <c r="C181" s="10"/>
      <c r="D181" s="11"/>
      <c r="E181" s="12"/>
      <c r="F181" s="12"/>
      <c r="G181" s="28"/>
    </row>
    <row r="182" spans="1:7" ht="60" customHeight="1" x14ac:dyDescent="0.3">
      <c r="A182" s="24"/>
      <c r="B182" s="10"/>
      <c r="C182" s="10"/>
      <c r="D182" s="11"/>
      <c r="E182" s="9"/>
      <c r="F182" s="9"/>
      <c r="G182" s="29"/>
    </row>
    <row r="183" spans="1:7" ht="60" customHeight="1" x14ac:dyDescent="0.3">
      <c r="A183" s="24"/>
      <c r="B183" s="10"/>
      <c r="C183" s="10"/>
      <c r="D183" s="11"/>
      <c r="E183" s="9"/>
      <c r="F183" s="9"/>
      <c r="G183" s="28"/>
    </row>
    <row r="184" spans="1:7" ht="60" customHeight="1" x14ac:dyDescent="0.3">
      <c r="A184" s="24"/>
      <c r="B184" s="10"/>
      <c r="C184" s="10"/>
      <c r="D184" s="11"/>
      <c r="E184" s="9"/>
      <c r="F184" s="9"/>
      <c r="G184" s="28"/>
    </row>
    <row r="185" spans="1:7" ht="60" customHeight="1" x14ac:dyDescent="0.3">
      <c r="A185" s="24"/>
      <c r="B185" s="10"/>
      <c r="C185" s="10"/>
      <c r="D185" s="11"/>
      <c r="E185" s="8"/>
      <c r="F185" s="8"/>
      <c r="G185" s="28"/>
    </row>
    <row r="186" spans="1:7" ht="60" customHeight="1" x14ac:dyDescent="0.3">
      <c r="A186" s="24"/>
      <c r="B186" s="10"/>
      <c r="C186" s="10"/>
      <c r="D186" s="11"/>
      <c r="E186" s="8"/>
      <c r="F186" s="8"/>
      <c r="G186" s="25"/>
    </row>
    <row r="187" spans="1:7" ht="60" customHeight="1" x14ac:dyDescent="0.3">
      <c r="A187" s="24"/>
      <c r="B187" s="10"/>
      <c r="C187" s="10"/>
      <c r="D187" s="11"/>
      <c r="E187" s="8"/>
      <c r="F187" s="8"/>
      <c r="G187" s="25"/>
    </row>
    <row r="188" spans="1:7" ht="60" customHeight="1" x14ac:dyDescent="0.3">
      <c r="A188" s="24"/>
      <c r="B188" s="10"/>
      <c r="C188" s="10"/>
      <c r="D188" s="11"/>
      <c r="E188" s="8"/>
      <c r="F188" s="8"/>
      <c r="G188" s="25"/>
    </row>
    <row r="189" spans="1:7" ht="60" customHeight="1" x14ac:dyDescent="0.3">
      <c r="A189" s="24"/>
      <c r="B189" s="10"/>
      <c r="C189" s="10"/>
      <c r="D189" s="11"/>
      <c r="E189" s="8"/>
      <c r="F189" s="8"/>
      <c r="G189" s="25"/>
    </row>
    <row r="190" spans="1:7" ht="60" customHeight="1" x14ac:dyDescent="0.3">
      <c r="A190" s="24"/>
      <c r="B190" s="10"/>
      <c r="C190" s="10"/>
      <c r="D190" s="11"/>
      <c r="E190" s="12"/>
      <c r="F190" s="12"/>
      <c r="G190" s="25"/>
    </row>
    <row r="191" spans="1:7" ht="60" customHeight="1" x14ac:dyDescent="0.3">
      <c r="A191" s="24"/>
      <c r="B191" s="10"/>
      <c r="C191" s="10"/>
      <c r="D191" s="11"/>
      <c r="E191" s="12"/>
      <c r="F191" s="12"/>
      <c r="G191" s="29"/>
    </row>
    <row r="192" spans="1:7" ht="60" customHeight="1" x14ac:dyDescent="0.3">
      <c r="A192" s="24"/>
      <c r="B192" s="10"/>
      <c r="C192" s="10"/>
      <c r="D192" s="11"/>
      <c r="E192" s="8"/>
      <c r="F192" s="8"/>
      <c r="G192" s="29"/>
    </row>
    <row r="193" spans="1:7" ht="60" customHeight="1" x14ac:dyDescent="0.3">
      <c r="A193" s="24"/>
      <c r="B193" s="10"/>
      <c r="C193" s="10"/>
      <c r="D193" s="11"/>
      <c r="E193" s="9"/>
      <c r="F193" s="9"/>
      <c r="G193" s="25"/>
    </row>
    <row r="194" spans="1:7" ht="60" customHeight="1" x14ac:dyDescent="0.3">
      <c r="A194" s="24"/>
      <c r="B194" s="10"/>
      <c r="C194" s="10"/>
      <c r="D194" s="11"/>
      <c r="E194" s="9"/>
      <c r="F194" s="9"/>
      <c r="G194" s="28"/>
    </row>
    <row r="195" spans="1:7" ht="60" customHeight="1" x14ac:dyDescent="0.3">
      <c r="A195" s="24"/>
      <c r="B195" s="10"/>
      <c r="C195" s="10"/>
      <c r="D195" s="11"/>
      <c r="E195" s="8"/>
      <c r="F195" s="8"/>
      <c r="G195" s="28"/>
    </row>
    <row r="196" spans="1:7" ht="60" customHeight="1" x14ac:dyDescent="0.3">
      <c r="A196" s="24"/>
      <c r="B196" s="10"/>
      <c r="C196" s="10"/>
      <c r="D196" s="11"/>
      <c r="E196" s="8"/>
      <c r="F196" s="8"/>
      <c r="G196" s="25"/>
    </row>
    <row r="197" spans="1:7" ht="60" customHeight="1" x14ac:dyDescent="0.3">
      <c r="A197" s="24"/>
      <c r="B197" s="10"/>
      <c r="C197" s="10"/>
      <c r="D197" s="11"/>
      <c r="E197" s="8"/>
      <c r="F197" s="8"/>
      <c r="G197" s="25"/>
    </row>
    <row r="198" spans="1:7" ht="60" customHeight="1" x14ac:dyDescent="0.3">
      <c r="A198" s="24"/>
      <c r="B198" s="10"/>
      <c r="C198" s="10"/>
      <c r="D198" s="11"/>
      <c r="E198" s="8"/>
      <c r="F198" s="8"/>
      <c r="G198" s="25"/>
    </row>
    <row r="199" spans="1:7" ht="60" customHeight="1" x14ac:dyDescent="0.3">
      <c r="A199" s="24"/>
      <c r="B199" s="10"/>
      <c r="C199" s="10"/>
      <c r="D199" s="11"/>
      <c r="E199" s="9"/>
      <c r="F199" s="9"/>
      <c r="G199" s="25"/>
    </row>
    <row r="200" spans="1:7" ht="60" customHeight="1" x14ac:dyDescent="0.3">
      <c r="A200" s="24"/>
      <c r="B200" s="10"/>
      <c r="C200" s="10"/>
      <c r="D200" s="11"/>
      <c r="E200" s="8"/>
      <c r="F200" s="8"/>
      <c r="G200" s="28"/>
    </row>
    <row r="201" spans="1:7" ht="60" customHeight="1" x14ac:dyDescent="0.3">
      <c r="A201" s="24"/>
      <c r="B201" s="10"/>
      <c r="C201" s="10"/>
      <c r="D201" s="11"/>
      <c r="E201" s="9"/>
      <c r="F201" s="9"/>
      <c r="G201" s="25"/>
    </row>
    <row r="202" spans="1:7" ht="60" customHeight="1" x14ac:dyDescent="0.3">
      <c r="A202" s="24"/>
      <c r="B202" s="10"/>
      <c r="C202" s="10"/>
      <c r="D202" s="11"/>
      <c r="E202" s="9"/>
      <c r="F202" s="9"/>
      <c r="G202" s="28"/>
    </row>
    <row r="203" spans="1:7" ht="60" customHeight="1" x14ac:dyDescent="0.3">
      <c r="A203" s="24"/>
      <c r="B203" s="10"/>
      <c r="C203" s="10"/>
      <c r="D203" s="11"/>
      <c r="E203" s="9"/>
      <c r="F203" s="9"/>
      <c r="G203" s="28"/>
    </row>
    <row r="204" spans="1:7" ht="60" customHeight="1" x14ac:dyDescent="0.3">
      <c r="A204" s="24"/>
      <c r="B204" s="10"/>
      <c r="C204" s="10"/>
      <c r="D204" s="11"/>
      <c r="E204" s="8"/>
      <c r="F204" s="8"/>
      <c r="G204" s="28"/>
    </row>
    <row r="205" spans="1:7" ht="60" customHeight="1" x14ac:dyDescent="0.3">
      <c r="A205" s="24"/>
      <c r="B205" s="10"/>
      <c r="C205" s="10"/>
      <c r="D205" s="11"/>
      <c r="E205" s="9"/>
      <c r="F205" s="9"/>
      <c r="G205" s="25"/>
    </row>
    <row r="206" spans="1:7" ht="60" customHeight="1" x14ac:dyDescent="0.3">
      <c r="A206" s="24"/>
      <c r="B206" s="10"/>
      <c r="C206" s="10"/>
      <c r="D206" s="11"/>
      <c r="E206" s="8"/>
      <c r="F206" s="8"/>
      <c r="G206" s="28"/>
    </row>
    <row r="207" spans="1:7" ht="60" customHeight="1" x14ac:dyDescent="0.3">
      <c r="A207" s="24"/>
      <c r="B207" s="10"/>
      <c r="C207" s="10"/>
      <c r="D207" s="11"/>
      <c r="E207" s="9"/>
      <c r="F207" s="9"/>
      <c r="G207" s="25"/>
    </row>
    <row r="208" spans="1:7" ht="60" customHeight="1" x14ac:dyDescent="0.3">
      <c r="A208" s="24"/>
      <c r="B208" s="10"/>
      <c r="C208" s="10"/>
      <c r="D208" s="11"/>
      <c r="E208" s="9"/>
      <c r="F208" s="9"/>
      <c r="G208" s="28"/>
    </row>
    <row r="209" spans="1:7" ht="60" customHeight="1" x14ac:dyDescent="0.3">
      <c r="A209" s="24"/>
      <c r="B209" s="10"/>
      <c r="C209" s="10"/>
      <c r="D209" s="11"/>
      <c r="E209" s="8"/>
      <c r="F209" s="8"/>
      <c r="G209" s="28"/>
    </row>
    <row r="210" spans="1:7" ht="60" customHeight="1" x14ac:dyDescent="0.3">
      <c r="A210" s="24"/>
      <c r="B210" s="10"/>
      <c r="C210" s="10"/>
      <c r="D210" s="11"/>
      <c r="E210" s="8"/>
      <c r="F210" s="8"/>
      <c r="G210" s="25"/>
    </row>
    <row r="211" spans="1:7" ht="60" customHeight="1" x14ac:dyDescent="0.3">
      <c r="A211" s="24"/>
      <c r="B211" s="10"/>
      <c r="C211" s="10"/>
      <c r="D211" s="11"/>
      <c r="E211" s="8"/>
      <c r="F211" s="8"/>
      <c r="G211" s="25"/>
    </row>
    <row r="212" spans="1:7" ht="60" customHeight="1" x14ac:dyDescent="0.3">
      <c r="A212" s="24"/>
      <c r="B212" s="10"/>
      <c r="C212" s="10"/>
      <c r="D212" s="11"/>
      <c r="E212" s="8"/>
      <c r="F212" s="8"/>
      <c r="G212" s="25"/>
    </row>
    <row r="213" spans="1:7" ht="60" customHeight="1" x14ac:dyDescent="0.3">
      <c r="A213" s="24"/>
      <c r="B213" s="10"/>
      <c r="C213" s="10"/>
      <c r="D213" s="11"/>
      <c r="E213" s="9"/>
      <c r="F213" s="9"/>
      <c r="G213" s="25"/>
    </row>
    <row r="214" spans="1:7" ht="60" customHeight="1" x14ac:dyDescent="0.3">
      <c r="A214" s="24"/>
      <c r="B214" s="10"/>
      <c r="C214" s="10"/>
      <c r="D214" s="11"/>
      <c r="E214" s="9"/>
      <c r="F214" s="9"/>
      <c r="G214" s="28"/>
    </row>
    <row r="215" spans="1:7" ht="60" customHeight="1" x14ac:dyDescent="0.3">
      <c r="A215" s="24"/>
      <c r="B215" s="10"/>
      <c r="C215" s="10"/>
      <c r="D215" s="11"/>
      <c r="E215" s="9"/>
      <c r="F215" s="9"/>
      <c r="G215" s="28"/>
    </row>
    <row r="216" spans="1:7" ht="60" customHeight="1" x14ac:dyDescent="0.3">
      <c r="A216" s="24"/>
      <c r="B216" s="10"/>
      <c r="C216" s="10"/>
      <c r="D216" s="11"/>
      <c r="E216" s="9"/>
      <c r="F216" s="9"/>
      <c r="G216" s="28"/>
    </row>
    <row r="217" spans="1:7" ht="60" customHeight="1" x14ac:dyDescent="0.3">
      <c r="A217" s="24"/>
      <c r="B217" s="10"/>
      <c r="C217" s="10"/>
      <c r="D217" s="11"/>
      <c r="E217" s="8"/>
      <c r="F217" s="8"/>
      <c r="G217" s="28"/>
    </row>
    <row r="218" spans="1:7" ht="60" customHeight="1" x14ac:dyDescent="0.3">
      <c r="A218" s="24"/>
      <c r="B218" s="10"/>
      <c r="C218" s="10"/>
      <c r="D218" s="11"/>
      <c r="E218" s="9"/>
      <c r="F218" s="9"/>
      <c r="G218" s="25"/>
    </row>
    <row r="219" spans="1:7" ht="60" customHeight="1" x14ac:dyDescent="0.3">
      <c r="A219" s="24"/>
      <c r="B219" s="10"/>
      <c r="C219" s="10"/>
      <c r="D219" s="11"/>
      <c r="E219" s="9"/>
      <c r="F219" s="9"/>
      <c r="G219" s="28"/>
    </row>
    <row r="220" spans="1:7" ht="60" customHeight="1" x14ac:dyDescent="0.3">
      <c r="A220" s="24"/>
      <c r="B220" s="10"/>
      <c r="C220" s="10"/>
      <c r="D220" s="11"/>
      <c r="E220" s="9"/>
      <c r="F220" s="9"/>
      <c r="G220" s="28"/>
    </row>
    <row r="221" spans="1:7" ht="60" customHeight="1" x14ac:dyDescent="0.3">
      <c r="A221" s="24"/>
      <c r="B221" s="10"/>
      <c r="C221" s="10"/>
      <c r="D221" s="11"/>
      <c r="E221" s="9"/>
      <c r="F221" s="9"/>
      <c r="G221" s="28"/>
    </row>
    <row r="222" spans="1:7" ht="60" customHeight="1" x14ac:dyDescent="0.3">
      <c r="A222" s="24"/>
      <c r="B222" s="10"/>
      <c r="C222" s="10"/>
      <c r="D222" s="11"/>
      <c r="E222" s="9"/>
      <c r="F222" s="9"/>
      <c r="G222" s="28"/>
    </row>
    <row r="223" spans="1:7" ht="60" customHeight="1" x14ac:dyDescent="0.3">
      <c r="A223" s="24"/>
      <c r="B223" s="10"/>
      <c r="C223" s="10"/>
      <c r="D223" s="11"/>
      <c r="E223" s="8"/>
      <c r="F223" s="8"/>
      <c r="G223" s="28"/>
    </row>
    <row r="224" spans="1:7" ht="60" customHeight="1" x14ac:dyDescent="0.3">
      <c r="A224" s="24"/>
      <c r="B224" s="10"/>
      <c r="C224" s="10"/>
      <c r="D224" s="11"/>
      <c r="E224" s="9"/>
      <c r="F224" s="9"/>
      <c r="G224" s="25"/>
    </row>
    <row r="225" spans="1:7" ht="60" customHeight="1" x14ac:dyDescent="0.3">
      <c r="A225" s="24"/>
      <c r="B225" s="10"/>
      <c r="C225" s="10"/>
      <c r="D225" s="11"/>
      <c r="E225" s="9"/>
      <c r="F225" s="9"/>
      <c r="G225" s="28"/>
    </row>
    <row r="226" spans="1:7" ht="60" customHeight="1" x14ac:dyDescent="0.3">
      <c r="A226" s="24"/>
      <c r="B226" s="10"/>
      <c r="C226" s="10"/>
      <c r="D226" s="11"/>
      <c r="E226" s="9"/>
      <c r="F226" s="9"/>
      <c r="G226" s="28"/>
    </row>
    <row r="227" spans="1:7" ht="60" customHeight="1" x14ac:dyDescent="0.3">
      <c r="A227" s="24"/>
      <c r="B227" s="10"/>
      <c r="C227" s="10"/>
      <c r="D227" s="11"/>
      <c r="E227" s="9"/>
      <c r="F227" s="9"/>
      <c r="G227" s="28"/>
    </row>
    <row r="228" spans="1:7" ht="60" customHeight="1" x14ac:dyDescent="0.3">
      <c r="A228" s="24"/>
      <c r="B228" s="10"/>
      <c r="C228" s="10"/>
      <c r="D228" s="11"/>
      <c r="E228" s="9"/>
      <c r="F228" s="9"/>
      <c r="G228" s="28"/>
    </row>
    <row r="229" spans="1:7" ht="60" customHeight="1" x14ac:dyDescent="0.3">
      <c r="A229" s="24"/>
      <c r="B229" s="10"/>
      <c r="C229" s="10"/>
      <c r="D229" s="11"/>
      <c r="E229" s="8"/>
      <c r="F229" s="8"/>
      <c r="G229" s="28"/>
    </row>
    <row r="230" spans="1:7" ht="60" customHeight="1" x14ac:dyDescent="0.3">
      <c r="A230" s="24"/>
      <c r="B230" s="10"/>
      <c r="C230" s="10"/>
      <c r="D230" s="11"/>
      <c r="E230" s="9"/>
      <c r="F230" s="9"/>
      <c r="G230" s="25"/>
    </row>
    <row r="231" spans="1:7" ht="60" customHeight="1" x14ac:dyDescent="0.3">
      <c r="A231" s="24"/>
      <c r="B231" s="10"/>
      <c r="C231" s="10"/>
      <c r="D231" s="11"/>
      <c r="E231" s="8"/>
      <c r="F231" s="8"/>
      <c r="G231" s="28"/>
    </row>
    <row r="232" spans="1:7" ht="60" customHeight="1" x14ac:dyDescent="0.3">
      <c r="A232" s="24"/>
      <c r="B232" s="10"/>
      <c r="C232" s="10"/>
      <c r="D232" s="11"/>
      <c r="E232" s="8"/>
      <c r="F232" s="8"/>
      <c r="G232" s="25"/>
    </row>
    <row r="233" spans="1:7" ht="60" customHeight="1" x14ac:dyDescent="0.3">
      <c r="A233" s="24"/>
      <c r="B233" s="10"/>
      <c r="C233" s="10"/>
      <c r="D233" s="11"/>
      <c r="E233" s="8"/>
      <c r="F233" s="8"/>
      <c r="G233" s="25"/>
    </row>
    <row r="234" spans="1:7" ht="60" customHeight="1" x14ac:dyDescent="0.3">
      <c r="A234" s="24"/>
      <c r="B234" s="10"/>
      <c r="C234" s="10"/>
      <c r="D234" s="11"/>
      <c r="E234" s="8"/>
      <c r="F234" s="8"/>
      <c r="G234" s="25"/>
    </row>
    <row r="235" spans="1:7" ht="60" customHeight="1" x14ac:dyDescent="0.3">
      <c r="A235" s="24"/>
      <c r="B235" s="10"/>
      <c r="C235" s="10"/>
      <c r="D235" s="11"/>
      <c r="E235" s="8"/>
      <c r="F235" s="8"/>
      <c r="G235" s="25"/>
    </row>
    <row r="236" spans="1:7" ht="60" customHeight="1" x14ac:dyDescent="0.3">
      <c r="A236" s="24"/>
      <c r="B236" s="10"/>
      <c r="C236" s="10"/>
      <c r="D236" s="11"/>
      <c r="E236" s="8"/>
      <c r="F236" s="8"/>
      <c r="G236" s="25"/>
    </row>
    <row r="237" spans="1:7" ht="60" customHeight="1" x14ac:dyDescent="0.3">
      <c r="A237" s="24"/>
      <c r="B237" s="10"/>
      <c r="C237" s="10"/>
      <c r="D237" s="11"/>
      <c r="E237" s="8"/>
      <c r="F237" s="8"/>
      <c r="G237" s="25"/>
    </row>
    <row r="238" spans="1:7" ht="60" customHeight="1" x14ac:dyDescent="0.3">
      <c r="A238" s="24"/>
      <c r="B238" s="10"/>
      <c r="C238" s="10"/>
      <c r="D238" s="11"/>
      <c r="E238" s="9"/>
      <c r="F238" s="9"/>
      <c r="G238" s="25"/>
    </row>
    <row r="239" spans="1:7" ht="60" customHeight="1" x14ac:dyDescent="0.3">
      <c r="A239" s="24"/>
      <c r="B239" s="10"/>
      <c r="C239" s="10"/>
      <c r="D239" s="11"/>
      <c r="E239" s="9"/>
      <c r="F239" s="9"/>
      <c r="G239" s="28"/>
    </row>
    <row r="240" spans="1:7" ht="60" customHeight="1" x14ac:dyDescent="0.3">
      <c r="A240" s="24"/>
      <c r="B240" s="10"/>
      <c r="C240" s="10"/>
      <c r="D240" s="11"/>
      <c r="E240" s="9"/>
      <c r="F240" s="9"/>
      <c r="G240" s="28"/>
    </row>
    <row r="241" spans="1:7" ht="60" customHeight="1" x14ac:dyDescent="0.3">
      <c r="A241" s="24"/>
      <c r="B241" s="10"/>
      <c r="C241" s="10"/>
      <c r="D241" s="11"/>
      <c r="E241" s="8"/>
      <c r="F241" s="8"/>
      <c r="G241" s="28"/>
    </row>
    <row r="242" spans="1:7" ht="60" customHeight="1" x14ac:dyDescent="0.3">
      <c r="A242" s="24"/>
      <c r="B242" s="10"/>
      <c r="C242" s="10"/>
      <c r="D242" s="11"/>
      <c r="E242" s="9"/>
      <c r="F242" s="9"/>
      <c r="G242" s="25"/>
    </row>
    <row r="243" spans="1:7" ht="60" customHeight="1" x14ac:dyDescent="0.3">
      <c r="A243" s="24"/>
      <c r="B243" s="10"/>
      <c r="C243" s="10"/>
      <c r="D243" s="11"/>
      <c r="E243" s="13"/>
      <c r="F243" s="13"/>
      <c r="G243" s="28"/>
    </row>
    <row r="244" spans="1:7" ht="60" customHeight="1" x14ac:dyDescent="0.3">
      <c r="A244" s="24"/>
      <c r="B244" s="10"/>
      <c r="C244" s="10"/>
      <c r="D244" s="11"/>
      <c r="E244" s="13"/>
      <c r="F244" s="13"/>
      <c r="G244" s="30"/>
    </row>
    <row r="245" spans="1:7" ht="60" customHeight="1" x14ac:dyDescent="0.3">
      <c r="A245" s="24"/>
      <c r="B245" s="10"/>
      <c r="C245" s="10"/>
      <c r="D245" s="11"/>
      <c r="E245" s="13"/>
      <c r="F245" s="13"/>
      <c r="G245" s="30"/>
    </row>
    <row r="246" spans="1:7" ht="60" customHeight="1" x14ac:dyDescent="0.3">
      <c r="A246" s="24"/>
      <c r="B246" s="10"/>
      <c r="C246" s="10"/>
      <c r="D246" s="11"/>
      <c r="E246" s="13"/>
      <c r="F246" s="13"/>
      <c r="G246" s="30"/>
    </row>
    <row r="247" spans="1:7" ht="60" customHeight="1" x14ac:dyDescent="0.3">
      <c r="A247" s="24"/>
      <c r="B247" s="10"/>
      <c r="C247" s="10"/>
      <c r="D247" s="11"/>
      <c r="E247" s="13"/>
      <c r="F247" s="13"/>
      <c r="G247" s="30"/>
    </row>
    <row r="248" spans="1:7" ht="60" customHeight="1" x14ac:dyDescent="0.3">
      <c r="A248" s="24"/>
      <c r="B248" s="10"/>
      <c r="C248" s="10"/>
      <c r="D248" s="11"/>
      <c r="E248" s="13"/>
      <c r="F248" s="13"/>
      <c r="G248" s="30"/>
    </row>
    <row r="249" spans="1:7" ht="60" customHeight="1" x14ac:dyDescent="0.3">
      <c r="A249" s="24"/>
      <c r="B249" s="10"/>
      <c r="C249" s="10"/>
      <c r="D249" s="11"/>
      <c r="E249" s="13"/>
      <c r="F249" s="13"/>
      <c r="G249" s="30"/>
    </row>
    <row r="250" spans="1:7" ht="60" customHeight="1" x14ac:dyDescent="0.3">
      <c r="A250" s="24"/>
      <c r="B250" s="10"/>
      <c r="C250" s="10"/>
      <c r="D250" s="11"/>
      <c r="E250" s="13"/>
      <c r="F250" s="13"/>
      <c r="G250" s="30"/>
    </row>
    <row r="251" spans="1:7" ht="60" customHeight="1" x14ac:dyDescent="0.3">
      <c r="A251" s="24"/>
      <c r="B251" s="10"/>
      <c r="C251" s="10"/>
      <c r="D251" s="11"/>
      <c r="E251" s="13"/>
      <c r="F251" s="13"/>
      <c r="G251" s="30"/>
    </row>
    <row r="252" spans="1:7" ht="60" customHeight="1" x14ac:dyDescent="0.3">
      <c r="A252" s="24"/>
      <c r="B252" s="10"/>
      <c r="C252" s="10"/>
      <c r="D252" s="11"/>
      <c r="E252" s="13"/>
      <c r="F252" s="13"/>
      <c r="G252" s="30"/>
    </row>
    <row r="253" spans="1:7" ht="60" customHeight="1" x14ac:dyDescent="0.3">
      <c r="A253" s="24"/>
      <c r="B253" s="10"/>
      <c r="C253" s="10"/>
      <c r="D253" s="11"/>
      <c r="E253" s="9"/>
      <c r="F253" s="9"/>
      <c r="G253" s="30"/>
    </row>
    <row r="254" spans="1:7" ht="60" customHeight="1" x14ac:dyDescent="0.3">
      <c r="A254" s="24"/>
      <c r="B254" s="10"/>
      <c r="C254" s="10"/>
      <c r="D254" s="11"/>
      <c r="E254" s="9"/>
      <c r="F254" s="9"/>
      <c r="G254" s="28"/>
    </row>
    <row r="255" spans="1:7" ht="60" customHeight="1" x14ac:dyDescent="0.3">
      <c r="A255" s="24"/>
      <c r="B255" s="10"/>
      <c r="C255" s="10"/>
      <c r="D255" s="11"/>
      <c r="E255" s="8"/>
      <c r="F255" s="8"/>
      <c r="G255" s="28"/>
    </row>
    <row r="256" spans="1:7" ht="60" customHeight="1" x14ac:dyDescent="0.3">
      <c r="A256" s="24"/>
      <c r="B256" s="10"/>
      <c r="C256" s="10"/>
      <c r="D256" s="11"/>
      <c r="E256" s="9"/>
      <c r="F256" s="9"/>
      <c r="G256" s="25"/>
    </row>
    <row r="257" spans="1:7" ht="60" customHeight="1" x14ac:dyDescent="0.3">
      <c r="A257" s="24"/>
      <c r="B257" s="10"/>
      <c r="C257" s="10"/>
      <c r="D257" s="11"/>
      <c r="E257" s="9"/>
      <c r="F257" s="9"/>
      <c r="G257" s="28"/>
    </row>
    <row r="258" spans="1:7" ht="60" customHeight="1" x14ac:dyDescent="0.3">
      <c r="A258" s="24"/>
      <c r="B258" s="10"/>
      <c r="C258" s="10"/>
      <c r="D258" s="11"/>
      <c r="E258" s="9"/>
      <c r="F258" s="9"/>
      <c r="G258" s="28"/>
    </row>
    <row r="259" spans="1:7" ht="60" customHeight="1" x14ac:dyDescent="0.3">
      <c r="A259" s="24"/>
      <c r="B259" s="10"/>
      <c r="C259" s="10"/>
      <c r="D259" s="11"/>
      <c r="E259" s="9"/>
      <c r="F259" s="9"/>
      <c r="G259" s="28"/>
    </row>
    <row r="260" spans="1:7" ht="60" customHeight="1" x14ac:dyDescent="0.3">
      <c r="A260" s="24"/>
      <c r="B260" s="10"/>
      <c r="C260" s="10"/>
      <c r="D260" s="11"/>
      <c r="E260" s="9"/>
      <c r="F260" s="9"/>
      <c r="G260" s="28"/>
    </row>
    <row r="261" spans="1:7" ht="60" customHeight="1" x14ac:dyDescent="0.3">
      <c r="A261" s="24"/>
      <c r="B261" s="10"/>
      <c r="C261" s="10"/>
      <c r="D261" s="11"/>
      <c r="E261" s="9"/>
      <c r="F261" s="9"/>
      <c r="G261" s="28"/>
    </row>
    <row r="262" spans="1:7" ht="60" customHeight="1" x14ac:dyDescent="0.3">
      <c r="A262" s="24"/>
      <c r="B262" s="10"/>
      <c r="C262" s="10"/>
      <c r="D262" s="11"/>
      <c r="E262" s="9"/>
      <c r="F262" s="9"/>
      <c r="G262" s="28"/>
    </row>
    <row r="263" spans="1:7" ht="60" customHeight="1" x14ac:dyDescent="0.3">
      <c r="A263" s="24"/>
      <c r="B263" s="10"/>
      <c r="C263" s="10"/>
      <c r="D263" s="11"/>
      <c r="E263" s="9"/>
      <c r="F263" s="9"/>
      <c r="G263" s="28"/>
    </row>
    <row r="264" spans="1:7" ht="60" customHeight="1" x14ac:dyDescent="0.3">
      <c r="A264" s="24"/>
      <c r="B264" s="10"/>
      <c r="C264" s="10"/>
      <c r="D264" s="11"/>
      <c r="E264" s="9"/>
      <c r="F264" s="9"/>
      <c r="G264" s="28"/>
    </row>
    <row r="265" spans="1:7" ht="60" customHeight="1" x14ac:dyDescent="0.3">
      <c r="A265" s="24"/>
      <c r="B265" s="10"/>
      <c r="C265" s="10"/>
      <c r="D265" s="11"/>
      <c r="E265" s="9"/>
      <c r="F265" s="9"/>
      <c r="G265" s="28"/>
    </row>
    <row r="266" spans="1:7" ht="60" customHeight="1" x14ac:dyDescent="0.3">
      <c r="A266" s="24"/>
      <c r="B266" s="10"/>
      <c r="C266" s="10"/>
      <c r="D266" s="11"/>
      <c r="E266" s="8"/>
      <c r="F266" s="8"/>
      <c r="G266" s="28"/>
    </row>
    <row r="267" spans="1:7" ht="60" customHeight="1" x14ac:dyDescent="0.3">
      <c r="A267" s="24"/>
      <c r="B267" s="10"/>
      <c r="C267" s="10"/>
      <c r="D267" s="11"/>
      <c r="E267" s="8"/>
      <c r="F267" s="8"/>
      <c r="G267" s="25"/>
    </row>
    <row r="268" spans="1:7" ht="60" customHeight="1" x14ac:dyDescent="0.3">
      <c r="A268" s="24"/>
      <c r="B268" s="10"/>
      <c r="C268" s="10"/>
      <c r="D268" s="11"/>
      <c r="E268" s="8"/>
      <c r="F268" s="8"/>
      <c r="G268" s="25"/>
    </row>
    <row r="269" spans="1:7" ht="60" customHeight="1" x14ac:dyDescent="0.3">
      <c r="A269" s="24"/>
      <c r="B269" s="10"/>
      <c r="C269" s="10"/>
      <c r="D269" s="11"/>
      <c r="E269" s="9"/>
      <c r="F269" s="9"/>
      <c r="G269" s="25"/>
    </row>
    <row r="270" spans="1:7" ht="60" customHeight="1" x14ac:dyDescent="0.3">
      <c r="A270" s="24"/>
      <c r="B270" s="10"/>
      <c r="C270" s="10"/>
      <c r="D270" s="11"/>
      <c r="E270" s="9"/>
      <c r="F270" s="9"/>
      <c r="G270" s="28"/>
    </row>
    <row r="271" spans="1:7" ht="60" customHeight="1" x14ac:dyDescent="0.3">
      <c r="A271" s="24"/>
      <c r="B271" s="10"/>
      <c r="C271" s="10"/>
      <c r="D271" s="11"/>
      <c r="E271" s="14"/>
      <c r="F271" s="14"/>
      <c r="G271" s="28"/>
    </row>
    <row r="272" spans="1:7" ht="60" customHeight="1" x14ac:dyDescent="0.3">
      <c r="A272" s="24"/>
      <c r="B272" s="10"/>
      <c r="C272" s="10"/>
      <c r="D272" s="11"/>
      <c r="E272" s="9"/>
      <c r="F272" s="9"/>
      <c r="G272" s="31"/>
    </row>
    <row r="273" spans="1:7" ht="60" customHeight="1" x14ac:dyDescent="0.3">
      <c r="A273" s="24"/>
      <c r="B273" s="10"/>
      <c r="C273" s="10"/>
      <c r="D273" s="11"/>
      <c r="E273" s="9"/>
      <c r="F273" s="9"/>
      <c r="G273" s="28"/>
    </row>
    <row r="274" spans="1:7" ht="60" customHeight="1" x14ac:dyDescent="0.3">
      <c r="A274" s="24"/>
      <c r="B274" s="10"/>
      <c r="C274" s="10"/>
      <c r="D274" s="11"/>
      <c r="E274" s="8"/>
      <c r="F274" s="8"/>
      <c r="G274" s="28"/>
    </row>
    <row r="275" spans="1:7" ht="60" customHeight="1" x14ac:dyDescent="0.3">
      <c r="A275" s="24"/>
      <c r="B275" s="10"/>
      <c r="C275" s="10"/>
      <c r="D275" s="11"/>
      <c r="E275" s="9"/>
      <c r="F275" s="9"/>
      <c r="G275" s="25"/>
    </row>
    <row r="276" spans="1:7" ht="60" customHeight="1" x14ac:dyDescent="0.3">
      <c r="A276" s="24"/>
      <c r="B276" s="10"/>
      <c r="C276" s="10"/>
      <c r="D276" s="11"/>
      <c r="E276" s="9"/>
      <c r="F276" s="9"/>
      <c r="G276" s="28"/>
    </row>
    <row r="277" spans="1:7" ht="60" customHeight="1" x14ac:dyDescent="0.3">
      <c r="A277" s="24"/>
      <c r="B277" s="10"/>
      <c r="C277" s="10"/>
      <c r="D277" s="11"/>
      <c r="E277" s="8"/>
      <c r="F277" s="8"/>
      <c r="G277" s="28"/>
    </row>
    <row r="278" spans="1:7" ht="60" customHeight="1" x14ac:dyDescent="0.3">
      <c r="A278" s="24"/>
      <c r="B278" s="10"/>
      <c r="C278" s="10"/>
      <c r="D278" s="11"/>
      <c r="E278" s="8"/>
      <c r="F278" s="8"/>
      <c r="G278" s="25"/>
    </row>
    <row r="279" spans="1:7" ht="60" customHeight="1" x14ac:dyDescent="0.3">
      <c r="A279" s="24"/>
      <c r="B279" s="10"/>
      <c r="C279" s="10"/>
      <c r="D279" s="11"/>
      <c r="E279" s="15"/>
      <c r="F279" s="15"/>
      <c r="G279" s="25"/>
    </row>
    <row r="280" spans="1:7" ht="60" customHeight="1" x14ac:dyDescent="0.3">
      <c r="A280" s="24"/>
      <c r="B280" s="10"/>
      <c r="C280" s="10"/>
      <c r="D280" s="11"/>
      <c r="E280" s="15"/>
      <c r="F280" s="15"/>
      <c r="G280" s="32"/>
    </row>
    <row r="281" spans="1:7" ht="60" customHeight="1" x14ac:dyDescent="0.3">
      <c r="A281" s="24"/>
      <c r="B281" s="10"/>
      <c r="C281" s="10"/>
      <c r="D281" s="11"/>
      <c r="E281" s="9"/>
      <c r="F281" s="9"/>
      <c r="G281" s="32"/>
    </row>
    <row r="282" spans="1:7" ht="60" customHeight="1" x14ac:dyDescent="0.3">
      <c r="A282" s="24"/>
      <c r="B282" s="10"/>
      <c r="C282" s="10"/>
      <c r="D282" s="11"/>
      <c r="E282" s="9"/>
      <c r="F282" s="9"/>
      <c r="G282" s="28"/>
    </row>
    <row r="283" spans="1:7" ht="60" customHeight="1" x14ac:dyDescent="0.3">
      <c r="A283" s="24"/>
      <c r="B283" s="10"/>
      <c r="C283" s="10"/>
      <c r="D283" s="11"/>
      <c r="E283" s="9"/>
      <c r="F283" s="9"/>
      <c r="G283" s="28"/>
    </row>
    <row r="284" spans="1:7" ht="60" customHeight="1" x14ac:dyDescent="0.3">
      <c r="A284" s="24"/>
      <c r="B284" s="10"/>
      <c r="C284" s="10"/>
      <c r="D284" s="11"/>
      <c r="E284" s="9"/>
      <c r="F284" s="9"/>
      <c r="G284" s="28"/>
    </row>
    <row r="285" spans="1:7" ht="60" customHeight="1" x14ac:dyDescent="0.3">
      <c r="A285" s="24"/>
      <c r="B285" s="10"/>
      <c r="C285" s="10"/>
      <c r="D285" s="11"/>
      <c r="E285" s="9"/>
      <c r="F285" s="9"/>
      <c r="G285" s="28"/>
    </row>
    <row r="286" spans="1:7" ht="60" customHeight="1" x14ac:dyDescent="0.3">
      <c r="A286" s="24"/>
      <c r="B286" s="10"/>
      <c r="C286" s="10"/>
      <c r="D286" s="11"/>
      <c r="E286" s="9"/>
      <c r="F286" s="9"/>
      <c r="G286" s="28"/>
    </row>
    <row r="287" spans="1:7" ht="60" customHeight="1" x14ac:dyDescent="0.3">
      <c r="A287" s="24"/>
      <c r="B287" s="10"/>
      <c r="C287" s="10"/>
      <c r="D287" s="11"/>
      <c r="E287" s="9"/>
      <c r="F287" s="9"/>
      <c r="G287" s="28"/>
    </row>
    <row r="288" spans="1:7" ht="60" customHeight="1" x14ac:dyDescent="0.3">
      <c r="A288" s="24"/>
      <c r="B288" s="10"/>
      <c r="C288" s="10"/>
      <c r="D288" s="11"/>
      <c r="E288" s="9"/>
      <c r="F288" s="9"/>
      <c r="G288" s="28"/>
    </row>
    <row r="289" spans="1:7" ht="60" customHeight="1" x14ac:dyDescent="0.3">
      <c r="A289" s="24"/>
      <c r="B289" s="10"/>
      <c r="C289" s="10"/>
      <c r="D289" s="11"/>
      <c r="E289" s="9"/>
      <c r="F289" s="9"/>
      <c r="G289" s="28"/>
    </row>
    <row r="290" spans="1:7" ht="60" customHeight="1" x14ac:dyDescent="0.3">
      <c r="A290" s="24"/>
      <c r="B290" s="10"/>
      <c r="C290" s="10"/>
      <c r="D290" s="11"/>
      <c r="E290" s="9"/>
      <c r="F290" s="9"/>
      <c r="G290" s="28"/>
    </row>
    <row r="291" spans="1:7" ht="60" customHeight="1" x14ac:dyDescent="0.3">
      <c r="A291" s="24"/>
      <c r="B291" s="10"/>
      <c r="C291" s="10"/>
      <c r="D291" s="11"/>
      <c r="E291" s="9"/>
      <c r="F291" s="9"/>
      <c r="G291" s="28"/>
    </row>
    <row r="292" spans="1:7" ht="60" customHeight="1" x14ac:dyDescent="0.3">
      <c r="A292" s="24"/>
      <c r="B292" s="10"/>
      <c r="C292" s="10"/>
      <c r="D292" s="11"/>
      <c r="E292" s="8"/>
      <c r="F292" s="8"/>
      <c r="G292" s="28"/>
    </row>
    <row r="293" spans="1:7" ht="60" customHeight="1" x14ac:dyDescent="0.3">
      <c r="A293" s="24"/>
      <c r="B293" s="10"/>
      <c r="C293" s="10"/>
      <c r="D293" s="11"/>
      <c r="E293" s="8"/>
      <c r="F293" s="8"/>
      <c r="G293" s="25"/>
    </row>
    <row r="294" spans="1:7" ht="60" customHeight="1" x14ac:dyDescent="0.3">
      <c r="A294" s="24"/>
      <c r="B294" s="10"/>
      <c r="C294" s="10"/>
      <c r="D294" s="11"/>
      <c r="E294" s="8"/>
      <c r="F294" s="8"/>
      <c r="G294" s="25"/>
    </row>
    <row r="295" spans="1:7" ht="60" customHeight="1" x14ac:dyDescent="0.3">
      <c r="A295" s="24"/>
      <c r="B295" s="10"/>
      <c r="C295" s="10"/>
      <c r="D295" s="11"/>
      <c r="E295" s="16"/>
      <c r="F295" s="16"/>
      <c r="G295" s="25"/>
    </row>
    <row r="296" spans="1:7" ht="60" customHeight="1" x14ac:dyDescent="0.3">
      <c r="A296" s="24"/>
      <c r="B296" s="10"/>
      <c r="C296" s="10"/>
      <c r="D296" s="11"/>
      <c r="E296" s="8"/>
      <c r="F296" s="8"/>
      <c r="G296" s="33"/>
    </row>
    <row r="297" spans="1:7" ht="60" customHeight="1" x14ac:dyDescent="0.3">
      <c r="A297" s="24"/>
      <c r="B297" s="10"/>
      <c r="C297" s="10"/>
      <c r="D297" s="11"/>
      <c r="E297" s="8"/>
      <c r="F297" s="8"/>
      <c r="G297" s="25"/>
    </row>
    <row r="298" spans="1:7" ht="60" customHeight="1" x14ac:dyDescent="0.3">
      <c r="A298" s="24"/>
      <c r="B298" s="10"/>
      <c r="C298" s="10"/>
      <c r="D298" s="11"/>
      <c r="E298" s="8"/>
      <c r="F298" s="8"/>
      <c r="G298" s="25"/>
    </row>
    <row r="299" spans="1:7" ht="60" customHeight="1" x14ac:dyDescent="0.3">
      <c r="A299" s="24"/>
      <c r="B299" s="10"/>
      <c r="C299" s="10"/>
      <c r="D299" s="11"/>
      <c r="E299" s="8"/>
      <c r="F299" s="8"/>
      <c r="G299" s="25"/>
    </row>
    <row r="300" spans="1:7" ht="60" customHeight="1" x14ac:dyDescent="0.3">
      <c r="A300" s="24"/>
      <c r="B300" s="10"/>
      <c r="C300" s="10"/>
      <c r="D300" s="11"/>
      <c r="E300" s="8"/>
      <c r="F300" s="8"/>
      <c r="G300" s="25"/>
    </row>
    <row r="301" spans="1:7" ht="60" customHeight="1" x14ac:dyDescent="0.3">
      <c r="A301" s="24"/>
      <c r="B301" s="10"/>
      <c r="C301" s="10"/>
      <c r="D301" s="11"/>
      <c r="E301" s="9"/>
      <c r="F301" s="9"/>
      <c r="G301" s="25"/>
    </row>
    <row r="302" spans="1:7" ht="60" customHeight="1" x14ac:dyDescent="0.3">
      <c r="A302" s="24"/>
      <c r="B302" s="10"/>
      <c r="C302" s="10"/>
      <c r="D302" s="11"/>
      <c r="E302" s="9"/>
      <c r="F302" s="9"/>
      <c r="G302" s="28"/>
    </row>
    <row r="303" spans="1:7" ht="60" customHeight="1" x14ac:dyDescent="0.3">
      <c r="A303" s="24"/>
      <c r="B303" s="10"/>
      <c r="C303" s="10"/>
      <c r="D303" s="11"/>
      <c r="E303" s="9"/>
      <c r="F303" s="9"/>
      <c r="G303" s="28"/>
    </row>
    <row r="304" spans="1:7" ht="60" customHeight="1" x14ac:dyDescent="0.3">
      <c r="A304" s="24"/>
      <c r="B304" s="10"/>
      <c r="C304" s="10"/>
      <c r="D304" s="11"/>
      <c r="E304" s="9"/>
      <c r="F304" s="9"/>
      <c r="G304" s="28"/>
    </row>
    <row r="305" spans="1:7" ht="60" customHeight="1" x14ac:dyDescent="0.3">
      <c r="A305" s="24"/>
      <c r="B305" s="10"/>
      <c r="C305" s="10"/>
      <c r="D305" s="11"/>
      <c r="E305" s="9"/>
      <c r="F305" s="9"/>
      <c r="G305" s="28"/>
    </row>
    <row r="306" spans="1:7" ht="60" customHeight="1" x14ac:dyDescent="0.3">
      <c r="A306" s="24"/>
      <c r="B306" s="10"/>
      <c r="C306" s="10"/>
      <c r="D306" s="11"/>
      <c r="E306" s="9"/>
      <c r="F306" s="9"/>
      <c r="G306" s="28"/>
    </row>
    <row r="307" spans="1:7" ht="60" customHeight="1" x14ac:dyDescent="0.3">
      <c r="A307" s="24"/>
      <c r="B307" s="10"/>
      <c r="C307" s="10"/>
      <c r="D307" s="11"/>
      <c r="E307" s="9"/>
      <c r="F307" s="9"/>
      <c r="G307" s="28"/>
    </row>
    <row r="308" spans="1:7" ht="60" customHeight="1" x14ac:dyDescent="0.3">
      <c r="A308" s="24"/>
      <c r="B308" s="10"/>
      <c r="C308" s="10"/>
      <c r="D308" s="11"/>
      <c r="E308" s="8"/>
      <c r="F308" s="8"/>
      <c r="G308" s="28"/>
    </row>
    <row r="309" spans="1:7" ht="60" customHeight="1" x14ac:dyDescent="0.3">
      <c r="A309" s="24"/>
      <c r="B309" s="10"/>
      <c r="C309" s="10"/>
      <c r="D309" s="11"/>
      <c r="E309" s="9"/>
      <c r="F309" s="9"/>
      <c r="G309" s="25"/>
    </row>
    <row r="310" spans="1:7" ht="60" customHeight="1" x14ac:dyDescent="0.3">
      <c r="A310" s="24"/>
      <c r="B310" s="10"/>
      <c r="C310" s="10"/>
      <c r="D310" s="11"/>
      <c r="E310" s="9"/>
      <c r="F310" s="9"/>
      <c r="G310" s="28"/>
    </row>
    <row r="311" spans="1:7" ht="60" customHeight="1" x14ac:dyDescent="0.3">
      <c r="A311" s="24"/>
      <c r="B311" s="10"/>
      <c r="C311" s="10"/>
      <c r="D311" s="11"/>
      <c r="E311" s="9"/>
      <c r="F311" s="9"/>
      <c r="G311" s="28"/>
    </row>
    <row r="312" spans="1:7" ht="60" customHeight="1" x14ac:dyDescent="0.3">
      <c r="A312" s="24"/>
      <c r="B312" s="10"/>
      <c r="C312" s="10"/>
      <c r="D312" s="11"/>
      <c r="E312" s="9"/>
      <c r="F312" s="9"/>
      <c r="G312" s="28"/>
    </row>
    <row r="313" spans="1:7" ht="60" customHeight="1" x14ac:dyDescent="0.3">
      <c r="A313" s="24"/>
      <c r="B313" s="10"/>
      <c r="C313" s="10"/>
      <c r="D313" s="11"/>
      <c r="E313" s="9"/>
      <c r="F313" s="9"/>
      <c r="G313" s="28"/>
    </row>
    <row r="314" spans="1:7" ht="60" customHeight="1" x14ac:dyDescent="0.3">
      <c r="A314" s="24"/>
      <c r="B314" s="10"/>
      <c r="C314" s="10"/>
      <c r="D314" s="11"/>
      <c r="E314" s="9"/>
      <c r="F314" s="9"/>
      <c r="G314" s="28"/>
    </row>
    <row r="315" spans="1:7" ht="60" customHeight="1" x14ac:dyDescent="0.3">
      <c r="A315" s="24"/>
      <c r="B315" s="10"/>
      <c r="C315" s="10"/>
      <c r="D315" s="11"/>
      <c r="E315" s="9"/>
      <c r="F315" s="9"/>
      <c r="G315" s="28"/>
    </row>
    <row r="316" spans="1:7" ht="60" customHeight="1" x14ac:dyDescent="0.3">
      <c r="A316" s="24"/>
      <c r="B316" s="10"/>
      <c r="C316" s="10"/>
      <c r="D316" s="11"/>
      <c r="E316" s="9"/>
      <c r="F316" s="9"/>
      <c r="G316" s="28"/>
    </row>
    <row r="317" spans="1:7" ht="60" customHeight="1" x14ac:dyDescent="0.3">
      <c r="A317" s="24"/>
      <c r="B317" s="10"/>
      <c r="C317" s="10"/>
      <c r="D317" s="11"/>
      <c r="E317" s="9"/>
      <c r="F317" s="9"/>
      <c r="G317" s="28"/>
    </row>
    <row r="318" spans="1:7" ht="60" customHeight="1" x14ac:dyDescent="0.3">
      <c r="A318" s="24"/>
      <c r="B318" s="10"/>
      <c r="C318" s="10"/>
      <c r="D318" s="11"/>
      <c r="E318" s="9"/>
      <c r="F318" s="9"/>
      <c r="G318" s="28"/>
    </row>
    <row r="319" spans="1:7" ht="60" customHeight="1" x14ac:dyDescent="0.3">
      <c r="A319" s="24"/>
      <c r="B319" s="10"/>
      <c r="C319" s="10"/>
      <c r="D319" s="11"/>
      <c r="E319" s="8"/>
      <c r="F319" s="8"/>
      <c r="G319" s="28"/>
    </row>
    <row r="320" spans="1:7" ht="60" customHeight="1" x14ac:dyDescent="0.3">
      <c r="A320" s="24"/>
      <c r="B320" s="10"/>
      <c r="C320" s="10"/>
      <c r="D320" s="11"/>
      <c r="E320" s="9"/>
      <c r="F320" s="9"/>
      <c r="G320" s="25"/>
    </row>
    <row r="321" spans="1:7" ht="60" customHeight="1" x14ac:dyDescent="0.3">
      <c r="A321" s="24"/>
      <c r="B321" s="10"/>
      <c r="C321" s="10"/>
      <c r="D321" s="11"/>
      <c r="E321" s="9"/>
      <c r="F321" s="9"/>
      <c r="G321" s="28"/>
    </row>
    <row r="322" spans="1:7" ht="60" customHeight="1" x14ac:dyDescent="0.3">
      <c r="A322" s="24"/>
      <c r="B322" s="10"/>
      <c r="C322" s="10"/>
      <c r="D322" s="11"/>
      <c r="E322" s="9"/>
      <c r="F322" s="9"/>
      <c r="G322" s="28"/>
    </row>
    <row r="323" spans="1:7" ht="60" customHeight="1" x14ac:dyDescent="0.3">
      <c r="A323" s="24"/>
      <c r="B323" s="10"/>
      <c r="C323" s="10"/>
      <c r="D323" s="11"/>
      <c r="E323" s="9"/>
      <c r="F323" s="9"/>
      <c r="G323" s="28"/>
    </row>
    <row r="324" spans="1:7" ht="60" customHeight="1" x14ac:dyDescent="0.3">
      <c r="A324" s="24"/>
      <c r="B324" s="10"/>
      <c r="C324" s="10"/>
      <c r="D324" s="11"/>
      <c r="E324" s="9"/>
      <c r="F324" s="9"/>
      <c r="G324" s="28"/>
    </row>
    <row r="325" spans="1:7" ht="60" customHeight="1" x14ac:dyDescent="0.3">
      <c r="A325" s="24"/>
      <c r="B325" s="10"/>
      <c r="C325" s="10"/>
      <c r="D325" s="11"/>
      <c r="E325" s="9"/>
      <c r="F325" s="9"/>
      <c r="G325" s="28"/>
    </row>
    <row r="326" spans="1:7" ht="60" customHeight="1" x14ac:dyDescent="0.3">
      <c r="A326" s="24"/>
      <c r="B326" s="10"/>
      <c r="C326" s="10"/>
      <c r="D326" s="11"/>
      <c r="E326" s="9"/>
      <c r="F326" s="9"/>
      <c r="G326" s="28"/>
    </row>
    <row r="327" spans="1:7" ht="60" customHeight="1" x14ac:dyDescent="0.3">
      <c r="A327" s="24"/>
      <c r="B327" s="10"/>
      <c r="C327" s="10"/>
      <c r="D327" s="11"/>
      <c r="E327" s="9"/>
      <c r="F327" s="9"/>
      <c r="G327" s="28"/>
    </row>
    <row r="328" spans="1:7" ht="60" customHeight="1" x14ac:dyDescent="0.3">
      <c r="A328" s="24"/>
      <c r="B328" s="10"/>
      <c r="C328" s="10"/>
      <c r="D328" s="11"/>
      <c r="E328" s="8"/>
      <c r="F328" s="8"/>
      <c r="G328" s="28"/>
    </row>
    <row r="329" spans="1:7" ht="60" customHeight="1" x14ac:dyDescent="0.3">
      <c r="A329" s="24"/>
      <c r="B329" s="10"/>
      <c r="C329" s="10"/>
      <c r="D329" s="11"/>
      <c r="E329" s="8"/>
      <c r="F329" s="8"/>
      <c r="G329" s="25"/>
    </row>
    <row r="330" spans="1:7" ht="60" customHeight="1" x14ac:dyDescent="0.3">
      <c r="A330" s="24"/>
      <c r="B330" s="10"/>
      <c r="C330" s="10"/>
      <c r="D330" s="11"/>
      <c r="E330" s="8"/>
      <c r="F330" s="8"/>
      <c r="G330" s="25"/>
    </row>
    <row r="331" spans="1:7" ht="60" customHeight="1" x14ac:dyDescent="0.3">
      <c r="A331" s="24"/>
      <c r="B331" s="10"/>
      <c r="C331" s="10"/>
      <c r="D331" s="11"/>
      <c r="E331" s="8"/>
      <c r="F331" s="8"/>
      <c r="G331" s="25"/>
    </row>
    <row r="332" spans="1:7" ht="60" customHeight="1" x14ac:dyDescent="0.3">
      <c r="A332" s="24"/>
      <c r="B332" s="10"/>
      <c r="C332" s="10"/>
      <c r="D332" s="11"/>
      <c r="E332" s="8"/>
      <c r="F332" s="8"/>
      <c r="G332" s="25"/>
    </row>
    <row r="333" spans="1:7" ht="60" customHeight="1" x14ac:dyDescent="0.3">
      <c r="A333" s="24"/>
      <c r="B333" s="10"/>
      <c r="C333" s="10"/>
      <c r="D333" s="11"/>
      <c r="E333" s="9"/>
      <c r="F333" s="9"/>
      <c r="G333" s="25"/>
    </row>
    <row r="334" spans="1:7" ht="60" customHeight="1" x14ac:dyDescent="0.3">
      <c r="A334" s="24"/>
      <c r="B334" s="10"/>
      <c r="C334" s="10"/>
      <c r="D334" s="11"/>
      <c r="E334" s="9"/>
      <c r="F334" s="9"/>
      <c r="G334" s="28"/>
    </row>
    <row r="335" spans="1:7" ht="60" customHeight="1" x14ac:dyDescent="0.3">
      <c r="A335" s="24"/>
      <c r="B335" s="10"/>
      <c r="C335" s="10"/>
      <c r="D335" s="11"/>
      <c r="E335" s="17"/>
      <c r="F335" s="17"/>
      <c r="G335" s="28"/>
    </row>
    <row r="336" spans="1:7" ht="60" customHeight="1" x14ac:dyDescent="0.3">
      <c r="A336" s="24"/>
      <c r="B336" s="10"/>
      <c r="C336" s="10"/>
      <c r="D336" s="11"/>
      <c r="E336" s="9"/>
      <c r="F336" s="9"/>
      <c r="G336" s="34"/>
    </row>
    <row r="337" spans="1:7" ht="60" customHeight="1" x14ac:dyDescent="0.3">
      <c r="A337" s="24"/>
      <c r="B337" s="10"/>
      <c r="C337" s="10"/>
      <c r="D337" s="11"/>
      <c r="E337" s="9"/>
      <c r="F337" s="9"/>
      <c r="G337" s="28"/>
    </row>
    <row r="338" spans="1:7" ht="60" customHeight="1" x14ac:dyDescent="0.3">
      <c r="A338" s="24"/>
      <c r="B338" s="10"/>
      <c r="C338" s="10"/>
      <c r="D338" s="11"/>
      <c r="E338" s="9"/>
      <c r="F338" s="9"/>
      <c r="G338" s="28"/>
    </row>
    <row r="339" spans="1:7" ht="60" customHeight="1" x14ac:dyDescent="0.3">
      <c r="A339" s="24"/>
      <c r="B339" s="10"/>
      <c r="C339" s="10"/>
      <c r="D339" s="11"/>
      <c r="E339" s="9"/>
      <c r="F339" s="9"/>
      <c r="G339" s="28"/>
    </row>
    <row r="340" spans="1:7" ht="60" customHeight="1" x14ac:dyDescent="0.3">
      <c r="A340" s="24"/>
      <c r="B340" s="10"/>
      <c r="C340" s="10"/>
      <c r="D340" s="11"/>
      <c r="E340" s="9"/>
      <c r="F340" s="9"/>
      <c r="G340" s="28"/>
    </row>
    <row r="341" spans="1:7" ht="60" customHeight="1" x14ac:dyDescent="0.3">
      <c r="A341" s="24"/>
      <c r="B341" s="10"/>
      <c r="C341" s="10"/>
      <c r="D341" s="11"/>
      <c r="E341" s="9"/>
      <c r="F341" s="9"/>
      <c r="G341" s="28"/>
    </row>
    <row r="342" spans="1:7" ht="60" customHeight="1" x14ac:dyDescent="0.3">
      <c r="A342" s="24"/>
      <c r="B342" s="10"/>
      <c r="C342" s="10"/>
      <c r="D342" s="11"/>
      <c r="E342" s="9"/>
      <c r="F342" s="9"/>
      <c r="G342" s="28"/>
    </row>
    <row r="343" spans="1:7" ht="60" customHeight="1" x14ac:dyDescent="0.3">
      <c r="A343" s="24"/>
      <c r="B343" s="10"/>
      <c r="C343" s="10"/>
      <c r="D343" s="11"/>
      <c r="E343" s="9"/>
      <c r="F343" s="9"/>
      <c r="G343" s="28"/>
    </row>
    <row r="344" spans="1:7" ht="60" customHeight="1" x14ac:dyDescent="0.3">
      <c r="A344" s="24"/>
      <c r="B344" s="10"/>
      <c r="C344" s="10"/>
      <c r="D344" s="11"/>
      <c r="E344" s="8"/>
      <c r="F344" s="8"/>
      <c r="G344" s="28"/>
    </row>
    <row r="345" spans="1:7" ht="60" customHeight="1" x14ac:dyDescent="0.3">
      <c r="A345" s="24"/>
      <c r="B345" s="10"/>
      <c r="C345" s="10"/>
      <c r="D345" s="11"/>
      <c r="E345" s="9"/>
      <c r="F345" s="9"/>
      <c r="G345" s="25"/>
    </row>
    <row r="346" spans="1:7" ht="60" customHeight="1" x14ac:dyDescent="0.3">
      <c r="A346" s="24"/>
      <c r="B346" s="10"/>
      <c r="C346" s="10"/>
      <c r="D346" s="11"/>
      <c r="E346" s="8"/>
      <c r="F346" s="8"/>
      <c r="G346" s="28"/>
    </row>
    <row r="347" spans="1:7" ht="60" customHeight="1" x14ac:dyDescent="0.3">
      <c r="A347" s="24"/>
      <c r="B347" s="10"/>
      <c r="C347" s="10"/>
      <c r="D347" s="11"/>
      <c r="E347" s="8"/>
      <c r="F347" s="8"/>
      <c r="G347" s="25"/>
    </row>
    <row r="348" spans="1:7" ht="60" customHeight="1" x14ac:dyDescent="0.3">
      <c r="A348" s="24"/>
      <c r="B348" s="10"/>
      <c r="C348" s="10"/>
      <c r="D348" s="11"/>
      <c r="E348" s="9"/>
      <c r="F348" s="9"/>
      <c r="G348" s="25"/>
    </row>
    <row r="349" spans="1:7" ht="60" customHeight="1" x14ac:dyDescent="0.3">
      <c r="A349" s="24"/>
      <c r="B349" s="10"/>
      <c r="C349" s="10"/>
      <c r="D349" s="11"/>
      <c r="E349" s="9"/>
      <c r="F349" s="9"/>
      <c r="G349" s="28"/>
    </row>
    <row r="350" spans="1:7" ht="60" customHeight="1" x14ac:dyDescent="0.3">
      <c r="A350" s="24"/>
      <c r="B350" s="10"/>
      <c r="C350" s="10"/>
      <c r="D350" s="11"/>
      <c r="E350" s="9"/>
      <c r="F350" s="9"/>
      <c r="G350" s="28"/>
    </row>
    <row r="351" spans="1:7" ht="60" customHeight="1" x14ac:dyDescent="0.3">
      <c r="A351" s="24"/>
      <c r="B351" s="10"/>
      <c r="C351" s="10"/>
      <c r="D351" s="11"/>
      <c r="E351" s="9"/>
      <c r="F351" s="9"/>
      <c r="G351" s="28"/>
    </row>
    <row r="352" spans="1:7" ht="60" customHeight="1" x14ac:dyDescent="0.3">
      <c r="A352" s="24"/>
      <c r="B352" s="10"/>
      <c r="C352" s="10"/>
      <c r="D352" s="11"/>
      <c r="E352" s="9"/>
      <c r="F352" s="9"/>
      <c r="G352" s="28"/>
    </row>
    <row r="353" spans="1:7" ht="60" customHeight="1" x14ac:dyDescent="0.3">
      <c r="A353" s="24"/>
      <c r="B353" s="10"/>
      <c r="C353" s="10"/>
      <c r="D353" s="11"/>
      <c r="E353" s="9"/>
      <c r="F353" s="9"/>
      <c r="G353" s="28"/>
    </row>
    <row r="354" spans="1:7" ht="60" customHeight="1" x14ac:dyDescent="0.3">
      <c r="A354" s="24"/>
      <c r="B354" s="10"/>
      <c r="C354" s="10"/>
      <c r="D354" s="11"/>
      <c r="E354" s="9"/>
      <c r="F354" s="9"/>
      <c r="G354" s="28"/>
    </row>
    <row r="355" spans="1:7" ht="60" customHeight="1" x14ac:dyDescent="0.3">
      <c r="A355" s="24"/>
      <c r="B355" s="10"/>
      <c r="C355" s="10"/>
      <c r="D355" s="11"/>
      <c r="E355" s="9"/>
      <c r="F355" s="9"/>
      <c r="G355" s="28"/>
    </row>
    <row r="356" spans="1:7" ht="60" customHeight="1" x14ac:dyDescent="0.3">
      <c r="A356" s="24"/>
      <c r="B356" s="10"/>
      <c r="C356" s="10"/>
      <c r="D356" s="11"/>
      <c r="E356" s="9"/>
      <c r="F356" s="9"/>
      <c r="G356" s="28"/>
    </row>
    <row r="357" spans="1:7" ht="60" customHeight="1" x14ac:dyDescent="0.3">
      <c r="A357" s="24"/>
      <c r="B357" s="10"/>
      <c r="C357" s="10"/>
      <c r="D357" s="11"/>
      <c r="E357" s="9"/>
      <c r="F357" s="9"/>
      <c r="G357" s="28"/>
    </row>
    <row r="358" spans="1:7" ht="60" customHeight="1" x14ac:dyDescent="0.3">
      <c r="A358" s="24"/>
      <c r="B358" s="10"/>
      <c r="C358" s="10"/>
      <c r="D358" s="11"/>
      <c r="E358" s="8"/>
      <c r="F358" s="8"/>
      <c r="G358" s="28"/>
    </row>
    <row r="359" spans="1:7" ht="60" customHeight="1" x14ac:dyDescent="0.3">
      <c r="A359" s="24"/>
      <c r="B359" s="10"/>
      <c r="C359" s="10"/>
      <c r="D359" s="11"/>
      <c r="E359" s="9"/>
      <c r="F359" s="9"/>
      <c r="G359" s="25"/>
    </row>
    <row r="360" spans="1:7" ht="60" customHeight="1" x14ac:dyDescent="0.3">
      <c r="A360" s="24"/>
      <c r="B360" s="10"/>
      <c r="C360" s="10"/>
      <c r="D360" s="11"/>
      <c r="E360" s="9"/>
      <c r="F360" s="9"/>
      <c r="G360" s="28"/>
    </row>
    <row r="361" spans="1:7" ht="60" customHeight="1" x14ac:dyDescent="0.3">
      <c r="A361" s="24"/>
      <c r="B361" s="10"/>
      <c r="C361" s="10"/>
      <c r="D361" s="11"/>
      <c r="E361" s="9"/>
      <c r="F361" s="9"/>
      <c r="G361" s="28"/>
    </row>
    <row r="362" spans="1:7" ht="60" customHeight="1" x14ac:dyDescent="0.3">
      <c r="A362" s="24"/>
      <c r="B362" s="10"/>
      <c r="C362" s="10"/>
      <c r="D362" s="11"/>
      <c r="E362" s="9"/>
      <c r="F362" s="9"/>
      <c r="G362" s="28"/>
    </row>
    <row r="363" spans="1:7" ht="60" customHeight="1" x14ac:dyDescent="0.3">
      <c r="A363" s="24"/>
      <c r="B363" s="10"/>
      <c r="C363" s="10"/>
      <c r="D363" s="11"/>
      <c r="E363" s="9"/>
      <c r="F363" s="9"/>
      <c r="G363" s="28"/>
    </row>
    <row r="364" spans="1:7" ht="60" customHeight="1" x14ac:dyDescent="0.3">
      <c r="A364" s="24"/>
      <c r="B364" s="10"/>
      <c r="C364" s="10"/>
      <c r="D364" s="11"/>
      <c r="E364" s="8"/>
      <c r="F364" s="8"/>
      <c r="G364" s="28"/>
    </row>
    <row r="365" spans="1:7" ht="60" customHeight="1" x14ac:dyDescent="0.3">
      <c r="A365" s="24"/>
      <c r="B365" s="10"/>
      <c r="C365" s="10"/>
      <c r="D365" s="11"/>
      <c r="E365" s="9"/>
      <c r="F365" s="9"/>
      <c r="G365" s="25"/>
    </row>
    <row r="366" spans="1:7" ht="60" customHeight="1" x14ac:dyDescent="0.3">
      <c r="A366" s="24"/>
      <c r="B366" s="10"/>
      <c r="C366" s="10"/>
      <c r="D366" s="11"/>
      <c r="E366" s="9"/>
      <c r="F366" s="9"/>
      <c r="G366" s="28"/>
    </row>
    <row r="367" spans="1:7" ht="60" customHeight="1" x14ac:dyDescent="0.3">
      <c r="A367" s="24"/>
      <c r="B367" s="10"/>
      <c r="C367" s="10"/>
      <c r="D367" s="11"/>
      <c r="E367" s="9"/>
      <c r="F367" s="9"/>
      <c r="G367" s="28"/>
    </row>
    <row r="368" spans="1:7" ht="60" customHeight="1" x14ac:dyDescent="0.3">
      <c r="A368" s="24"/>
      <c r="B368" s="10"/>
      <c r="C368" s="10"/>
      <c r="D368" s="11"/>
      <c r="E368" s="8"/>
      <c r="F368" s="8"/>
      <c r="G368" s="28"/>
    </row>
    <row r="369" spans="1:7" ht="60" customHeight="1" x14ac:dyDescent="0.3">
      <c r="A369" s="24"/>
      <c r="B369" s="10"/>
      <c r="C369" s="10"/>
      <c r="D369" s="11"/>
      <c r="E369" s="9"/>
      <c r="F369" s="9"/>
      <c r="G369" s="25"/>
    </row>
    <row r="370" spans="1:7" ht="60" customHeight="1" x14ac:dyDescent="0.3">
      <c r="A370" s="24"/>
      <c r="B370" s="10"/>
      <c r="C370" s="10"/>
      <c r="D370" s="11"/>
      <c r="E370" s="8"/>
      <c r="F370" s="8"/>
      <c r="G370" s="28"/>
    </row>
    <row r="371" spans="1:7" ht="60" customHeight="1" x14ac:dyDescent="0.3">
      <c r="A371" s="24"/>
      <c r="B371" s="10"/>
      <c r="C371" s="10"/>
      <c r="D371" s="11"/>
      <c r="E371" s="8"/>
      <c r="F371" s="8"/>
      <c r="G371" s="25"/>
    </row>
    <row r="372" spans="1:7" ht="60" customHeight="1" x14ac:dyDescent="0.3">
      <c r="A372" s="24"/>
      <c r="B372" s="10"/>
      <c r="C372" s="10"/>
      <c r="D372" s="11"/>
      <c r="E372" s="8"/>
      <c r="F372" s="8"/>
      <c r="G372" s="25"/>
    </row>
    <row r="373" spans="1:7" ht="60" customHeight="1" x14ac:dyDescent="0.3">
      <c r="A373" s="24"/>
      <c r="B373" s="10"/>
      <c r="C373" s="10"/>
      <c r="D373" s="11"/>
      <c r="E373" s="8"/>
      <c r="F373" s="8"/>
      <c r="G373" s="25"/>
    </row>
    <row r="374" spans="1:7" ht="60" customHeight="1" x14ac:dyDescent="0.3">
      <c r="A374" s="24"/>
      <c r="B374" s="10"/>
      <c r="C374" s="10"/>
      <c r="D374" s="11"/>
      <c r="E374" s="8"/>
      <c r="F374" s="8"/>
      <c r="G374" s="25"/>
    </row>
    <row r="375" spans="1:7" ht="60" customHeight="1" x14ac:dyDescent="0.3">
      <c r="A375" s="24"/>
      <c r="B375" s="10"/>
      <c r="C375" s="10"/>
      <c r="D375" s="11"/>
      <c r="E375" s="11"/>
      <c r="F375" s="11"/>
      <c r="G375" s="25"/>
    </row>
    <row r="376" spans="1:7" ht="60" customHeight="1" x14ac:dyDescent="0.3">
      <c r="A376" s="24"/>
      <c r="B376" s="10"/>
      <c r="C376" s="10"/>
      <c r="D376" s="11"/>
      <c r="E376" s="11"/>
      <c r="F376" s="11"/>
    </row>
    <row r="377" spans="1:7" ht="60" customHeight="1" x14ac:dyDescent="0.3">
      <c r="A377" s="24"/>
      <c r="B377" s="10"/>
      <c r="C377" s="10"/>
      <c r="D377" s="11"/>
      <c r="E377" s="11"/>
      <c r="F377" s="11"/>
    </row>
    <row r="378" spans="1:7" ht="60" customHeight="1" x14ac:dyDescent="0.3">
      <c r="A378" s="24"/>
      <c r="B378" s="10"/>
      <c r="C378" s="10"/>
      <c r="D378" s="11"/>
      <c r="E378" s="11"/>
      <c r="F378" s="11"/>
    </row>
    <row r="379" spans="1:7" ht="60" customHeight="1" x14ac:dyDescent="0.3">
      <c r="A379" s="24"/>
      <c r="B379" s="10"/>
      <c r="C379" s="10"/>
      <c r="D379" s="11"/>
      <c r="E379" s="11"/>
      <c r="F379" s="11"/>
    </row>
    <row r="380" spans="1:7" ht="60" customHeight="1" x14ac:dyDescent="0.3">
      <c r="A380" s="24"/>
      <c r="B380" s="10"/>
      <c r="C380" s="10"/>
      <c r="D380" s="11"/>
      <c r="E380" s="11"/>
      <c r="F380" s="11"/>
    </row>
    <row r="381" spans="1:7" ht="60" customHeight="1" x14ac:dyDescent="0.3">
      <c r="A381" s="24"/>
      <c r="B381" s="10"/>
      <c r="C381" s="10"/>
      <c r="D381" s="11"/>
      <c r="E381" s="11"/>
      <c r="F381" s="11"/>
    </row>
    <row r="382" spans="1:7" ht="60" customHeight="1" x14ac:dyDescent="0.3">
      <c r="A382" s="24"/>
      <c r="B382" s="10"/>
      <c r="C382" s="10"/>
      <c r="D382" s="11"/>
      <c r="E382" s="11"/>
      <c r="F382" s="11"/>
    </row>
    <row r="383" spans="1:7" ht="60" customHeight="1" x14ac:dyDescent="0.3">
      <c r="A383" s="24"/>
      <c r="B383" s="10"/>
      <c r="C383" s="10"/>
      <c r="D383" s="11"/>
      <c r="E383" s="11"/>
      <c r="F383" s="11"/>
    </row>
    <row r="384" spans="1:7" ht="60" customHeight="1" x14ac:dyDescent="0.3">
      <c r="A384" s="24"/>
      <c r="B384" s="10"/>
      <c r="C384" s="10"/>
      <c r="D384" s="11"/>
      <c r="E384" s="11"/>
      <c r="F384" s="11"/>
    </row>
    <row r="385" spans="1:6" ht="60" customHeight="1" x14ac:dyDescent="0.3">
      <c r="A385" s="24"/>
      <c r="B385" s="10"/>
      <c r="C385" s="10"/>
      <c r="D385" s="11"/>
      <c r="E385" s="11"/>
      <c r="F385" s="11"/>
    </row>
    <row r="386" spans="1:6" ht="60" customHeight="1" x14ac:dyDescent="0.3">
      <c r="A386" s="24"/>
      <c r="B386" s="10"/>
      <c r="C386" s="10"/>
      <c r="D386" s="11"/>
      <c r="E386" s="11"/>
      <c r="F386" s="11"/>
    </row>
    <row r="387" spans="1:6" ht="60" customHeight="1" x14ac:dyDescent="0.3">
      <c r="A387" s="24"/>
      <c r="B387" s="10"/>
      <c r="C387" s="10"/>
      <c r="D387" s="11"/>
      <c r="E387" s="11"/>
      <c r="F387" s="11"/>
    </row>
    <row r="388" spans="1:6" ht="60" customHeight="1" x14ac:dyDescent="0.3">
      <c r="A388" s="24"/>
      <c r="B388" s="10"/>
      <c r="C388" s="10"/>
      <c r="D388" s="11"/>
      <c r="E388" s="11"/>
      <c r="F388" s="11"/>
    </row>
    <row r="389" spans="1:6" ht="60" customHeight="1" x14ac:dyDescent="0.3">
      <c r="A389" s="24"/>
      <c r="B389" s="10"/>
      <c r="C389" s="10"/>
      <c r="D389" s="11"/>
      <c r="E389" s="11"/>
      <c r="F389" s="11"/>
    </row>
    <row r="390" spans="1:6" ht="60" customHeight="1" x14ac:dyDescent="0.3">
      <c r="A390" s="24"/>
      <c r="B390" s="10"/>
      <c r="C390" s="10"/>
      <c r="D390" s="11"/>
      <c r="E390" s="11"/>
      <c r="F390" s="11"/>
    </row>
    <row r="391" spans="1:6" ht="60" customHeight="1" x14ac:dyDescent="0.3">
      <c r="A391" s="24"/>
      <c r="B391" s="10"/>
      <c r="C391" s="10"/>
      <c r="D391" s="11"/>
      <c r="E391" s="11"/>
      <c r="F391" s="11"/>
    </row>
    <row r="392" spans="1:6" ht="60" customHeight="1" x14ac:dyDescent="0.3">
      <c r="A392" s="24"/>
      <c r="B392" s="10"/>
      <c r="C392" s="10"/>
      <c r="D392" s="11"/>
      <c r="E392" s="11"/>
      <c r="F392" s="11"/>
    </row>
    <row r="393" spans="1:6" ht="60" customHeight="1" x14ac:dyDescent="0.3">
      <c r="A393" s="24"/>
      <c r="B393" s="10"/>
      <c r="C393" s="10"/>
      <c r="D393" s="11"/>
      <c r="E393" s="11"/>
      <c r="F393" s="11"/>
    </row>
    <row r="394" spans="1:6" ht="60" customHeight="1" x14ac:dyDescent="0.3">
      <c r="A394" s="24"/>
      <c r="B394" s="10"/>
      <c r="C394" s="10"/>
      <c r="D394" s="11"/>
      <c r="E394" s="11"/>
      <c r="F394" s="11"/>
    </row>
    <row r="395" spans="1:6" ht="60" customHeight="1" x14ac:dyDescent="0.3">
      <c r="A395" s="24"/>
      <c r="B395" s="10"/>
      <c r="C395" s="10"/>
      <c r="D395" s="11"/>
      <c r="E395" s="11"/>
      <c r="F395" s="11"/>
    </row>
    <row r="396" spans="1:6" ht="60" customHeight="1" x14ac:dyDescent="0.3">
      <c r="A396" s="24"/>
      <c r="B396" s="10"/>
      <c r="C396" s="10"/>
      <c r="D396" s="11"/>
      <c r="E396" s="11"/>
      <c r="F396" s="11"/>
    </row>
    <row r="397" spans="1:6" ht="60" customHeight="1" x14ac:dyDescent="0.3">
      <c r="A397" s="24"/>
      <c r="B397" s="10"/>
      <c r="C397" s="10"/>
      <c r="D397" s="11"/>
      <c r="E397" s="11"/>
      <c r="F397" s="11"/>
    </row>
    <row r="398" spans="1:6" ht="60" customHeight="1" x14ac:dyDescent="0.3">
      <c r="A398" s="24"/>
      <c r="B398" s="10"/>
      <c r="C398" s="10"/>
      <c r="D398" s="11"/>
      <c r="E398" s="11"/>
      <c r="F398" s="11"/>
    </row>
    <row r="399" spans="1:6" ht="60" customHeight="1" x14ac:dyDescent="0.3">
      <c r="A399" s="24"/>
      <c r="B399" s="10"/>
      <c r="C399" s="10"/>
      <c r="D399" s="11"/>
      <c r="E399" s="11"/>
      <c r="F399" s="11"/>
    </row>
    <row r="400" spans="1:6" ht="60" customHeight="1" x14ac:dyDescent="0.3">
      <c r="A400" s="24"/>
      <c r="B400" s="10"/>
      <c r="C400" s="10"/>
      <c r="D400" s="11"/>
      <c r="E400" s="11"/>
      <c r="F400" s="11"/>
    </row>
    <row r="401" spans="1:6" ht="60" customHeight="1" x14ac:dyDescent="0.3">
      <c r="A401" s="24"/>
      <c r="B401" s="10"/>
      <c r="C401" s="10"/>
      <c r="D401" s="11"/>
      <c r="E401" s="11"/>
      <c r="F401" s="11"/>
    </row>
    <row r="402" spans="1:6" ht="60" customHeight="1" x14ac:dyDescent="0.3">
      <c r="A402" s="24"/>
      <c r="B402" s="10"/>
      <c r="C402" s="10"/>
      <c r="D402" s="11"/>
      <c r="E402" s="11"/>
      <c r="F402" s="11"/>
    </row>
    <row r="403" spans="1:6" ht="60" customHeight="1" x14ac:dyDescent="0.3">
      <c r="A403" s="24"/>
      <c r="B403" s="10"/>
      <c r="C403" s="10"/>
      <c r="D403" s="11"/>
      <c r="E403" s="11"/>
      <c r="F403" s="11"/>
    </row>
    <row r="404" spans="1:6" ht="60" customHeight="1" x14ac:dyDescent="0.3">
      <c r="A404" s="24"/>
      <c r="B404" s="10"/>
      <c r="C404" s="10"/>
      <c r="D404" s="11"/>
      <c r="E404" s="11"/>
      <c r="F404" s="11"/>
    </row>
    <row r="405" spans="1:6" ht="60" customHeight="1" x14ac:dyDescent="0.3">
      <c r="A405" s="24"/>
      <c r="B405" s="10"/>
      <c r="C405" s="10"/>
      <c r="D405" s="11"/>
      <c r="E405" s="11"/>
      <c r="F405" s="11"/>
    </row>
    <row r="406" spans="1:6" ht="60" customHeight="1" x14ac:dyDescent="0.3">
      <c r="A406" s="24"/>
      <c r="B406" s="10"/>
      <c r="C406" s="10"/>
      <c r="D406" s="11"/>
      <c r="E406" s="11"/>
      <c r="F406" s="11"/>
    </row>
    <row r="407" spans="1:6" ht="60" customHeight="1" x14ac:dyDescent="0.3">
      <c r="A407" s="24"/>
      <c r="B407" s="10"/>
      <c r="C407" s="10"/>
      <c r="D407" s="11"/>
      <c r="E407" s="11"/>
      <c r="F407" s="11"/>
    </row>
    <row r="408" spans="1:6" ht="60" customHeight="1" x14ac:dyDescent="0.3">
      <c r="A408" s="24"/>
      <c r="B408" s="10"/>
      <c r="C408" s="10"/>
      <c r="D408" s="11"/>
      <c r="E408" s="11"/>
      <c r="F408" s="11"/>
    </row>
    <row r="409" spans="1:6" ht="60" customHeight="1" x14ac:dyDescent="0.3">
      <c r="A409" s="24"/>
      <c r="B409" s="10"/>
      <c r="C409" s="10"/>
      <c r="D409" s="11"/>
      <c r="E409" s="11"/>
      <c r="F409" s="11"/>
    </row>
    <row r="410" spans="1:6" ht="60" customHeight="1" x14ac:dyDescent="0.3">
      <c r="A410" s="24"/>
      <c r="B410" s="10"/>
      <c r="C410" s="10"/>
      <c r="D410" s="11"/>
      <c r="E410" s="11"/>
      <c r="F410" s="11"/>
    </row>
    <row r="411" spans="1:6" ht="60" customHeight="1" x14ac:dyDescent="0.3">
      <c r="A411" s="24"/>
      <c r="B411" s="10"/>
      <c r="C411" s="10"/>
      <c r="D411" s="11"/>
      <c r="E411" s="11"/>
      <c r="F411" s="11"/>
    </row>
    <row r="412" spans="1:6" ht="60" customHeight="1" x14ac:dyDescent="0.3">
      <c r="A412" s="24"/>
      <c r="B412" s="10"/>
      <c r="C412" s="10"/>
      <c r="D412" s="11"/>
      <c r="E412" s="11"/>
      <c r="F412" s="11"/>
    </row>
    <row r="413" spans="1:6" ht="60" customHeight="1" x14ac:dyDescent="0.3">
      <c r="A413" s="24"/>
      <c r="B413" s="10"/>
      <c r="C413" s="10"/>
      <c r="D413" s="11"/>
      <c r="E413" s="11"/>
      <c r="F413" s="11"/>
    </row>
    <row r="414" spans="1:6" ht="60" customHeight="1" x14ac:dyDescent="0.3">
      <c r="A414" s="24"/>
      <c r="B414" s="10"/>
      <c r="C414" s="10"/>
      <c r="D414" s="11"/>
      <c r="E414" s="11"/>
      <c r="F414" s="11"/>
    </row>
    <row r="415" spans="1:6" ht="60" customHeight="1" x14ac:dyDescent="0.3">
      <c r="A415" s="24"/>
      <c r="B415" s="10"/>
      <c r="C415" s="10"/>
      <c r="D415" s="11"/>
      <c r="E415" s="11"/>
      <c r="F415" s="11"/>
    </row>
    <row r="416" spans="1:6" ht="60" customHeight="1" x14ac:dyDescent="0.3">
      <c r="A416" s="24"/>
      <c r="B416" s="10"/>
      <c r="C416" s="10"/>
      <c r="D416" s="11"/>
      <c r="E416" s="11"/>
      <c r="F416" s="11"/>
    </row>
    <row r="417" spans="1:6" ht="60" customHeight="1" x14ac:dyDescent="0.3">
      <c r="A417" s="24"/>
      <c r="B417" s="10"/>
      <c r="C417" s="10"/>
      <c r="D417" s="11"/>
      <c r="E417" s="11"/>
      <c r="F417" s="11"/>
    </row>
    <row r="418" spans="1:6" ht="60" customHeight="1" x14ac:dyDescent="0.3">
      <c r="A418" s="24"/>
      <c r="B418" s="10"/>
      <c r="C418" s="10"/>
      <c r="D418" s="11"/>
      <c r="E418" s="11"/>
      <c r="F418" s="11"/>
    </row>
    <row r="419" spans="1:6" ht="60" customHeight="1" x14ac:dyDescent="0.3">
      <c r="A419" s="24"/>
      <c r="B419" s="10"/>
      <c r="C419" s="10"/>
      <c r="D419" s="11"/>
      <c r="E419" s="11"/>
      <c r="F419" s="11"/>
    </row>
    <row r="420" spans="1:6" ht="60" customHeight="1" x14ac:dyDescent="0.3">
      <c r="A420" s="24"/>
      <c r="B420" s="10"/>
      <c r="C420" s="10"/>
      <c r="D420" s="11"/>
      <c r="E420" s="11"/>
      <c r="F420" s="11"/>
    </row>
    <row r="421" spans="1:6" ht="60" customHeight="1" x14ac:dyDescent="0.3">
      <c r="A421" s="24"/>
      <c r="B421" s="10"/>
      <c r="C421" s="10"/>
      <c r="D421" s="11"/>
      <c r="E421" s="11"/>
      <c r="F421" s="11"/>
    </row>
    <row r="422" spans="1:6" ht="60" customHeight="1" x14ac:dyDescent="0.3">
      <c r="A422" s="24"/>
      <c r="B422" s="10"/>
      <c r="C422" s="10"/>
      <c r="D422" s="11"/>
      <c r="E422" s="11"/>
      <c r="F422" s="11"/>
    </row>
    <row r="423" spans="1:6" ht="60" customHeight="1" x14ac:dyDescent="0.3">
      <c r="A423" s="24"/>
      <c r="B423" s="10"/>
      <c r="C423" s="10"/>
      <c r="D423" s="11"/>
      <c r="E423" s="11"/>
      <c r="F423" s="11"/>
    </row>
    <row r="424" spans="1:6" ht="60" customHeight="1" x14ac:dyDescent="0.3">
      <c r="A424" s="24"/>
      <c r="B424" s="10"/>
      <c r="C424" s="10"/>
      <c r="D424" s="11"/>
      <c r="E424" s="11"/>
      <c r="F424" s="11"/>
    </row>
    <row r="425" spans="1:6" ht="60" customHeight="1" x14ac:dyDescent="0.3">
      <c r="A425" s="24"/>
      <c r="B425" s="10"/>
      <c r="C425" s="10"/>
      <c r="D425" s="11"/>
      <c r="E425" s="11"/>
      <c r="F425" s="11"/>
    </row>
    <row r="426" spans="1:6" ht="60" customHeight="1" x14ac:dyDescent="0.3">
      <c r="A426" s="24"/>
      <c r="B426" s="10"/>
      <c r="C426" s="10"/>
      <c r="D426" s="11"/>
      <c r="E426" s="11"/>
      <c r="F426" s="11"/>
    </row>
    <row r="427" spans="1:6" ht="60" customHeight="1" x14ac:dyDescent="0.3">
      <c r="A427" s="24"/>
      <c r="B427" s="10"/>
      <c r="C427" s="10"/>
      <c r="D427" s="11"/>
      <c r="E427" s="11"/>
      <c r="F427" s="11"/>
    </row>
    <row r="428" spans="1:6" ht="60" customHeight="1" x14ac:dyDescent="0.3">
      <c r="A428" s="24"/>
      <c r="B428" s="10"/>
      <c r="C428" s="10"/>
      <c r="D428" s="11"/>
      <c r="E428" s="11"/>
      <c r="F428" s="11"/>
    </row>
    <row r="429" spans="1:6" ht="60" customHeight="1" x14ac:dyDescent="0.3">
      <c r="A429" s="24"/>
      <c r="B429" s="10"/>
      <c r="C429" s="10"/>
      <c r="D429" s="11"/>
      <c r="E429" s="11"/>
      <c r="F429" s="11"/>
    </row>
    <row r="430" spans="1:6" ht="60" customHeight="1" x14ac:dyDescent="0.3">
      <c r="A430" s="24"/>
      <c r="B430" s="10"/>
      <c r="C430" s="10"/>
      <c r="D430" s="11"/>
      <c r="E430" s="11"/>
      <c r="F430" s="11"/>
    </row>
    <row r="431" spans="1:6" ht="60" customHeight="1" x14ac:dyDescent="0.3">
      <c r="A431" s="24"/>
      <c r="B431" s="10"/>
      <c r="C431" s="10"/>
      <c r="D431" s="11"/>
      <c r="E431" s="11"/>
      <c r="F431" s="11"/>
    </row>
    <row r="432" spans="1:6" ht="60" customHeight="1" x14ac:dyDescent="0.3">
      <c r="A432" s="24"/>
      <c r="B432" s="10"/>
      <c r="C432" s="10"/>
      <c r="D432" s="11"/>
      <c r="E432" s="11"/>
      <c r="F432" s="11"/>
    </row>
    <row r="433" spans="1:6" ht="60" customHeight="1" x14ac:dyDescent="0.3">
      <c r="A433" s="24"/>
      <c r="B433" s="10"/>
      <c r="C433" s="10"/>
      <c r="D433" s="11"/>
      <c r="E433" s="11"/>
      <c r="F433" s="11"/>
    </row>
    <row r="434" spans="1:6" ht="60" customHeight="1" x14ac:dyDescent="0.3">
      <c r="A434" s="24"/>
      <c r="B434" s="10"/>
      <c r="C434" s="10"/>
      <c r="D434" s="11"/>
      <c r="E434" s="11"/>
      <c r="F434" s="11"/>
    </row>
    <row r="435" spans="1:6" ht="60" customHeight="1" x14ac:dyDescent="0.3">
      <c r="A435" s="24"/>
      <c r="B435" s="10"/>
      <c r="C435" s="10"/>
      <c r="D435" s="11"/>
      <c r="E435" s="11"/>
      <c r="F435" s="11"/>
    </row>
    <row r="436" spans="1:6" ht="60" customHeight="1" x14ac:dyDescent="0.3">
      <c r="A436" s="24"/>
      <c r="B436" s="10"/>
      <c r="C436" s="10"/>
      <c r="D436" s="11"/>
      <c r="E436" s="11"/>
      <c r="F436" s="11"/>
    </row>
    <row r="437" spans="1:6" ht="60" customHeight="1" x14ac:dyDescent="0.3">
      <c r="A437" s="24"/>
      <c r="B437" s="10"/>
      <c r="C437" s="10"/>
      <c r="D437" s="11"/>
      <c r="E437" s="11"/>
      <c r="F437" s="11"/>
    </row>
    <row r="438" spans="1:6" ht="60" customHeight="1" x14ac:dyDescent="0.3">
      <c r="A438" s="24"/>
      <c r="B438" s="10"/>
      <c r="C438" s="10"/>
      <c r="D438" s="11"/>
      <c r="E438" s="11"/>
      <c r="F438" s="11"/>
    </row>
    <row r="439" spans="1:6" ht="60" customHeight="1" x14ac:dyDescent="0.3">
      <c r="A439" s="24"/>
      <c r="B439" s="10"/>
      <c r="C439" s="10"/>
      <c r="D439" s="11"/>
      <c r="E439" s="11"/>
      <c r="F439" s="11"/>
    </row>
    <row r="440" spans="1:6" ht="60" customHeight="1" x14ac:dyDescent="0.3">
      <c r="A440" s="24"/>
      <c r="B440" s="10"/>
      <c r="C440" s="10"/>
      <c r="D440" s="11"/>
      <c r="E440" s="11"/>
      <c r="F440" s="11"/>
    </row>
    <row r="441" spans="1:6" ht="60" customHeight="1" x14ac:dyDescent="0.3">
      <c r="A441" s="24"/>
      <c r="B441" s="10"/>
      <c r="C441" s="10"/>
      <c r="D441" s="11"/>
      <c r="E441" s="11"/>
      <c r="F441" s="11"/>
    </row>
    <row r="442" spans="1:6" ht="60" customHeight="1" x14ac:dyDescent="0.3">
      <c r="A442" s="24"/>
      <c r="B442" s="10"/>
      <c r="C442" s="10"/>
      <c r="D442" s="11"/>
      <c r="E442" s="11"/>
      <c r="F442" s="11"/>
    </row>
    <row r="443" spans="1:6" ht="60" customHeight="1" x14ac:dyDescent="0.3">
      <c r="A443" s="24"/>
      <c r="B443" s="10"/>
      <c r="C443" s="10"/>
      <c r="D443" s="11"/>
      <c r="E443" s="11"/>
      <c r="F443" s="11"/>
    </row>
    <row r="444" spans="1:6" ht="60" customHeight="1" x14ac:dyDescent="0.3">
      <c r="A444" s="24"/>
      <c r="B444" s="10"/>
      <c r="C444" s="10"/>
      <c r="D444" s="11"/>
      <c r="E444" s="11"/>
      <c r="F444" s="11"/>
    </row>
    <row r="445" spans="1:6" ht="60" customHeight="1" x14ac:dyDescent="0.3">
      <c r="A445" s="24"/>
      <c r="B445" s="10"/>
      <c r="C445" s="10"/>
      <c r="D445" s="11"/>
      <c r="E445" s="11"/>
      <c r="F445" s="11"/>
    </row>
    <row r="446" spans="1:6" ht="60" customHeight="1" x14ac:dyDescent="0.3">
      <c r="A446" s="24"/>
      <c r="B446" s="10"/>
      <c r="C446" s="10"/>
      <c r="D446" s="11"/>
      <c r="E446" s="11"/>
      <c r="F446" s="11"/>
    </row>
    <row r="447" spans="1:6" ht="60" customHeight="1" x14ac:dyDescent="0.3">
      <c r="A447" s="24"/>
      <c r="B447" s="10"/>
      <c r="C447" s="10"/>
      <c r="D447" s="11"/>
      <c r="E447" s="11"/>
      <c r="F447" s="11"/>
    </row>
    <row r="448" spans="1:6" ht="60" customHeight="1" x14ac:dyDescent="0.3">
      <c r="A448" s="24"/>
      <c r="B448" s="10"/>
      <c r="C448" s="10"/>
      <c r="D448" s="11"/>
      <c r="E448" s="11"/>
      <c r="F448" s="11"/>
    </row>
    <row r="449" spans="1:6" ht="60" customHeight="1" x14ac:dyDescent="0.3">
      <c r="A449" s="24"/>
      <c r="B449" s="10"/>
      <c r="C449" s="10"/>
      <c r="D449" s="11"/>
      <c r="E449" s="11"/>
      <c r="F449" s="11"/>
    </row>
    <row r="450" spans="1:6" ht="60" customHeight="1" x14ac:dyDescent="0.3">
      <c r="A450" s="24"/>
      <c r="B450" s="10"/>
      <c r="C450" s="10"/>
      <c r="D450" s="11"/>
      <c r="E450" s="11"/>
      <c r="F450" s="11"/>
    </row>
    <row r="451" spans="1:6" ht="60" customHeight="1" x14ac:dyDescent="0.3">
      <c r="A451" s="24"/>
      <c r="B451" s="10"/>
      <c r="C451" s="10"/>
      <c r="D451" s="11"/>
      <c r="E451" s="11"/>
      <c r="F451" s="11"/>
    </row>
    <row r="452" spans="1:6" ht="60" customHeight="1" x14ac:dyDescent="0.3">
      <c r="A452" s="24"/>
      <c r="B452" s="10"/>
      <c r="C452" s="10"/>
      <c r="D452" s="11"/>
      <c r="E452" s="11"/>
      <c r="F452" s="11"/>
    </row>
    <row r="453" spans="1:6" ht="60" customHeight="1" x14ac:dyDescent="0.3">
      <c r="A453" s="24"/>
      <c r="B453" s="10"/>
      <c r="C453" s="10"/>
      <c r="D453" s="11"/>
      <c r="E453" s="11"/>
      <c r="F453" s="11"/>
    </row>
    <row r="454" spans="1:6" ht="60" customHeight="1" x14ac:dyDescent="0.3">
      <c r="A454" s="24"/>
      <c r="B454" s="10"/>
      <c r="C454" s="10"/>
      <c r="D454" s="11"/>
      <c r="E454" s="11"/>
      <c r="F454" s="11"/>
    </row>
    <row r="455" spans="1:6" ht="60" customHeight="1" x14ac:dyDescent="0.3">
      <c r="A455" s="24"/>
      <c r="B455" s="10"/>
      <c r="C455" s="10"/>
      <c r="D455" s="11"/>
      <c r="E455" s="11"/>
      <c r="F455" s="11"/>
    </row>
    <row r="456" spans="1:6" ht="60" customHeight="1" x14ac:dyDescent="0.3">
      <c r="A456" s="24"/>
      <c r="B456" s="10"/>
      <c r="C456" s="10"/>
      <c r="D456" s="11"/>
      <c r="E456" s="11"/>
      <c r="F456" s="11"/>
    </row>
    <row r="457" spans="1:6" ht="60" customHeight="1" x14ac:dyDescent="0.3">
      <c r="A457" s="24"/>
      <c r="B457" s="10"/>
      <c r="C457" s="10"/>
      <c r="D457" s="11"/>
      <c r="E457" s="11"/>
      <c r="F457" s="11"/>
    </row>
    <row r="458" spans="1:6" ht="60" customHeight="1" x14ac:dyDescent="0.3">
      <c r="A458" s="24"/>
      <c r="B458" s="10"/>
      <c r="C458" s="10"/>
      <c r="D458" s="11"/>
      <c r="E458" s="11"/>
      <c r="F458" s="11"/>
    </row>
    <row r="459" spans="1:6" ht="60" customHeight="1" x14ac:dyDescent="0.3">
      <c r="A459" s="24"/>
      <c r="B459" s="10"/>
      <c r="C459" s="10"/>
      <c r="D459" s="11"/>
      <c r="E459" s="11"/>
      <c r="F459" s="11"/>
    </row>
    <row r="460" spans="1:6" ht="60" customHeight="1" x14ac:dyDescent="0.3">
      <c r="A460" s="24"/>
      <c r="B460" s="10"/>
      <c r="C460" s="10"/>
      <c r="D460" s="11"/>
      <c r="E460" s="11"/>
      <c r="F460" s="11"/>
    </row>
    <row r="461" spans="1:6" ht="60" customHeight="1" x14ac:dyDescent="0.3">
      <c r="A461" s="24"/>
      <c r="B461" s="10"/>
      <c r="C461" s="10"/>
      <c r="D461" s="11"/>
      <c r="E461" s="11"/>
      <c r="F461" s="11"/>
    </row>
    <row r="462" spans="1:6" ht="60" customHeight="1" x14ac:dyDescent="0.3">
      <c r="A462" s="24"/>
      <c r="B462" s="10"/>
      <c r="C462" s="10"/>
      <c r="D462" s="11"/>
      <c r="E462" s="11"/>
      <c r="F462" s="11"/>
    </row>
    <row r="463" spans="1:6" ht="60" customHeight="1" x14ac:dyDescent="0.3">
      <c r="A463" s="24"/>
      <c r="B463" s="10"/>
      <c r="C463" s="10"/>
      <c r="D463" s="11"/>
      <c r="E463" s="11"/>
      <c r="F463" s="11"/>
    </row>
    <row r="464" spans="1:6" ht="60" customHeight="1" x14ac:dyDescent="0.3">
      <c r="A464" s="24"/>
      <c r="B464" s="10"/>
      <c r="C464" s="10"/>
      <c r="D464" s="11"/>
      <c r="E464" s="11"/>
      <c r="F464" s="11"/>
    </row>
    <row r="465" spans="1:6" ht="60" customHeight="1" x14ac:dyDescent="0.3">
      <c r="A465" s="24"/>
      <c r="B465" s="10"/>
      <c r="C465" s="10"/>
      <c r="D465" s="11"/>
      <c r="E465" s="11"/>
      <c r="F465" s="11"/>
    </row>
    <row r="466" spans="1:6" ht="60" customHeight="1" x14ac:dyDescent="0.3">
      <c r="A466" s="24"/>
      <c r="B466" s="10"/>
      <c r="C466" s="10"/>
      <c r="D466" s="11"/>
      <c r="E466" s="11"/>
      <c r="F466" s="11"/>
    </row>
    <row r="467" spans="1:6" ht="60" customHeight="1" x14ac:dyDescent="0.3">
      <c r="A467" s="24"/>
      <c r="B467" s="10"/>
      <c r="C467" s="10"/>
      <c r="D467" s="11"/>
      <c r="E467" s="11"/>
      <c r="F467" s="11"/>
    </row>
    <row r="468" spans="1:6" ht="60" customHeight="1" x14ac:dyDescent="0.3">
      <c r="A468" s="24"/>
      <c r="B468" s="10"/>
      <c r="C468" s="10"/>
      <c r="D468" s="11"/>
      <c r="E468" s="11"/>
      <c r="F468" s="11"/>
    </row>
    <row r="469" spans="1:6" ht="60" customHeight="1" x14ac:dyDescent="0.3">
      <c r="A469" s="24"/>
      <c r="B469" s="10"/>
      <c r="C469" s="10"/>
      <c r="D469" s="11"/>
      <c r="E469" s="11"/>
      <c r="F469" s="11"/>
    </row>
    <row r="470" spans="1:6" ht="60" customHeight="1" x14ac:dyDescent="0.3">
      <c r="A470" s="24"/>
      <c r="B470" s="10"/>
      <c r="C470" s="10"/>
      <c r="D470" s="11"/>
      <c r="E470" s="11"/>
      <c r="F470" s="11"/>
    </row>
    <row r="471" spans="1:6" ht="60" customHeight="1" x14ac:dyDescent="0.3">
      <c r="A471" s="24"/>
      <c r="B471" s="10"/>
      <c r="C471" s="10"/>
      <c r="D471" s="11"/>
      <c r="E471" s="11"/>
      <c r="F471" s="11"/>
    </row>
    <row r="472" spans="1:6" ht="60" customHeight="1" x14ac:dyDescent="0.3">
      <c r="A472" s="24"/>
      <c r="B472" s="10"/>
      <c r="C472" s="10"/>
      <c r="D472" s="11"/>
      <c r="E472" s="11"/>
      <c r="F472" s="11"/>
    </row>
    <row r="473" spans="1:6" ht="60" customHeight="1" x14ac:dyDescent="0.3">
      <c r="A473" s="24"/>
      <c r="B473" s="10"/>
      <c r="C473" s="10"/>
      <c r="D473" s="11"/>
      <c r="E473" s="11"/>
      <c r="F473" s="11"/>
    </row>
    <row r="474" spans="1:6" ht="60" customHeight="1" x14ac:dyDescent="0.3">
      <c r="A474" s="24"/>
      <c r="B474" s="10"/>
      <c r="C474" s="10"/>
      <c r="D474" s="11"/>
      <c r="E474" s="11"/>
      <c r="F474" s="11"/>
    </row>
    <row r="475" spans="1:6" ht="60" customHeight="1" x14ac:dyDescent="0.3">
      <c r="A475" s="24"/>
      <c r="B475" s="10"/>
      <c r="C475" s="10"/>
      <c r="D475" s="11"/>
      <c r="E475" s="11"/>
      <c r="F475" s="11"/>
    </row>
    <row r="476" spans="1:6" ht="60" customHeight="1" x14ac:dyDescent="0.3">
      <c r="A476" s="24"/>
      <c r="B476" s="10"/>
      <c r="C476" s="10"/>
      <c r="D476" s="11"/>
      <c r="E476" s="11"/>
      <c r="F476" s="11"/>
    </row>
    <row r="477" spans="1:6" ht="60" customHeight="1" x14ac:dyDescent="0.3">
      <c r="A477" s="24"/>
      <c r="B477" s="10"/>
      <c r="C477" s="10"/>
      <c r="D477" s="11"/>
      <c r="E477" s="11"/>
      <c r="F477" s="11"/>
    </row>
    <row r="478" spans="1:6" ht="60" customHeight="1" x14ac:dyDescent="0.3">
      <c r="A478" s="24"/>
      <c r="B478" s="10"/>
      <c r="C478" s="10"/>
      <c r="D478" s="11"/>
      <c r="E478" s="11"/>
      <c r="F478" s="11"/>
    </row>
    <row r="479" spans="1:6" ht="60" customHeight="1" x14ac:dyDescent="0.3">
      <c r="A479" s="24"/>
      <c r="B479" s="10"/>
      <c r="C479" s="10"/>
      <c r="D479" s="11"/>
      <c r="E479" s="11"/>
      <c r="F479" s="11"/>
    </row>
    <row r="480" spans="1:6" ht="60" customHeight="1" x14ac:dyDescent="0.3">
      <c r="A480" s="24"/>
      <c r="B480" s="10"/>
      <c r="C480" s="10"/>
      <c r="D480" s="11"/>
      <c r="E480" s="11"/>
      <c r="F480" s="11"/>
    </row>
    <row r="481" spans="1:6" ht="60" customHeight="1" x14ac:dyDescent="0.3">
      <c r="A481" s="24"/>
      <c r="B481" s="10"/>
      <c r="C481" s="10"/>
      <c r="D481" s="11"/>
      <c r="E481" s="11"/>
      <c r="F481" s="11"/>
    </row>
    <row r="482" spans="1:6" ht="60" customHeight="1" x14ac:dyDescent="0.3">
      <c r="A482" s="24"/>
      <c r="B482" s="10"/>
      <c r="C482" s="10"/>
      <c r="D482" s="11"/>
      <c r="E482" s="11"/>
      <c r="F482" s="11"/>
    </row>
    <row r="483" spans="1:6" ht="60" customHeight="1" x14ac:dyDescent="0.3">
      <c r="A483" s="24"/>
      <c r="B483" s="10"/>
      <c r="C483" s="10"/>
      <c r="D483" s="11"/>
      <c r="E483" s="11"/>
      <c r="F483" s="11"/>
    </row>
    <row r="484" spans="1:6" ht="60" customHeight="1" x14ac:dyDescent="0.3">
      <c r="A484" s="24"/>
      <c r="B484" s="10"/>
      <c r="C484" s="10"/>
      <c r="D484" s="11"/>
      <c r="E484" s="11"/>
      <c r="F484" s="11"/>
    </row>
    <row r="485" spans="1:6" ht="60" customHeight="1" x14ac:dyDescent="0.3">
      <c r="A485" s="24"/>
      <c r="B485" s="10"/>
      <c r="C485" s="10"/>
      <c r="D485" s="11"/>
      <c r="E485" s="11"/>
      <c r="F485" s="11"/>
    </row>
    <row r="486" spans="1:6" ht="60" customHeight="1" x14ac:dyDescent="0.3">
      <c r="A486" s="24"/>
      <c r="B486" s="10"/>
      <c r="C486" s="10"/>
      <c r="D486" s="11"/>
      <c r="E486" s="11"/>
      <c r="F486" s="11"/>
    </row>
    <row r="487" spans="1:6" ht="60" customHeight="1" x14ac:dyDescent="0.3">
      <c r="A487" s="24"/>
      <c r="B487" s="10"/>
      <c r="C487" s="10"/>
      <c r="D487" s="11"/>
      <c r="E487" s="11"/>
      <c r="F487" s="11"/>
    </row>
    <row r="488" spans="1:6" ht="60" customHeight="1" x14ac:dyDescent="0.3">
      <c r="A488" s="24"/>
      <c r="B488" s="10"/>
      <c r="C488" s="10"/>
      <c r="D488" s="11"/>
      <c r="E488" s="11"/>
      <c r="F488" s="11"/>
    </row>
    <row r="489" spans="1:6" ht="60" customHeight="1" x14ac:dyDescent="0.3">
      <c r="A489" s="24"/>
      <c r="B489" s="10"/>
      <c r="C489" s="10"/>
      <c r="D489" s="11"/>
      <c r="E489" s="11"/>
      <c r="F489" s="11"/>
    </row>
    <row r="490" spans="1:6" ht="60" customHeight="1" x14ac:dyDescent="0.3">
      <c r="A490" s="24"/>
      <c r="B490" s="10"/>
      <c r="C490" s="10"/>
      <c r="D490" s="11"/>
      <c r="E490" s="11"/>
      <c r="F490" s="11"/>
    </row>
    <row r="491" spans="1:6" ht="60" customHeight="1" x14ac:dyDescent="0.3">
      <c r="A491" s="24"/>
      <c r="B491" s="10"/>
      <c r="C491" s="10"/>
      <c r="D491" s="11"/>
      <c r="E491" s="11"/>
      <c r="F491" s="11"/>
    </row>
    <row r="492" spans="1:6" ht="60" customHeight="1" x14ac:dyDescent="0.3">
      <c r="A492" s="24"/>
      <c r="B492" s="10"/>
      <c r="C492" s="10"/>
      <c r="D492" s="11"/>
      <c r="E492" s="11"/>
      <c r="F492" s="11"/>
    </row>
    <row r="493" spans="1:6" ht="60" customHeight="1" x14ac:dyDescent="0.3">
      <c r="A493" s="24"/>
      <c r="B493" s="10"/>
      <c r="C493" s="10"/>
      <c r="D493" s="11"/>
      <c r="E493" s="11"/>
      <c r="F493" s="11"/>
    </row>
    <row r="494" spans="1:6" ht="60" customHeight="1" x14ac:dyDescent="0.3">
      <c r="A494" s="24"/>
      <c r="B494" s="10"/>
      <c r="C494" s="10"/>
      <c r="D494" s="11"/>
      <c r="E494" s="11"/>
      <c r="F494" s="11"/>
    </row>
    <row r="495" spans="1:6" ht="60" customHeight="1" x14ac:dyDescent="0.3">
      <c r="A495" s="24"/>
      <c r="B495" s="10"/>
      <c r="C495" s="10"/>
      <c r="D495" s="11"/>
      <c r="E495" s="11"/>
      <c r="F495" s="11"/>
    </row>
    <row r="496" spans="1:6" ht="60" customHeight="1" x14ac:dyDescent="0.3">
      <c r="A496" s="24"/>
      <c r="B496" s="10"/>
      <c r="C496" s="10"/>
      <c r="D496" s="11"/>
      <c r="E496" s="11"/>
      <c r="F496" s="11"/>
    </row>
    <row r="497" spans="1:6" ht="60" customHeight="1" x14ac:dyDescent="0.3">
      <c r="A497" s="24"/>
      <c r="B497" s="10"/>
      <c r="C497" s="10"/>
      <c r="D497" s="11"/>
      <c r="E497" s="11"/>
      <c r="F497" s="11"/>
    </row>
    <row r="498" spans="1:6" ht="60" customHeight="1" x14ac:dyDescent="0.3">
      <c r="A498" s="24"/>
      <c r="B498" s="10"/>
      <c r="C498" s="10"/>
      <c r="D498" s="11"/>
      <c r="E498" s="11"/>
      <c r="F498" s="11"/>
    </row>
    <row r="499" spans="1:6" ht="60" customHeight="1" x14ac:dyDescent="0.3">
      <c r="A499" s="24"/>
      <c r="B499" s="10"/>
      <c r="C499" s="10"/>
      <c r="D499" s="11"/>
      <c r="E499" s="11"/>
      <c r="F499" s="11"/>
    </row>
    <row r="500" spans="1:6" ht="60" customHeight="1" x14ac:dyDescent="0.3">
      <c r="A500" s="24"/>
      <c r="B500" s="10"/>
      <c r="C500" s="10"/>
      <c r="D500" s="11"/>
      <c r="E500" s="11"/>
      <c r="F500" s="11"/>
    </row>
    <row r="501" spans="1:6" ht="60" customHeight="1" x14ac:dyDescent="0.3">
      <c r="A501" s="24"/>
      <c r="B501" s="10"/>
      <c r="C501" s="10"/>
      <c r="D501" s="11"/>
      <c r="E501" s="11"/>
      <c r="F501" s="11"/>
    </row>
    <row r="502" spans="1:6" ht="60" customHeight="1" x14ac:dyDescent="0.3">
      <c r="A502" s="24"/>
      <c r="B502" s="10"/>
      <c r="C502" s="10"/>
      <c r="D502" s="11"/>
      <c r="E502" s="11"/>
      <c r="F502" s="11"/>
    </row>
    <row r="503" spans="1:6" ht="60" customHeight="1" x14ac:dyDescent="0.3">
      <c r="A503" s="24"/>
      <c r="B503" s="10"/>
      <c r="C503" s="10"/>
      <c r="D503" s="11"/>
      <c r="E503" s="11"/>
      <c r="F503" s="11"/>
    </row>
    <row r="504" spans="1:6" ht="60" customHeight="1" x14ac:dyDescent="0.3">
      <c r="A504" s="24"/>
      <c r="B504" s="10"/>
      <c r="C504" s="10"/>
      <c r="D504" s="11"/>
      <c r="E504" s="11"/>
      <c r="F504" s="11"/>
    </row>
    <row r="505" spans="1:6" ht="60" customHeight="1" x14ac:dyDescent="0.3">
      <c r="A505" s="24"/>
      <c r="B505" s="10"/>
      <c r="C505" s="10"/>
      <c r="D505" s="11"/>
      <c r="E505" s="11"/>
      <c r="F505" s="11"/>
    </row>
    <row r="506" spans="1:6" ht="60" customHeight="1" x14ac:dyDescent="0.3">
      <c r="A506" s="24"/>
      <c r="B506" s="10"/>
      <c r="C506" s="10"/>
      <c r="D506" s="11"/>
      <c r="E506" s="11"/>
      <c r="F506" s="11"/>
    </row>
    <row r="507" spans="1:6" ht="60" customHeight="1" x14ac:dyDescent="0.3">
      <c r="A507" s="24"/>
      <c r="B507" s="10"/>
      <c r="C507" s="10"/>
      <c r="D507" s="11"/>
      <c r="E507" s="11"/>
      <c r="F507" s="11"/>
    </row>
    <row r="508" spans="1:6" ht="60" customHeight="1" x14ac:dyDescent="0.3">
      <c r="A508" s="24"/>
      <c r="B508" s="10"/>
      <c r="C508" s="10"/>
      <c r="D508" s="11"/>
      <c r="E508" s="11"/>
      <c r="F508" s="11"/>
    </row>
    <row r="509" spans="1:6" ht="60" customHeight="1" x14ac:dyDescent="0.3">
      <c r="A509" s="24"/>
      <c r="B509" s="10"/>
      <c r="C509" s="10"/>
      <c r="D509" s="11"/>
      <c r="E509" s="11"/>
      <c r="F509" s="11"/>
    </row>
    <row r="510" spans="1:6" ht="60" customHeight="1" x14ac:dyDescent="0.3">
      <c r="A510" s="24"/>
      <c r="B510" s="10"/>
      <c r="C510" s="10"/>
      <c r="D510" s="11"/>
      <c r="E510" s="11"/>
      <c r="F510" s="11"/>
    </row>
    <row r="511" spans="1:6" ht="60" customHeight="1" x14ac:dyDescent="0.3">
      <c r="A511" s="24"/>
      <c r="B511" s="10"/>
      <c r="C511" s="10"/>
      <c r="D511" s="11"/>
      <c r="E511" s="11"/>
      <c r="F511" s="11"/>
    </row>
    <row r="512" spans="1:6" ht="60" customHeight="1" x14ac:dyDescent="0.3">
      <c r="A512" s="24"/>
      <c r="B512" s="10"/>
      <c r="C512" s="10"/>
      <c r="D512" s="11"/>
      <c r="E512" s="11"/>
      <c r="F512" s="11"/>
    </row>
    <row r="513" spans="1:6" ht="60" customHeight="1" x14ac:dyDescent="0.3">
      <c r="A513" s="24"/>
      <c r="B513" s="10"/>
      <c r="C513" s="10"/>
      <c r="D513" s="11"/>
      <c r="E513" s="11"/>
      <c r="F513" s="11"/>
    </row>
    <row r="514" spans="1:6" ht="60" customHeight="1" x14ac:dyDescent="0.3">
      <c r="A514" s="24"/>
      <c r="B514" s="10"/>
      <c r="C514" s="10"/>
      <c r="D514" s="11"/>
      <c r="E514" s="11"/>
      <c r="F514" s="11"/>
    </row>
    <row r="515" spans="1:6" ht="60" customHeight="1" x14ac:dyDescent="0.3">
      <c r="A515" s="24"/>
      <c r="B515" s="10"/>
      <c r="C515" s="10"/>
      <c r="D515" s="11"/>
      <c r="E515" s="11"/>
      <c r="F515" s="11"/>
    </row>
    <row r="516" spans="1:6" ht="60" customHeight="1" x14ac:dyDescent="0.3">
      <c r="A516" s="24"/>
      <c r="B516" s="10"/>
      <c r="C516" s="10"/>
      <c r="D516" s="11"/>
      <c r="E516" s="11"/>
      <c r="F516" s="11"/>
    </row>
    <row r="517" spans="1:6" ht="60" customHeight="1" x14ac:dyDescent="0.3">
      <c r="A517" s="24"/>
      <c r="B517" s="10"/>
      <c r="C517" s="10"/>
      <c r="D517" s="11"/>
      <c r="E517" s="11"/>
      <c r="F517" s="11"/>
    </row>
    <row r="518" spans="1:6" ht="60" customHeight="1" x14ac:dyDescent="0.3">
      <c r="A518" s="24"/>
      <c r="B518" s="10"/>
      <c r="C518" s="10"/>
      <c r="D518" s="11"/>
      <c r="E518" s="11"/>
      <c r="F518" s="11"/>
    </row>
    <row r="519" spans="1:6" ht="60" customHeight="1" x14ac:dyDescent="0.3">
      <c r="A519" s="24"/>
      <c r="B519" s="10"/>
      <c r="C519" s="10"/>
      <c r="D519" s="11"/>
      <c r="E519" s="11"/>
      <c r="F519" s="11"/>
    </row>
    <row r="520" spans="1:6" ht="60" customHeight="1" x14ac:dyDescent="0.3">
      <c r="A520" s="24"/>
      <c r="B520" s="10"/>
      <c r="C520" s="10"/>
      <c r="D520" s="11"/>
      <c r="E520" s="11"/>
      <c r="F520" s="11"/>
    </row>
    <row r="521" spans="1:6" ht="60" customHeight="1" x14ac:dyDescent="0.3">
      <c r="A521" s="24"/>
      <c r="B521" s="10"/>
      <c r="C521" s="10"/>
      <c r="D521" s="11"/>
      <c r="E521" s="11"/>
      <c r="F521" s="11"/>
    </row>
    <row r="522" spans="1:6" ht="60" customHeight="1" x14ac:dyDescent="0.3">
      <c r="A522" s="24"/>
      <c r="B522" s="10"/>
      <c r="C522" s="10"/>
      <c r="D522" s="11"/>
      <c r="E522" s="11"/>
      <c r="F522" s="11"/>
    </row>
    <row r="523" spans="1:6" ht="60" customHeight="1" x14ac:dyDescent="0.3">
      <c r="A523" s="24"/>
      <c r="B523" s="10"/>
      <c r="C523" s="10"/>
      <c r="D523" s="11"/>
      <c r="E523" s="11"/>
      <c r="F523" s="11"/>
    </row>
    <row r="524" spans="1:6" ht="60" customHeight="1" x14ac:dyDescent="0.3">
      <c r="A524" s="24"/>
      <c r="B524" s="10"/>
      <c r="C524" s="10"/>
      <c r="D524" s="11"/>
      <c r="E524" s="11"/>
      <c r="F524" s="11"/>
    </row>
    <row r="525" spans="1:6" ht="60" customHeight="1" x14ac:dyDescent="0.3">
      <c r="A525" s="24"/>
      <c r="B525" s="10"/>
      <c r="C525" s="10"/>
      <c r="D525" s="11"/>
      <c r="E525" s="11"/>
      <c r="F525" s="11"/>
    </row>
    <row r="526" spans="1:6" ht="60" customHeight="1" x14ac:dyDescent="0.3">
      <c r="A526" s="24"/>
      <c r="B526" s="10"/>
      <c r="C526" s="10"/>
      <c r="D526" s="11"/>
      <c r="E526" s="11"/>
      <c r="F526" s="11"/>
    </row>
    <row r="527" spans="1:6" ht="60" customHeight="1" x14ac:dyDescent="0.3">
      <c r="A527" s="24"/>
      <c r="B527" s="10"/>
      <c r="C527" s="10"/>
      <c r="D527" s="11"/>
      <c r="E527" s="11"/>
      <c r="F527" s="11"/>
    </row>
    <row r="528" spans="1:6" ht="60" customHeight="1" x14ac:dyDescent="0.3">
      <c r="A528" s="24"/>
      <c r="B528" s="10"/>
      <c r="C528" s="10"/>
      <c r="D528" s="11"/>
      <c r="E528" s="11"/>
      <c r="F528" s="11"/>
    </row>
    <row r="529" spans="1:6" ht="60" customHeight="1" x14ac:dyDescent="0.3">
      <c r="A529" s="24"/>
      <c r="B529" s="10"/>
      <c r="C529" s="10"/>
      <c r="D529" s="11"/>
      <c r="E529" s="11"/>
      <c r="F529" s="11"/>
    </row>
    <row r="530" spans="1:6" ht="60" customHeight="1" x14ac:dyDescent="0.3">
      <c r="A530" s="24"/>
      <c r="B530" s="10"/>
      <c r="C530" s="10"/>
      <c r="D530" s="11"/>
      <c r="E530" s="11"/>
      <c r="F530" s="11"/>
    </row>
    <row r="531" spans="1:6" ht="60" customHeight="1" x14ac:dyDescent="0.3">
      <c r="A531" s="24"/>
      <c r="B531" s="10"/>
      <c r="C531" s="10"/>
      <c r="D531" s="11"/>
      <c r="E531" s="11"/>
      <c r="F531" s="11"/>
    </row>
    <row r="532" spans="1:6" ht="60" customHeight="1" x14ac:dyDescent="0.3">
      <c r="A532" s="24"/>
      <c r="B532" s="10"/>
      <c r="C532" s="10"/>
      <c r="D532" s="11"/>
      <c r="E532" s="11"/>
      <c r="F532" s="11"/>
    </row>
    <row r="533" spans="1:6" ht="60" customHeight="1" x14ac:dyDescent="0.3">
      <c r="A533" s="24"/>
      <c r="B533" s="10"/>
      <c r="C533" s="10"/>
      <c r="D533" s="11"/>
      <c r="E533" s="11"/>
      <c r="F533" s="11"/>
    </row>
    <row r="534" spans="1:6" ht="60" customHeight="1" x14ac:dyDescent="0.3">
      <c r="A534" s="24"/>
      <c r="B534" s="10"/>
      <c r="C534" s="10"/>
      <c r="D534" s="11"/>
      <c r="E534" s="11"/>
      <c r="F534" s="11"/>
    </row>
    <row r="535" spans="1:6" ht="60" customHeight="1" x14ac:dyDescent="0.3">
      <c r="A535" s="24"/>
      <c r="B535" s="10"/>
      <c r="C535" s="10"/>
      <c r="D535" s="11"/>
      <c r="E535" s="11"/>
      <c r="F535" s="11"/>
    </row>
    <row r="536" spans="1:6" ht="60" customHeight="1" x14ac:dyDescent="0.3">
      <c r="A536" s="24"/>
      <c r="B536" s="10"/>
      <c r="C536" s="10"/>
      <c r="D536" s="11"/>
      <c r="E536" s="11"/>
      <c r="F536" s="11"/>
    </row>
    <row r="537" spans="1:6" ht="60" customHeight="1" x14ac:dyDescent="0.3">
      <c r="A537" s="24"/>
      <c r="B537" s="10"/>
      <c r="C537" s="10"/>
      <c r="D537" s="11"/>
      <c r="E537" s="11"/>
      <c r="F537" s="11"/>
    </row>
    <row r="538" spans="1:6" ht="60" customHeight="1" x14ac:dyDescent="0.3">
      <c r="A538" s="24"/>
      <c r="B538" s="10"/>
      <c r="C538" s="10"/>
      <c r="D538" s="11"/>
      <c r="E538" s="11"/>
      <c r="F538" s="11"/>
    </row>
    <row r="539" spans="1:6" ht="60" customHeight="1" x14ac:dyDescent="0.3">
      <c r="A539" s="24"/>
      <c r="B539" s="10"/>
      <c r="C539" s="10"/>
      <c r="D539" s="11"/>
      <c r="E539" s="11"/>
      <c r="F539" s="11"/>
    </row>
    <row r="540" spans="1:6" ht="60" customHeight="1" x14ac:dyDescent="0.3">
      <c r="A540" s="24"/>
      <c r="B540" s="10"/>
      <c r="C540" s="10"/>
      <c r="D540" s="11"/>
      <c r="E540" s="11"/>
      <c r="F540" s="11"/>
    </row>
    <row r="541" spans="1:6" ht="60" customHeight="1" x14ac:dyDescent="0.3">
      <c r="A541" s="24"/>
      <c r="B541" s="10"/>
      <c r="C541" s="10"/>
      <c r="D541" s="11"/>
      <c r="E541" s="11"/>
      <c r="F541" s="11"/>
    </row>
    <row r="542" spans="1:6" ht="60" customHeight="1" x14ac:dyDescent="0.3">
      <c r="A542" s="24"/>
      <c r="B542" s="10"/>
      <c r="C542" s="10"/>
      <c r="D542" s="11"/>
      <c r="E542" s="11"/>
      <c r="F542" s="11"/>
    </row>
    <row r="543" spans="1:6" ht="60" customHeight="1" x14ac:dyDescent="0.3">
      <c r="A543" s="24"/>
      <c r="B543" s="10"/>
      <c r="C543" s="10"/>
      <c r="D543" s="11"/>
      <c r="E543" s="11"/>
      <c r="F543" s="11"/>
    </row>
    <row r="544" spans="1:6" ht="60" customHeight="1" x14ac:dyDescent="0.3">
      <c r="A544" s="24"/>
      <c r="B544" s="10"/>
      <c r="C544" s="10"/>
      <c r="D544" s="11"/>
      <c r="E544" s="11"/>
      <c r="F544" s="11"/>
    </row>
    <row r="545" spans="1:6" ht="60" customHeight="1" x14ac:dyDescent="0.3">
      <c r="A545" s="24"/>
      <c r="B545" s="10"/>
      <c r="C545" s="10"/>
      <c r="D545" s="11"/>
      <c r="E545" s="11"/>
      <c r="F545" s="11"/>
    </row>
    <row r="546" spans="1:6" ht="60" customHeight="1" x14ac:dyDescent="0.3">
      <c r="A546" s="24"/>
      <c r="B546" s="10"/>
      <c r="C546" s="10"/>
      <c r="D546" s="11"/>
      <c r="E546" s="11"/>
      <c r="F546" s="11"/>
    </row>
    <row r="547" spans="1:6" ht="60" customHeight="1" x14ac:dyDescent="0.3">
      <c r="A547" s="24"/>
      <c r="B547" s="10"/>
      <c r="C547" s="10"/>
      <c r="D547" s="11"/>
      <c r="E547" s="11"/>
      <c r="F547" s="11"/>
    </row>
    <row r="548" spans="1:6" ht="60" customHeight="1" x14ac:dyDescent="0.3">
      <c r="A548" s="24"/>
      <c r="B548" s="10"/>
      <c r="C548" s="10"/>
      <c r="D548" s="11"/>
      <c r="E548" s="11"/>
      <c r="F548" s="11"/>
    </row>
    <row r="549" spans="1:6" ht="60" customHeight="1" x14ac:dyDescent="0.3">
      <c r="A549" s="24"/>
      <c r="B549" s="10"/>
      <c r="C549" s="10"/>
      <c r="D549" s="11"/>
      <c r="E549" s="11"/>
      <c r="F549" s="11"/>
    </row>
    <row r="550" spans="1:6" ht="60" customHeight="1" x14ac:dyDescent="0.3">
      <c r="A550" s="24"/>
      <c r="B550" s="10"/>
      <c r="C550" s="10"/>
      <c r="D550" s="11"/>
      <c r="E550" s="11"/>
      <c r="F550" s="11"/>
    </row>
    <row r="551" spans="1:6" ht="60" customHeight="1" x14ac:dyDescent="0.3">
      <c r="A551" s="24"/>
      <c r="B551" s="10"/>
      <c r="C551" s="10"/>
      <c r="D551" s="11"/>
      <c r="E551" s="11"/>
      <c r="F551" s="11"/>
    </row>
    <row r="552" spans="1:6" ht="60" customHeight="1" x14ac:dyDescent="0.3">
      <c r="A552" s="24"/>
      <c r="B552" s="10"/>
      <c r="C552" s="10"/>
      <c r="D552" s="11"/>
      <c r="E552" s="11"/>
      <c r="F552" s="11"/>
    </row>
    <row r="553" spans="1:6" ht="60" customHeight="1" x14ac:dyDescent="0.3">
      <c r="A553" s="24"/>
      <c r="B553" s="10"/>
      <c r="C553" s="10"/>
      <c r="D553" s="11"/>
      <c r="E553" s="11"/>
      <c r="F553" s="11"/>
    </row>
    <row r="554" spans="1:6" ht="60" customHeight="1" x14ac:dyDescent="0.3">
      <c r="A554" s="24"/>
      <c r="B554" s="10"/>
      <c r="C554" s="10"/>
      <c r="D554" s="11"/>
      <c r="E554" s="11"/>
      <c r="F554" s="11"/>
    </row>
    <row r="555" spans="1:6" ht="60" customHeight="1" x14ac:dyDescent="0.3">
      <c r="A555" s="24"/>
      <c r="B555" s="10"/>
      <c r="C555" s="10"/>
      <c r="D555" s="11"/>
      <c r="E555" s="11"/>
      <c r="F555" s="11"/>
    </row>
    <row r="556" spans="1:6" ht="60" customHeight="1" x14ac:dyDescent="0.3">
      <c r="A556" s="24"/>
      <c r="B556" s="10"/>
      <c r="C556" s="10"/>
      <c r="D556" s="11"/>
      <c r="E556" s="11"/>
      <c r="F556" s="11"/>
    </row>
    <row r="557" spans="1:6" ht="60" customHeight="1" x14ac:dyDescent="0.3">
      <c r="A557" s="24"/>
      <c r="B557" s="10"/>
      <c r="C557" s="10"/>
      <c r="D557" s="11"/>
      <c r="E557" s="11"/>
      <c r="F557" s="11"/>
    </row>
    <row r="558" spans="1:6" ht="60" customHeight="1" x14ac:dyDescent="0.3">
      <c r="A558" s="24"/>
      <c r="B558" s="10"/>
      <c r="C558" s="10"/>
      <c r="D558" s="11"/>
      <c r="E558" s="11"/>
      <c r="F558" s="11"/>
    </row>
    <row r="559" spans="1:6" ht="60" customHeight="1" x14ac:dyDescent="0.3">
      <c r="A559" s="24"/>
      <c r="B559" s="10"/>
      <c r="C559" s="10"/>
      <c r="D559" s="11"/>
      <c r="E559" s="11"/>
      <c r="F559" s="11"/>
    </row>
    <row r="560" spans="1:6" ht="60" customHeight="1" x14ac:dyDescent="0.3">
      <c r="A560" s="24"/>
      <c r="B560" s="10"/>
      <c r="C560" s="10"/>
      <c r="D560" s="11"/>
      <c r="E560" s="11"/>
      <c r="F560" s="11"/>
    </row>
    <row r="561" spans="1:6" ht="60" customHeight="1" x14ac:dyDescent="0.3">
      <c r="A561" s="24"/>
      <c r="B561" s="10"/>
      <c r="C561" s="10"/>
      <c r="D561" s="11"/>
      <c r="E561" s="11"/>
      <c r="F561" s="11"/>
    </row>
    <row r="562" spans="1:6" ht="60" customHeight="1" x14ac:dyDescent="0.3">
      <c r="A562" s="24"/>
      <c r="B562" s="10"/>
      <c r="C562" s="10"/>
      <c r="D562" s="11"/>
      <c r="E562" s="11"/>
      <c r="F562" s="11"/>
    </row>
    <row r="563" spans="1:6" ht="60" customHeight="1" x14ac:dyDescent="0.3">
      <c r="A563" s="24"/>
      <c r="B563" s="10"/>
      <c r="C563" s="10"/>
      <c r="D563" s="11"/>
      <c r="E563" s="11"/>
      <c r="F563" s="11"/>
    </row>
    <row r="564" spans="1:6" ht="60" customHeight="1" x14ac:dyDescent="0.3">
      <c r="A564" s="24"/>
      <c r="B564" s="10"/>
      <c r="C564" s="10"/>
      <c r="D564" s="11"/>
      <c r="E564" s="11"/>
      <c r="F564" s="11"/>
    </row>
    <row r="565" spans="1:6" ht="60" customHeight="1" x14ac:dyDescent="0.3">
      <c r="A565" s="24"/>
      <c r="B565" s="10"/>
      <c r="C565" s="10"/>
      <c r="D565" s="11"/>
      <c r="E565" s="11"/>
      <c r="F565" s="11"/>
    </row>
    <row r="566" spans="1:6" ht="60" customHeight="1" x14ac:dyDescent="0.3">
      <c r="A566" s="24"/>
      <c r="B566" s="10"/>
      <c r="C566" s="10"/>
      <c r="D566" s="11"/>
      <c r="E566" s="11"/>
      <c r="F566" s="11"/>
    </row>
    <row r="567" spans="1:6" ht="60" customHeight="1" x14ac:dyDescent="0.3">
      <c r="A567" s="24"/>
      <c r="B567" s="10"/>
      <c r="C567" s="10"/>
      <c r="D567" s="11"/>
      <c r="E567" s="11"/>
      <c r="F567" s="11"/>
    </row>
    <row r="568" spans="1:6" ht="60" customHeight="1" x14ac:dyDescent="0.3">
      <c r="A568" s="24"/>
      <c r="B568" s="10"/>
      <c r="C568" s="10"/>
      <c r="D568" s="11"/>
      <c r="E568" s="11"/>
      <c r="F568" s="11"/>
    </row>
    <row r="569" spans="1:6" ht="60" customHeight="1" x14ac:dyDescent="0.3">
      <c r="A569" s="24"/>
      <c r="B569" s="10"/>
      <c r="C569" s="10"/>
      <c r="D569" s="11"/>
      <c r="E569" s="11"/>
      <c r="F569" s="11"/>
    </row>
    <row r="570" spans="1:6" ht="60" customHeight="1" x14ac:dyDescent="0.3">
      <c r="A570" s="24"/>
      <c r="B570" s="10"/>
      <c r="C570" s="10"/>
      <c r="D570" s="11"/>
      <c r="E570" s="11"/>
      <c r="F570" s="11"/>
    </row>
    <row r="571" spans="1:6" ht="60" customHeight="1" x14ac:dyDescent="0.3">
      <c r="A571" s="24"/>
      <c r="B571" s="10"/>
      <c r="C571" s="10"/>
      <c r="D571" s="11"/>
      <c r="E571" s="11"/>
      <c r="F571" s="11"/>
    </row>
    <row r="572" spans="1:6" ht="60" customHeight="1" x14ac:dyDescent="0.3">
      <c r="A572" s="24"/>
      <c r="B572" s="10"/>
      <c r="C572" s="10"/>
      <c r="D572" s="11"/>
      <c r="E572" s="11"/>
      <c r="F572" s="11"/>
    </row>
    <row r="573" spans="1:6" ht="60" customHeight="1" x14ac:dyDescent="0.3">
      <c r="A573" s="24"/>
      <c r="B573" s="10"/>
      <c r="C573" s="10"/>
      <c r="D573" s="11"/>
      <c r="E573" s="11"/>
      <c r="F573" s="11"/>
    </row>
    <row r="574" spans="1:6" ht="60" customHeight="1" x14ac:dyDescent="0.3">
      <c r="A574" s="24"/>
      <c r="B574" s="10"/>
      <c r="C574" s="10"/>
      <c r="D574" s="11"/>
      <c r="E574" s="11"/>
      <c r="F574" s="11"/>
    </row>
    <row r="575" spans="1:6" ht="60" customHeight="1" x14ac:dyDescent="0.3">
      <c r="A575" s="24"/>
      <c r="B575" s="10"/>
      <c r="C575" s="10"/>
      <c r="D575" s="11"/>
      <c r="E575" s="11"/>
      <c r="F575" s="11"/>
    </row>
    <row r="576" spans="1:6" ht="60" customHeight="1" x14ac:dyDescent="0.3">
      <c r="A576" s="24"/>
      <c r="B576" s="10"/>
      <c r="C576" s="10"/>
      <c r="D576" s="11"/>
      <c r="E576" s="11"/>
      <c r="F576" s="11"/>
    </row>
    <row r="577" spans="1:6" ht="60" customHeight="1" x14ac:dyDescent="0.3">
      <c r="A577" s="24"/>
      <c r="B577" s="10"/>
      <c r="C577" s="10"/>
      <c r="D577" s="11"/>
      <c r="E577" s="11"/>
      <c r="F577" s="11"/>
    </row>
    <row r="578" spans="1:6" ht="60" customHeight="1" x14ac:dyDescent="0.3">
      <c r="A578" s="24"/>
      <c r="B578" s="10"/>
      <c r="C578" s="10"/>
      <c r="D578" s="11"/>
      <c r="E578" s="11"/>
      <c r="F578" s="11"/>
    </row>
    <row r="579" spans="1:6" ht="60" customHeight="1" x14ac:dyDescent="0.3">
      <c r="A579" s="24"/>
      <c r="B579" s="10"/>
      <c r="C579" s="10"/>
      <c r="D579" s="11"/>
      <c r="E579" s="11"/>
      <c r="F579" s="11"/>
    </row>
    <row r="580" spans="1:6" ht="60" customHeight="1" x14ac:dyDescent="0.3">
      <c r="A580" s="24"/>
      <c r="B580" s="10"/>
      <c r="C580" s="10"/>
      <c r="D580" s="11"/>
      <c r="E580" s="11"/>
      <c r="F580" s="11"/>
    </row>
    <row r="581" spans="1:6" ht="60" customHeight="1" x14ac:dyDescent="0.3">
      <c r="A581" s="24"/>
      <c r="B581" s="10"/>
      <c r="C581" s="10"/>
      <c r="D581" s="11"/>
      <c r="E581" s="11"/>
      <c r="F581" s="11"/>
    </row>
    <row r="582" spans="1:6" ht="60" customHeight="1" x14ac:dyDescent="0.3">
      <c r="A582" s="24"/>
      <c r="B582" s="10"/>
      <c r="C582" s="10"/>
      <c r="D582" s="11"/>
      <c r="E582" s="11"/>
      <c r="F582" s="11"/>
    </row>
    <row r="583" spans="1:6" ht="60" customHeight="1" x14ac:dyDescent="0.3">
      <c r="A583" s="24"/>
      <c r="B583" s="10"/>
      <c r="C583" s="10"/>
      <c r="D583" s="11"/>
      <c r="E583" s="11"/>
      <c r="F583" s="11"/>
    </row>
    <row r="584" spans="1:6" ht="60" customHeight="1" x14ac:dyDescent="0.3">
      <c r="A584" s="24"/>
      <c r="B584" s="10"/>
      <c r="C584" s="10"/>
      <c r="D584" s="11"/>
      <c r="E584" s="11"/>
      <c r="F584" s="11"/>
    </row>
    <row r="585" spans="1:6" ht="60" customHeight="1" x14ac:dyDescent="0.3">
      <c r="A585" s="24"/>
      <c r="B585" s="10"/>
      <c r="C585" s="10"/>
      <c r="D585" s="11"/>
      <c r="E585" s="11"/>
      <c r="F585" s="11"/>
    </row>
    <row r="586" spans="1:6" ht="60" customHeight="1" x14ac:dyDescent="0.3">
      <c r="A586" s="24"/>
      <c r="B586" s="10"/>
      <c r="C586" s="10"/>
      <c r="D586" s="11"/>
      <c r="E586" s="11"/>
      <c r="F586" s="11"/>
    </row>
    <row r="587" spans="1:6" ht="60" customHeight="1" x14ac:dyDescent="0.3">
      <c r="A587" s="24"/>
      <c r="B587" s="10"/>
      <c r="C587" s="10"/>
      <c r="D587" s="11"/>
      <c r="E587" s="11"/>
      <c r="F587" s="11"/>
    </row>
    <row r="588" spans="1:6" ht="60" customHeight="1" x14ac:dyDescent="0.3">
      <c r="A588" s="24"/>
      <c r="B588" s="10"/>
      <c r="C588" s="10"/>
      <c r="D588" s="11"/>
      <c r="E588" s="11"/>
      <c r="F588" s="11"/>
    </row>
    <row r="589" spans="1:6" ht="60" customHeight="1" x14ac:dyDescent="0.3">
      <c r="A589" s="24"/>
      <c r="B589" s="10"/>
      <c r="C589" s="10"/>
      <c r="D589" s="11"/>
      <c r="E589" s="11"/>
      <c r="F589" s="11"/>
    </row>
    <row r="590" spans="1:6" ht="60" customHeight="1" x14ac:dyDescent="0.3">
      <c r="A590" s="24"/>
      <c r="B590" s="10"/>
      <c r="C590" s="10"/>
      <c r="D590" s="11"/>
      <c r="E590" s="11"/>
      <c r="F590" s="11"/>
    </row>
    <row r="591" spans="1:6" ht="60" customHeight="1" x14ac:dyDescent="0.3">
      <c r="A591" s="24"/>
      <c r="B591" s="10"/>
      <c r="C591" s="10"/>
      <c r="D591" s="11"/>
      <c r="E591" s="11"/>
      <c r="F591" s="11"/>
    </row>
    <row r="592" spans="1:6" ht="60" customHeight="1" x14ac:dyDescent="0.3">
      <c r="A592" s="24"/>
      <c r="B592" s="10"/>
      <c r="C592" s="10"/>
      <c r="D592" s="11"/>
      <c r="E592" s="11"/>
      <c r="F592" s="11"/>
    </row>
    <row r="593" spans="1:6" ht="60" customHeight="1" x14ac:dyDescent="0.3">
      <c r="A593" s="24"/>
      <c r="B593" s="10"/>
      <c r="C593" s="10"/>
      <c r="D593" s="11"/>
      <c r="E593" s="11"/>
      <c r="F593" s="11"/>
    </row>
    <row r="594" spans="1:6" ht="60" customHeight="1" x14ac:dyDescent="0.3">
      <c r="A594" s="24"/>
      <c r="B594" s="10"/>
      <c r="C594" s="10"/>
      <c r="D594" s="11"/>
      <c r="E594" s="11"/>
      <c r="F594" s="11"/>
    </row>
    <row r="595" spans="1:6" ht="60" customHeight="1" x14ac:dyDescent="0.3">
      <c r="A595" s="24"/>
      <c r="B595" s="10"/>
      <c r="C595" s="10"/>
      <c r="D595" s="11"/>
      <c r="E595" s="11"/>
      <c r="F595" s="11"/>
    </row>
    <row r="596" spans="1:6" ht="60" customHeight="1" x14ac:dyDescent="0.3">
      <c r="A596" s="24"/>
      <c r="B596" s="10"/>
      <c r="C596" s="10"/>
      <c r="D596" s="11"/>
      <c r="E596" s="11"/>
      <c r="F596" s="11"/>
    </row>
    <row r="597" spans="1:6" ht="60" customHeight="1" x14ac:dyDescent="0.3">
      <c r="A597" s="24"/>
      <c r="B597" s="10"/>
      <c r="C597" s="10"/>
      <c r="D597" s="11"/>
      <c r="E597" s="11"/>
      <c r="F597" s="11"/>
    </row>
    <row r="598" spans="1:6" ht="60" customHeight="1" x14ac:dyDescent="0.3">
      <c r="A598" s="24"/>
      <c r="B598" s="10"/>
      <c r="C598" s="10"/>
      <c r="D598" s="11"/>
      <c r="E598" s="11"/>
      <c r="F598" s="11"/>
    </row>
    <row r="599" spans="1:6" ht="60" customHeight="1" x14ac:dyDescent="0.3">
      <c r="A599" s="24"/>
      <c r="B599" s="10"/>
      <c r="C599" s="10"/>
      <c r="D599" s="11"/>
      <c r="E599" s="11"/>
      <c r="F599" s="11"/>
    </row>
    <row r="600" spans="1:6" ht="60" customHeight="1" x14ac:dyDescent="0.3">
      <c r="A600" s="24"/>
      <c r="B600" s="10"/>
      <c r="C600" s="10"/>
      <c r="D600" s="11"/>
      <c r="E600" s="11"/>
      <c r="F600" s="11"/>
    </row>
    <row r="601" spans="1:6" ht="60" customHeight="1" x14ac:dyDescent="0.3">
      <c r="A601" s="24"/>
      <c r="B601" s="10"/>
      <c r="C601" s="10"/>
      <c r="D601" s="11"/>
      <c r="E601" s="11"/>
      <c r="F601" s="11"/>
    </row>
    <row r="602" spans="1:6" ht="60" customHeight="1" x14ac:dyDescent="0.3">
      <c r="A602" s="24"/>
      <c r="B602" s="10"/>
      <c r="C602" s="10"/>
      <c r="D602" s="11"/>
      <c r="E602" s="11"/>
      <c r="F602" s="11"/>
    </row>
    <row r="603" spans="1:6" ht="60" customHeight="1" x14ac:dyDescent="0.3">
      <c r="A603" s="24"/>
      <c r="B603" s="10"/>
      <c r="C603" s="10"/>
      <c r="D603" s="11"/>
      <c r="E603" s="11"/>
      <c r="F603" s="11"/>
    </row>
    <row r="604" spans="1:6" ht="60" customHeight="1" x14ac:dyDescent="0.3">
      <c r="A604" s="24"/>
      <c r="B604" s="10"/>
      <c r="C604" s="10"/>
      <c r="D604" s="11"/>
      <c r="E604" s="11"/>
      <c r="F604" s="11"/>
    </row>
    <row r="605" spans="1:6" ht="60" customHeight="1" x14ac:dyDescent="0.3">
      <c r="A605" s="24"/>
      <c r="B605" s="10"/>
      <c r="C605" s="10"/>
      <c r="D605" s="11"/>
      <c r="E605" s="11"/>
      <c r="F605" s="11"/>
    </row>
    <row r="606" spans="1:6" ht="60" customHeight="1" x14ac:dyDescent="0.3">
      <c r="A606" s="24"/>
      <c r="B606" s="10"/>
      <c r="C606" s="10"/>
      <c r="D606" s="11"/>
      <c r="E606" s="11"/>
      <c r="F606" s="11"/>
    </row>
    <row r="607" spans="1:6" ht="60" customHeight="1" x14ac:dyDescent="0.3">
      <c r="A607" s="24"/>
      <c r="B607" s="10"/>
      <c r="C607" s="10"/>
      <c r="D607" s="11"/>
      <c r="E607" s="11"/>
      <c r="F607" s="11"/>
    </row>
    <row r="608" spans="1:6" ht="60" customHeight="1" x14ac:dyDescent="0.3">
      <c r="A608" s="24"/>
      <c r="B608" s="10"/>
      <c r="C608" s="10"/>
      <c r="D608" s="11"/>
      <c r="E608" s="11"/>
      <c r="F608" s="11"/>
    </row>
    <row r="609" spans="1:6" ht="60" customHeight="1" x14ac:dyDescent="0.3">
      <c r="A609" s="24"/>
      <c r="B609" s="10"/>
      <c r="C609" s="10"/>
      <c r="D609" s="11"/>
      <c r="E609" s="11"/>
      <c r="F609" s="11"/>
    </row>
    <row r="610" spans="1:6" ht="60" customHeight="1" x14ac:dyDescent="0.3">
      <c r="A610" s="24"/>
      <c r="B610" s="10"/>
      <c r="C610" s="10"/>
      <c r="D610" s="11"/>
      <c r="E610" s="11"/>
      <c r="F610" s="11"/>
    </row>
    <row r="611" spans="1:6" ht="60" customHeight="1" x14ac:dyDescent="0.3">
      <c r="A611" s="24"/>
      <c r="B611" s="10"/>
      <c r="C611" s="10"/>
      <c r="D611" s="11"/>
      <c r="E611" s="11"/>
      <c r="F611" s="11"/>
    </row>
    <row r="612" spans="1:6" ht="60" customHeight="1" x14ac:dyDescent="0.3">
      <c r="A612" s="24"/>
      <c r="B612" s="10"/>
      <c r="C612" s="10"/>
      <c r="D612" s="11"/>
      <c r="E612" s="11"/>
      <c r="F612" s="11"/>
    </row>
    <row r="613" spans="1:6" ht="60" customHeight="1" x14ac:dyDescent="0.3">
      <c r="A613" s="24"/>
      <c r="B613" s="10"/>
      <c r="C613" s="10"/>
      <c r="D613" s="11"/>
      <c r="E613" s="11"/>
      <c r="F613" s="11"/>
    </row>
    <row r="614" spans="1:6" ht="60" customHeight="1" x14ac:dyDescent="0.3">
      <c r="A614" s="24"/>
      <c r="B614" s="10"/>
      <c r="C614" s="10"/>
      <c r="D614" s="11"/>
      <c r="E614" s="11"/>
      <c r="F614" s="11"/>
    </row>
    <row r="615" spans="1:6" ht="60" customHeight="1" x14ac:dyDescent="0.3">
      <c r="A615" s="24"/>
      <c r="B615" s="10"/>
      <c r="C615" s="10"/>
      <c r="D615" s="11"/>
      <c r="E615" s="11"/>
      <c r="F615" s="11"/>
    </row>
    <row r="616" spans="1:6" ht="60" customHeight="1" x14ac:dyDescent="0.3">
      <c r="A616" s="24"/>
      <c r="B616" s="10"/>
      <c r="C616" s="10"/>
      <c r="D616" s="11"/>
      <c r="E616" s="11"/>
      <c r="F616" s="11"/>
    </row>
    <row r="617" spans="1:6" ht="60" customHeight="1" x14ac:dyDescent="0.3">
      <c r="A617" s="24"/>
      <c r="B617" s="10"/>
      <c r="C617" s="10"/>
      <c r="D617" s="11"/>
      <c r="E617" s="11"/>
      <c r="F617" s="11"/>
    </row>
    <row r="618" spans="1:6" ht="60" customHeight="1" x14ac:dyDescent="0.3">
      <c r="A618" s="24"/>
      <c r="B618" s="10"/>
      <c r="C618" s="10"/>
      <c r="D618" s="11"/>
      <c r="E618" s="11"/>
      <c r="F618" s="11"/>
    </row>
    <row r="619" spans="1:6" ht="60" customHeight="1" x14ac:dyDescent="0.3">
      <c r="A619" s="24"/>
      <c r="B619" s="10"/>
      <c r="C619" s="10"/>
      <c r="D619" s="11"/>
      <c r="E619" s="11"/>
      <c r="F619" s="11"/>
    </row>
    <row r="620" spans="1:6" ht="60" customHeight="1" x14ac:dyDescent="0.3">
      <c r="A620" s="24"/>
      <c r="B620" s="10"/>
      <c r="C620" s="10"/>
      <c r="D620" s="11"/>
      <c r="E620" s="11"/>
      <c r="F620" s="11"/>
    </row>
    <row r="621" spans="1:6" ht="60" customHeight="1" x14ac:dyDescent="0.3">
      <c r="A621" s="24"/>
      <c r="B621" s="10"/>
      <c r="C621" s="10"/>
      <c r="D621" s="11"/>
      <c r="E621" s="11"/>
      <c r="F621" s="11"/>
    </row>
    <row r="622" spans="1:6" ht="60" customHeight="1" x14ac:dyDescent="0.3">
      <c r="A622" s="24"/>
      <c r="B622" s="10"/>
      <c r="C622" s="10"/>
      <c r="D622" s="11"/>
      <c r="E622" s="11"/>
      <c r="F622" s="11"/>
    </row>
    <row r="623" spans="1:6" ht="60" customHeight="1" x14ac:dyDescent="0.3">
      <c r="A623" s="24"/>
      <c r="B623" s="10"/>
      <c r="C623" s="10"/>
      <c r="D623" s="11"/>
      <c r="E623" s="11"/>
      <c r="F623" s="11"/>
    </row>
    <row r="624" spans="1:6" ht="60" customHeight="1" x14ac:dyDescent="0.3">
      <c r="A624" s="24"/>
      <c r="B624" s="10"/>
      <c r="C624" s="10"/>
      <c r="D624" s="11"/>
      <c r="E624" s="11"/>
      <c r="F624" s="11"/>
    </row>
    <row r="625" spans="1:6" ht="60" customHeight="1" x14ac:dyDescent="0.3">
      <c r="A625" s="24"/>
      <c r="B625" s="10"/>
      <c r="C625" s="10"/>
      <c r="D625" s="11"/>
      <c r="E625" s="11"/>
      <c r="F625" s="11"/>
    </row>
    <row r="626" spans="1:6" ht="60" customHeight="1" x14ac:dyDescent="0.3">
      <c r="A626" s="24"/>
      <c r="B626" s="10"/>
      <c r="C626" s="10"/>
      <c r="D626" s="11"/>
      <c r="E626" s="11"/>
      <c r="F626" s="11"/>
    </row>
    <row r="627" spans="1:6" ht="60" customHeight="1" x14ac:dyDescent="0.3">
      <c r="A627" s="24"/>
      <c r="B627" s="10"/>
      <c r="C627" s="10"/>
      <c r="D627" s="11"/>
      <c r="E627" s="11"/>
      <c r="F627" s="11"/>
    </row>
    <row r="628" spans="1:6" ht="60" customHeight="1" x14ac:dyDescent="0.3">
      <c r="A628" s="24"/>
      <c r="B628" s="10"/>
      <c r="C628" s="10"/>
      <c r="D628" s="11"/>
      <c r="E628" s="11"/>
      <c r="F628" s="11"/>
    </row>
    <row r="629" spans="1:6" ht="60" customHeight="1" x14ac:dyDescent="0.3">
      <c r="A629" s="24"/>
      <c r="B629" s="10"/>
      <c r="C629" s="10"/>
      <c r="D629" s="11"/>
      <c r="E629" s="11"/>
      <c r="F629" s="11"/>
    </row>
    <row r="630" spans="1:6" ht="60" customHeight="1" x14ac:dyDescent="0.3">
      <c r="A630" s="24"/>
      <c r="B630" s="10"/>
      <c r="C630" s="10"/>
      <c r="D630" s="11"/>
      <c r="E630" s="11"/>
      <c r="F630" s="11"/>
    </row>
    <row r="631" spans="1:6" ht="60" customHeight="1" x14ac:dyDescent="0.3">
      <c r="A631" s="24"/>
      <c r="B631" s="10"/>
      <c r="C631" s="10"/>
      <c r="D631" s="11"/>
      <c r="E631" s="11"/>
      <c r="F631" s="11"/>
    </row>
    <row r="632" spans="1:6" ht="60" customHeight="1" x14ac:dyDescent="0.3">
      <c r="A632" s="24"/>
      <c r="B632" s="10"/>
      <c r="C632" s="10"/>
      <c r="D632" s="11"/>
      <c r="E632" s="11"/>
      <c r="F632" s="11"/>
    </row>
    <row r="633" spans="1:6" ht="60" customHeight="1" x14ac:dyDescent="0.3">
      <c r="A633" s="24"/>
      <c r="B633" s="10"/>
      <c r="C633" s="10"/>
      <c r="D633" s="11"/>
      <c r="E633" s="11"/>
      <c r="F633" s="11"/>
    </row>
    <row r="634" spans="1:6" ht="60" customHeight="1" x14ac:dyDescent="0.3">
      <c r="A634" s="24"/>
      <c r="B634" s="10"/>
      <c r="C634" s="10"/>
      <c r="D634" s="11"/>
      <c r="E634" s="11"/>
      <c r="F634" s="11"/>
    </row>
    <row r="635" spans="1:6" ht="60" customHeight="1" x14ac:dyDescent="0.3">
      <c r="A635" s="24"/>
      <c r="B635" s="10"/>
      <c r="C635" s="10"/>
      <c r="D635" s="11"/>
      <c r="E635" s="11"/>
      <c r="F635" s="11"/>
    </row>
    <row r="636" spans="1:6" ht="60" customHeight="1" x14ac:dyDescent="0.3">
      <c r="A636" s="24"/>
      <c r="B636" s="10"/>
      <c r="C636" s="10"/>
      <c r="D636" s="11"/>
      <c r="E636" s="11"/>
      <c r="F636" s="11"/>
    </row>
    <row r="637" spans="1:6" ht="60" customHeight="1" x14ac:dyDescent="0.3">
      <c r="A637" s="24"/>
      <c r="B637" s="10"/>
      <c r="C637" s="10"/>
      <c r="D637" s="11"/>
      <c r="E637" s="11"/>
      <c r="F637" s="11"/>
    </row>
    <row r="638" spans="1:6" ht="60" customHeight="1" x14ac:dyDescent="0.3">
      <c r="A638" s="24"/>
      <c r="B638" s="10"/>
      <c r="C638" s="10"/>
      <c r="D638" s="11"/>
      <c r="E638" s="11"/>
      <c r="F638" s="11"/>
    </row>
    <row r="639" spans="1:6" ht="60" customHeight="1" x14ac:dyDescent="0.3">
      <c r="A639" s="24"/>
      <c r="B639" s="10"/>
      <c r="C639" s="10"/>
      <c r="D639" s="11"/>
      <c r="E639" s="11"/>
      <c r="F639" s="11"/>
    </row>
    <row r="640" spans="1:6" ht="60" customHeight="1" x14ac:dyDescent="0.3">
      <c r="A640" s="24"/>
      <c r="B640" s="10"/>
      <c r="C640" s="10"/>
      <c r="D640" s="11"/>
      <c r="E640" s="11"/>
      <c r="F640" s="11"/>
    </row>
    <row r="641" spans="1:6" ht="60" customHeight="1" x14ac:dyDescent="0.3">
      <c r="A641" s="24"/>
      <c r="B641" s="10"/>
      <c r="C641" s="10"/>
      <c r="D641" s="11"/>
      <c r="E641" s="11"/>
      <c r="F641" s="11"/>
    </row>
    <row r="642" spans="1:6" ht="60" customHeight="1" x14ac:dyDescent="0.3">
      <c r="A642" s="24"/>
      <c r="B642" s="10"/>
      <c r="C642" s="10"/>
      <c r="D642" s="11"/>
      <c r="E642" s="11"/>
      <c r="F642" s="11"/>
    </row>
    <row r="643" spans="1:6" ht="60" customHeight="1" x14ac:dyDescent="0.3">
      <c r="A643" s="24"/>
      <c r="B643" s="10"/>
      <c r="C643" s="10"/>
      <c r="D643" s="11"/>
      <c r="E643" s="11"/>
      <c r="F643" s="11"/>
    </row>
    <row r="644" spans="1:6" ht="60" customHeight="1" x14ac:dyDescent="0.3">
      <c r="A644" s="24"/>
      <c r="B644" s="10"/>
      <c r="C644" s="10"/>
      <c r="D644" s="11"/>
      <c r="E644" s="11"/>
      <c r="F644" s="11"/>
    </row>
    <row r="645" spans="1:6" ht="60" customHeight="1" x14ac:dyDescent="0.3">
      <c r="A645" s="24"/>
      <c r="B645" s="10"/>
      <c r="C645" s="10"/>
      <c r="D645" s="11"/>
      <c r="E645" s="11"/>
      <c r="F645" s="11"/>
    </row>
    <row r="646" spans="1:6" ht="60" customHeight="1" x14ac:dyDescent="0.3">
      <c r="A646" s="24"/>
      <c r="B646" s="10"/>
      <c r="C646" s="10"/>
      <c r="D646" s="11"/>
      <c r="E646" s="11"/>
      <c r="F646" s="11"/>
    </row>
    <row r="647" spans="1:6" ht="60" customHeight="1" x14ac:dyDescent="0.3">
      <c r="A647" s="24"/>
      <c r="B647" s="10"/>
      <c r="C647" s="10"/>
      <c r="D647" s="11"/>
      <c r="E647" s="11"/>
      <c r="F647" s="11"/>
    </row>
    <row r="648" spans="1:6" ht="60" customHeight="1" x14ac:dyDescent="0.3">
      <c r="A648" s="24"/>
      <c r="B648" s="10"/>
      <c r="C648" s="10"/>
      <c r="D648" s="11"/>
      <c r="E648" s="11"/>
      <c r="F648" s="11"/>
    </row>
    <row r="649" spans="1:6" ht="60" customHeight="1" x14ac:dyDescent="0.3">
      <c r="A649" s="24"/>
      <c r="B649" s="10"/>
      <c r="C649" s="10"/>
      <c r="D649" s="11"/>
      <c r="E649" s="11"/>
      <c r="F649" s="11"/>
    </row>
    <row r="650" spans="1:6" ht="60" customHeight="1" x14ac:dyDescent="0.3">
      <c r="A650" s="24"/>
      <c r="B650" s="10"/>
      <c r="C650" s="10"/>
      <c r="D650" s="11"/>
      <c r="E650" s="11"/>
      <c r="F650" s="11"/>
    </row>
    <row r="651" spans="1:6" ht="60" customHeight="1" x14ac:dyDescent="0.3">
      <c r="A651" s="24"/>
      <c r="B651" s="10"/>
      <c r="C651" s="10"/>
      <c r="D651" s="11"/>
      <c r="E651" s="11"/>
      <c r="F651" s="11"/>
    </row>
    <row r="652" spans="1:6" ht="60" customHeight="1" x14ac:dyDescent="0.3">
      <c r="A652" s="24"/>
      <c r="B652" s="10"/>
      <c r="C652" s="10"/>
      <c r="D652" s="11"/>
      <c r="E652" s="11"/>
      <c r="F652" s="11"/>
    </row>
    <row r="653" spans="1:6" ht="60" customHeight="1" x14ac:dyDescent="0.3">
      <c r="A653" s="24"/>
      <c r="B653" s="10"/>
      <c r="C653" s="10"/>
      <c r="D653" s="11"/>
      <c r="E653" s="11"/>
      <c r="F653" s="11"/>
    </row>
    <row r="654" spans="1:6" ht="60" customHeight="1" x14ac:dyDescent="0.3">
      <c r="A654" s="24"/>
      <c r="B654" s="10"/>
      <c r="C654" s="10"/>
      <c r="D654" s="11"/>
      <c r="E654" s="11"/>
      <c r="F654" s="11"/>
    </row>
    <row r="655" spans="1:6" ht="60" customHeight="1" x14ac:dyDescent="0.3">
      <c r="A655" s="24"/>
      <c r="B655" s="10"/>
      <c r="C655" s="10"/>
      <c r="D655" s="11"/>
      <c r="E655" s="11"/>
      <c r="F655" s="11"/>
    </row>
    <row r="656" spans="1:6" ht="60" customHeight="1" x14ac:dyDescent="0.3">
      <c r="A656" s="24"/>
      <c r="B656" s="10"/>
      <c r="C656" s="10"/>
      <c r="D656" s="11"/>
      <c r="E656" s="11"/>
      <c r="F656" s="11"/>
    </row>
    <row r="657" spans="1:6" ht="60" customHeight="1" x14ac:dyDescent="0.3">
      <c r="A657" s="24"/>
      <c r="B657" s="10"/>
      <c r="C657" s="10"/>
      <c r="D657" s="11"/>
      <c r="E657" s="11"/>
      <c r="F657" s="11"/>
    </row>
    <row r="658" spans="1:6" ht="60" customHeight="1" x14ac:dyDescent="0.3">
      <c r="A658" s="24"/>
      <c r="B658" s="10"/>
      <c r="C658" s="10"/>
      <c r="D658" s="11"/>
      <c r="E658" s="11"/>
      <c r="F658" s="11"/>
    </row>
    <row r="659" spans="1:6" ht="60" customHeight="1" x14ac:dyDescent="0.3">
      <c r="A659" s="24"/>
      <c r="B659" s="10"/>
      <c r="C659" s="10"/>
      <c r="D659" s="11"/>
      <c r="E659" s="11"/>
      <c r="F659" s="11"/>
    </row>
    <row r="660" spans="1:6" ht="60" customHeight="1" x14ac:dyDescent="0.3">
      <c r="A660" s="24"/>
      <c r="B660" s="10"/>
      <c r="C660" s="10"/>
      <c r="D660" s="11"/>
      <c r="E660" s="11"/>
      <c r="F660" s="11"/>
    </row>
    <row r="661" spans="1:6" ht="60" customHeight="1" x14ac:dyDescent="0.3">
      <c r="A661" s="24"/>
      <c r="B661" s="10"/>
      <c r="C661" s="10"/>
      <c r="D661" s="11"/>
      <c r="E661" s="11"/>
      <c r="F661" s="11"/>
    </row>
    <row r="662" spans="1:6" ht="60" customHeight="1" x14ac:dyDescent="0.3">
      <c r="A662" s="24"/>
      <c r="B662" s="10"/>
      <c r="C662" s="10"/>
      <c r="D662" s="11"/>
      <c r="E662" s="11"/>
      <c r="F662" s="11"/>
    </row>
    <row r="663" spans="1:6" ht="60" customHeight="1" x14ac:dyDescent="0.3">
      <c r="A663" s="24"/>
      <c r="B663" s="10"/>
      <c r="C663" s="10"/>
      <c r="D663" s="11"/>
      <c r="E663" s="11"/>
      <c r="F663" s="11"/>
    </row>
    <row r="664" spans="1:6" ht="60" customHeight="1" x14ac:dyDescent="0.3">
      <c r="A664" s="24"/>
      <c r="B664" s="10"/>
      <c r="C664" s="10"/>
      <c r="D664" s="11"/>
      <c r="E664" s="11"/>
      <c r="F664" s="11"/>
    </row>
    <row r="665" spans="1:6" ht="60" customHeight="1" x14ac:dyDescent="0.3">
      <c r="A665" s="24"/>
      <c r="B665" s="10"/>
      <c r="C665" s="10"/>
      <c r="D665" s="11"/>
      <c r="E665" s="11"/>
      <c r="F665" s="11"/>
    </row>
    <row r="666" spans="1:6" ht="60" customHeight="1" x14ac:dyDescent="0.3">
      <c r="A666" s="24"/>
      <c r="B666" s="10"/>
      <c r="C666" s="10"/>
      <c r="D666" s="11"/>
      <c r="E666" s="11"/>
      <c r="F666" s="11"/>
    </row>
    <row r="667" spans="1:6" ht="60" customHeight="1" x14ac:dyDescent="0.3">
      <c r="A667" s="24"/>
      <c r="B667" s="10"/>
      <c r="C667" s="10"/>
      <c r="D667" s="11"/>
      <c r="E667" s="11"/>
      <c r="F667" s="11"/>
    </row>
    <row r="668" spans="1:6" ht="60" customHeight="1" x14ac:dyDescent="0.3">
      <c r="A668" s="24"/>
      <c r="B668" s="10"/>
      <c r="C668" s="10"/>
      <c r="D668" s="11"/>
      <c r="E668" s="11"/>
      <c r="F668" s="11"/>
    </row>
    <row r="669" spans="1:6" ht="60" customHeight="1" x14ac:dyDescent="0.3">
      <c r="A669" s="24"/>
      <c r="B669" s="10"/>
      <c r="C669" s="10"/>
      <c r="D669" s="11"/>
      <c r="E669" s="11"/>
      <c r="F669" s="11"/>
    </row>
    <row r="670" spans="1:6" ht="60" customHeight="1" x14ac:dyDescent="0.3">
      <c r="A670" s="24"/>
      <c r="B670" s="10"/>
      <c r="C670" s="10"/>
      <c r="D670" s="11"/>
      <c r="E670" s="11"/>
      <c r="F670" s="11"/>
    </row>
    <row r="671" spans="1:6" ht="60" customHeight="1" x14ac:dyDescent="0.3">
      <c r="A671" s="24"/>
      <c r="B671" s="10"/>
      <c r="C671" s="10"/>
      <c r="D671" s="11"/>
      <c r="E671" s="11"/>
      <c r="F671" s="11"/>
    </row>
    <row r="672" spans="1:6" ht="60" customHeight="1" x14ac:dyDescent="0.3">
      <c r="A672" s="24"/>
      <c r="B672" s="10"/>
      <c r="C672" s="10"/>
      <c r="D672" s="11"/>
      <c r="E672" s="11"/>
      <c r="F672" s="11"/>
    </row>
    <row r="673" spans="1:6" ht="60" customHeight="1" x14ac:dyDescent="0.3">
      <c r="A673" s="24"/>
      <c r="B673" s="10"/>
      <c r="C673" s="10"/>
      <c r="D673" s="11"/>
      <c r="E673" s="11"/>
      <c r="F673" s="11"/>
    </row>
    <row r="674" spans="1:6" ht="60" customHeight="1" x14ac:dyDescent="0.3">
      <c r="A674" s="24"/>
      <c r="B674" s="10"/>
      <c r="C674" s="10"/>
      <c r="D674" s="11"/>
      <c r="E674" s="11"/>
      <c r="F674" s="11"/>
    </row>
    <row r="675" spans="1:6" ht="60" customHeight="1" x14ac:dyDescent="0.3">
      <c r="A675" s="24"/>
      <c r="B675" s="10"/>
      <c r="C675" s="10"/>
      <c r="D675" s="11"/>
      <c r="E675" s="11"/>
      <c r="F675" s="11"/>
    </row>
    <row r="676" spans="1:6" ht="60" customHeight="1" x14ac:dyDescent="0.3">
      <c r="A676" s="24"/>
      <c r="B676" s="10"/>
      <c r="C676" s="10"/>
      <c r="D676" s="11"/>
      <c r="E676" s="11"/>
      <c r="F676" s="11"/>
    </row>
    <row r="677" spans="1:6" ht="60" customHeight="1" x14ac:dyDescent="0.3">
      <c r="A677" s="24"/>
      <c r="B677" s="10"/>
      <c r="C677" s="10"/>
      <c r="D677" s="11"/>
      <c r="E677" s="11"/>
      <c r="F677" s="11"/>
    </row>
    <row r="678" spans="1:6" ht="60" customHeight="1" x14ac:dyDescent="0.3">
      <c r="A678" s="24"/>
      <c r="B678" s="10"/>
      <c r="C678" s="10"/>
      <c r="D678" s="11"/>
      <c r="E678" s="11"/>
      <c r="F678" s="11"/>
    </row>
    <row r="679" spans="1:6" ht="60" customHeight="1" x14ac:dyDescent="0.3">
      <c r="A679" s="24"/>
      <c r="B679" s="10"/>
      <c r="C679" s="10"/>
      <c r="D679" s="11"/>
      <c r="E679" s="11"/>
      <c r="F679" s="11"/>
    </row>
    <row r="680" spans="1:6" ht="60" customHeight="1" x14ac:dyDescent="0.3">
      <c r="A680" s="24"/>
      <c r="B680" s="10"/>
      <c r="C680" s="10"/>
      <c r="D680" s="11"/>
      <c r="E680" s="11"/>
      <c r="F680" s="11"/>
    </row>
    <row r="681" spans="1:6" ht="60" customHeight="1" x14ac:dyDescent="0.3">
      <c r="A681" s="24"/>
      <c r="B681" s="10"/>
      <c r="C681" s="10"/>
      <c r="D681" s="11"/>
      <c r="E681" s="11"/>
      <c r="F681" s="11"/>
    </row>
    <row r="682" spans="1:6" ht="60" customHeight="1" x14ac:dyDescent="0.3">
      <c r="A682" s="24"/>
      <c r="B682" s="10"/>
      <c r="C682" s="10"/>
      <c r="D682" s="11"/>
      <c r="E682" s="11"/>
      <c r="F682" s="11"/>
    </row>
    <row r="683" spans="1:6" ht="60" customHeight="1" x14ac:dyDescent="0.3">
      <c r="A683" s="24"/>
      <c r="B683" s="10"/>
      <c r="C683" s="10"/>
      <c r="D683" s="11"/>
      <c r="E683" s="11"/>
      <c r="F683" s="11"/>
    </row>
    <row r="684" spans="1:6" ht="60" customHeight="1" x14ac:dyDescent="0.3">
      <c r="A684" s="24"/>
      <c r="B684" s="10"/>
      <c r="C684" s="10"/>
      <c r="D684" s="11"/>
      <c r="E684" s="11"/>
      <c r="F684" s="11"/>
    </row>
    <row r="685" spans="1:6" ht="60" customHeight="1" x14ac:dyDescent="0.3">
      <c r="A685" s="24"/>
      <c r="B685" s="10"/>
      <c r="C685" s="10"/>
      <c r="D685" s="11"/>
      <c r="E685" s="11"/>
      <c r="F685" s="11"/>
    </row>
    <row r="686" spans="1:6" ht="60" customHeight="1" x14ac:dyDescent="0.3">
      <c r="A686" s="24"/>
      <c r="B686" s="10"/>
      <c r="C686" s="10"/>
      <c r="D686" s="11"/>
      <c r="E686" s="11"/>
      <c r="F686" s="11"/>
    </row>
    <row r="687" spans="1:6" ht="60" customHeight="1" x14ac:dyDescent="0.3">
      <c r="A687" s="24"/>
      <c r="B687" s="10"/>
      <c r="C687" s="10"/>
      <c r="D687" s="11"/>
      <c r="E687" s="11"/>
      <c r="F687" s="11"/>
    </row>
    <row r="688" spans="1:6" ht="60" customHeight="1" x14ac:dyDescent="0.3">
      <c r="A688" s="24"/>
      <c r="B688" s="10"/>
      <c r="C688" s="10"/>
      <c r="D688" s="11"/>
      <c r="E688" s="11"/>
      <c r="F688" s="11"/>
    </row>
    <row r="689" spans="1:6" ht="60" customHeight="1" x14ac:dyDescent="0.3">
      <c r="A689" s="24"/>
      <c r="B689" s="10"/>
      <c r="C689" s="10"/>
      <c r="D689" s="11"/>
      <c r="E689" s="11"/>
      <c r="F689" s="11"/>
    </row>
    <row r="690" spans="1:6" ht="60" customHeight="1" x14ac:dyDescent="0.3">
      <c r="A690" s="24"/>
      <c r="B690" s="10"/>
      <c r="C690" s="10"/>
      <c r="D690" s="11"/>
      <c r="E690" s="11"/>
      <c r="F690" s="11"/>
    </row>
    <row r="691" spans="1:6" ht="60" customHeight="1" x14ac:dyDescent="0.3">
      <c r="A691" s="24"/>
      <c r="B691" s="10"/>
      <c r="C691" s="10"/>
      <c r="D691" s="11"/>
      <c r="E691" s="11"/>
      <c r="F691" s="11"/>
    </row>
    <row r="692" spans="1:6" ht="60" customHeight="1" x14ac:dyDescent="0.3">
      <c r="A692" s="24"/>
      <c r="B692" s="10"/>
      <c r="C692" s="10"/>
      <c r="D692" s="11"/>
      <c r="E692" s="11"/>
      <c r="F692" s="11"/>
    </row>
    <row r="693" spans="1:6" ht="60" customHeight="1" x14ac:dyDescent="0.3">
      <c r="A693" s="24"/>
      <c r="B693" s="10"/>
      <c r="C693" s="10"/>
      <c r="D693" s="11"/>
      <c r="E693" s="11"/>
      <c r="F693" s="11"/>
    </row>
    <row r="694" spans="1:6" ht="60" customHeight="1" x14ac:dyDescent="0.3">
      <c r="A694" s="24"/>
      <c r="B694" s="10"/>
      <c r="C694" s="10"/>
      <c r="D694" s="11"/>
      <c r="E694" s="11"/>
      <c r="F694" s="11"/>
    </row>
    <row r="695" spans="1:6" ht="60" customHeight="1" x14ac:dyDescent="0.3">
      <c r="A695" s="24"/>
      <c r="B695" s="10"/>
      <c r="C695" s="10"/>
      <c r="D695" s="11"/>
      <c r="E695" s="11"/>
      <c r="F695" s="11"/>
    </row>
  </sheetData>
  <autoFilter ref="B1:B695"/>
  <sortState ref="E82:H87">
    <sortCondition descending="1" ref="H82:H87"/>
  </sortState>
  <mergeCells count="61">
    <mergeCell ref="C106:C111"/>
    <mergeCell ref="D106:D111"/>
    <mergeCell ref="B106:B111"/>
    <mergeCell ref="C56:C59"/>
    <mergeCell ref="C93:C94"/>
    <mergeCell ref="B67:B69"/>
    <mergeCell ref="D88:D91"/>
    <mergeCell ref="B76:B77"/>
    <mergeCell ref="C76:C77"/>
    <mergeCell ref="D76:D77"/>
    <mergeCell ref="D79:D80"/>
    <mergeCell ref="B79:B80"/>
    <mergeCell ref="C79:C80"/>
    <mergeCell ref="C96:C99"/>
    <mergeCell ref="C101:C104"/>
    <mergeCell ref="B18:B21"/>
    <mergeCell ref="C18:C21"/>
    <mergeCell ref="D18:D21"/>
    <mergeCell ref="C23:C25"/>
    <mergeCell ref="D49:D51"/>
    <mergeCell ref="B49:B51"/>
    <mergeCell ref="C49:C51"/>
    <mergeCell ref="D39:D47"/>
    <mergeCell ref="B39:B47"/>
    <mergeCell ref="B23:B25"/>
    <mergeCell ref="D23:D25"/>
    <mergeCell ref="C34:C35"/>
    <mergeCell ref="C39:C47"/>
    <mergeCell ref="C28:C32"/>
    <mergeCell ref="D53:D54"/>
    <mergeCell ref="C2:C7"/>
    <mergeCell ref="B2:B7"/>
    <mergeCell ref="D2:D7"/>
    <mergeCell ref="B101:B104"/>
    <mergeCell ref="D101:D104"/>
    <mergeCell ref="D56:D59"/>
    <mergeCell ref="B56:B59"/>
    <mergeCell ref="C61:C65"/>
    <mergeCell ref="C67:C69"/>
    <mergeCell ref="C71:C74"/>
    <mergeCell ref="B71:B74"/>
    <mergeCell ref="D71:D74"/>
    <mergeCell ref="D61:D65"/>
    <mergeCell ref="B61:B65"/>
    <mergeCell ref="D67:D69"/>
    <mergeCell ref="B53:B54"/>
    <mergeCell ref="I6:I7"/>
    <mergeCell ref="D93:D94"/>
    <mergeCell ref="B93:B94"/>
    <mergeCell ref="D96:D99"/>
    <mergeCell ref="B96:B99"/>
    <mergeCell ref="D28:D32"/>
    <mergeCell ref="B28:B32"/>
    <mergeCell ref="D34:D35"/>
    <mergeCell ref="B34:B35"/>
    <mergeCell ref="C88:C91"/>
    <mergeCell ref="B88:B91"/>
    <mergeCell ref="D9:D14"/>
    <mergeCell ref="B9:B14"/>
    <mergeCell ref="C9:C14"/>
    <mergeCell ref="C53:C5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7"/>
  <sheetViews>
    <sheetView topLeftCell="B1" workbookViewId="0">
      <selection activeCell="C17" sqref="C17"/>
    </sheetView>
  </sheetViews>
  <sheetFormatPr defaultRowHeight="14.4" x14ac:dyDescent="0.3"/>
  <cols>
    <col min="2" max="2" width="9.5546875" style="6" customWidth="1"/>
    <col min="3" max="3" width="53" style="6" customWidth="1"/>
    <col min="4" max="4" width="16" style="43" customWidth="1"/>
    <col min="5" max="5" width="7" style="105" customWidth="1"/>
  </cols>
  <sheetData>
    <row r="1" spans="2:5" ht="58.8" thickTop="1" thickBot="1" x14ac:dyDescent="0.35">
      <c r="B1" s="38" t="s">
        <v>196</v>
      </c>
      <c r="C1" s="37" t="s">
        <v>155</v>
      </c>
      <c r="D1" s="106" t="s">
        <v>187</v>
      </c>
      <c r="E1" s="112" t="s">
        <v>238</v>
      </c>
    </row>
    <row r="2" spans="2:5" ht="32.4" thickTop="1" thickBot="1" x14ac:dyDescent="0.35">
      <c r="B2" s="40">
        <v>79</v>
      </c>
      <c r="C2" s="39" t="s">
        <v>41</v>
      </c>
      <c r="D2" s="107">
        <v>45</v>
      </c>
      <c r="E2" s="111">
        <f>D2/B2</f>
        <v>0.569620253164557</v>
      </c>
    </row>
    <row r="3" spans="2:5" ht="32.4" thickTop="1" thickBot="1" x14ac:dyDescent="0.35">
      <c r="B3" s="189">
        <v>243</v>
      </c>
      <c r="C3" s="39" t="s">
        <v>161</v>
      </c>
      <c r="D3" s="107">
        <v>1</v>
      </c>
      <c r="E3" s="111">
        <f>D3/243</f>
        <v>4.11522633744856E-3</v>
      </c>
    </row>
    <row r="4" spans="2:5" ht="31.2" thickTop="1" thickBot="1" x14ac:dyDescent="0.35">
      <c r="B4" s="189"/>
      <c r="C4" s="41" t="s">
        <v>49</v>
      </c>
      <c r="D4" s="107">
        <v>7</v>
      </c>
      <c r="E4" s="111">
        <f t="shared" ref="E4:E7" si="0">D4/243</f>
        <v>2.8806584362139918E-2</v>
      </c>
    </row>
    <row r="5" spans="2:5" ht="31.2" thickTop="1" thickBot="1" x14ac:dyDescent="0.35">
      <c r="B5" s="189"/>
      <c r="C5" s="41" t="s">
        <v>48</v>
      </c>
      <c r="D5" s="107">
        <v>3</v>
      </c>
      <c r="E5" s="111">
        <f>D5/243</f>
        <v>1.2345679012345678E-2</v>
      </c>
    </row>
    <row r="6" spans="2:5" ht="31.2" thickTop="1" thickBot="1" x14ac:dyDescent="0.35">
      <c r="B6" s="189"/>
      <c r="C6" s="41" t="s">
        <v>19</v>
      </c>
      <c r="D6" s="107">
        <v>20</v>
      </c>
      <c r="E6" s="111">
        <f t="shared" si="0"/>
        <v>8.2304526748971193E-2</v>
      </c>
    </row>
    <row r="7" spans="2:5" ht="31.2" thickTop="1" thickBot="1" x14ac:dyDescent="0.35">
      <c r="B7" s="189"/>
      <c r="C7" s="41" t="s">
        <v>18</v>
      </c>
      <c r="D7" s="107">
        <v>42</v>
      </c>
      <c r="E7" s="111">
        <f t="shared" si="0"/>
        <v>0.1728395061728395</v>
      </c>
    </row>
    <row r="8" spans="2:5" ht="31.2" thickTop="1" thickBot="1" x14ac:dyDescent="0.35">
      <c r="B8" s="189"/>
      <c r="C8" s="41" t="s">
        <v>20</v>
      </c>
      <c r="D8" s="107">
        <v>16</v>
      </c>
      <c r="E8" s="111">
        <f>D8/243</f>
        <v>6.584362139917696E-2</v>
      </c>
    </row>
    <row r="9" spans="2:5" ht="16.8" thickTop="1" thickBot="1" x14ac:dyDescent="0.35">
      <c r="B9" s="42"/>
      <c r="C9" s="42" t="s">
        <v>3</v>
      </c>
      <c r="D9" s="107">
        <v>29</v>
      </c>
      <c r="E9" s="111"/>
    </row>
    <row r="10" spans="2:5" ht="16.8" thickTop="1" thickBot="1" x14ac:dyDescent="0.35">
      <c r="B10" s="39"/>
      <c r="C10" s="39" t="s">
        <v>10</v>
      </c>
      <c r="D10" s="142">
        <v>14</v>
      </c>
      <c r="E10" s="111"/>
    </row>
    <row r="11" spans="2:5" ht="16.2" thickTop="1" thickBot="1" x14ac:dyDescent="0.35">
      <c r="B11" s="39"/>
      <c r="C11" s="39" t="s">
        <v>162</v>
      </c>
      <c r="D11" s="142">
        <v>14</v>
      </c>
      <c r="E11" s="111"/>
    </row>
    <row r="12" spans="2:5" ht="16.8" thickTop="1" thickBot="1" x14ac:dyDescent="0.35">
      <c r="B12" s="41"/>
      <c r="C12" s="41" t="s">
        <v>66</v>
      </c>
      <c r="D12" s="107">
        <v>11</v>
      </c>
      <c r="E12" s="111"/>
    </row>
    <row r="13" spans="2:5" ht="32.4" thickTop="1" thickBot="1" x14ac:dyDescent="0.35">
      <c r="B13" s="39"/>
      <c r="C13" s="39" t="s">
        <v>160</v>
      </c>
      <c r="D13" s="142">
        <v>11</v>
      </c>
      <c r="E13" s="111"/>
    </row>
    <row r="14" spans="2:5" ht="16.2" thickTop="1" thickBot="1" x14ac:dyDescent="0.35">
      <c r="B14" s="41"/>
      <c r="C14" s="41" t="s">
        <v>1</v>
      </c>
      <c r="D14" s="107">
        <v>10</v>
      </c>
      <c r="E14" s="111"/>
    </row>
    <row r="15" spans="2:5" ht="16.2" thickTop="1" thickBot="1" x14ac:dyDescent="0.35">
      <c r="B15" s="41"/>
      <c r="C15" s="41" t="s">
        <v>197</v>
      </c>
      <c r="D15" s="107">
        <v>9</v>
      </c>
      <c r="E15" s="111"/>
    </row>
    <row r="16" spans="2:5" ht="16.2" thickTop="1" thickBot="1" x14ac:dyDescent="0.35">
      <c r="B16" s="41"/>
      <c r="C16" s="41" t="s">
        <v>0</v>
      </c>
      <c r="D16" s="107">
        <v>9</v>
      </c>
      <c r="E16" s="111"/>
    </row>
    <row r="17" spans="2:5" ht="16.2" thickTop="1" thickBot="1" x14ac:dyDescent="0.35">
      <c r="B17" s="42"/>
      <c r="C17" s="42" t="s">
        <v>2</v>
      </c>
      <c r="D17" s="107">
        <v>9</v>
      </c>
      <c r="E17" s="111"/>
    </row>
    <row r="18" spans="2:5" ht="16.2" thickTop="1" thickBot="1" x14ac:dyDescent="0.35">
      <c r="B18" s="41"/>
      <c r="C18" s="41" t="s">
        <v>4</v>
      </c>
      <c r="D18" s="107">
        <v>6</v>
      </c>
      <c r="E18" s="111"/>
    </row>
    <row r="19" spans="2:5" ht="16.8" thickTop="1" thickBot="1" x14ac:dyDescent="0.35">
      <c r="B19" s="104">
        <v>415</v>
      </c>
      <c r="C19" s="39" t="s">
        <v>68</v>
      </c>
      <c r="D19" s="107">
        <v>5</v>
      </c>
      <c r="E19" s="111">
        <f>D19/B19</f>
        <v>1.2048192771084338E-2</v>
      </c>
    </row>
    <row r="20" spans="2:5" ht="16.8" thickTop="1" thickBot="1" x14ac:dyDescent="0.35">
      <c r="B20" s="141"/>
      <c r="C20" s="141" t="s">
        <v>42</v>
      </c>
      <c r="D20" s="108">
        <v>3</v>
      </c>
      <c r="E20" s="111"/>
    </row>
    <row r="21" spans="2:5" ht="32.4" thickTop="1" thickBot="1" x14ac:dyDescent="0.35">
      <c r="B21" s="35"/>
      <c r="C21" s="35" t="s">
        <v>154</v>
      </c>
      <c r="D21" s="143">
        <v>2</v>
      </c>
      <c r="E21" s="111"/>
    </row>
    <row r="22" spans="2:5" ht="32.4" thickTop="1" thickBot="1" x14ac:dyDescent="0.35">
      <c r="B22" s="102"/>
      <c r="C22" s="102" t="s">
        <v>65</v>
      </c>
      <c r="D22" s="144">
        <v>2</v>
      </c>
      <c r="E22" s="111"/>
    </row>
    <row r="23" spans="2:5" ht="32.4" thickTop="1" thickBot="1" x14ac:dyDescent="0.35">
      <c r="B23" s="102"/>
      <c r="C23" s="102" t="s">
        <v>62</v>
      </c>
      <c r="D23" s="109">
        <v>2</v>
      </c>
      <c r="E23" s="111"/>
    </row>
    <row r="24" spans="2:5" ht="32.4" thickTop="1" thickBot="1" x14ac:dyDescent="0.35">
      <c r="B24" s="102"/>
      <c r="C24" s="102" t="s">
        <v>165</v>
      </c>
      <c r="D24" s="109">
        <v>2</v>
      </c>
      <c r="E24" s="111"/>
    </row>
    <row r="25" spans="2:5" ht="32.4" thickTop="1" thickBot="1" x14ac:dyDescent="0.35">
      <c r="B25" s="102"/>
      <c r="C25" s="102" t="s">
        <v>60</v>
      </c>
      <c r="D25" s="109">
        <v>1</v>
      </c>
      <c r="E25" s="111"/>
    </row>
    <row r="26" spans="2:5" ht="32.4" thickTop="1" thickBot="1" x14ac:dyDescent="0.35">
      <c r="B26" s="102"/>
      <c r="C26" s="102" t="s">
        <v>173</v>
      </c>
      <c r="D26" s="109">
        <v>1</v>
      </c>
      <c r="E26" s="111"/>
    </row>
    <row r="27" spans="2:5" ht="32.4" thickTop="1" thickBot="1" x14ac:dyDescent="0.35">
      <c r="B27" s="102"/>
      <c r="C27" s="102" t="s">
        <v>63</v>
      </c>
      <c r="D27" s="109">
        <v>1</v>
      </c>
      <c r="E27" s="111"/>
    </row>
    <row r="28" spans="2:5" ht="16.8" thickTop="1" thickBot="1" x14ac:dyDescent="0.35">
      <c r="B28" s="36"/>
      <c r="C28" s="36"/>
      <c r="D28" s="110">
        <f>SUM(D2:D27)</f>
        <v>275</v>
      </c>
      <c r="E28" s="111"/>
    </row>
    <row r="29" spans="2:5" ht="15.6" x14ac:dyDescent="0.3">
      <c r="B29" s="5"/>
      <c r="C29" s="5"/>
    </row>
    <row r="30" spans="2:5" ht="15.6" x14ac:dyDescent="0.3">
      <c r="B30" s="5"/>
      <c r="C30" s="5"/>
    </row>
    <row r="31" spans="2:5" ht="15" x14ac:dyDescent="0.3">
      <c r="B31" s="3"/>
      <c r="C31" s="3"/>
    </row>
    <row r="32" spans="2:5" ht="15" x14ac:dyDescent="0.3">
      <c r="B32" s="3"/>
      <c r="C32" s="3"/>
    </row>
    <row r="33" spans="2:3" ht="15" x14ac:dyDescent="0.3">
      <c r="B33" s="1"/>
      <c r="C33" s="1"/>
    </row>
    <row r="34" spans="2:3" ht="15" x14ac:dyDescent="0.3">
      <c r="B34" s="1"/>
      <c r="C34" s="1"/>
    </row>
    <row r="35" spans="2:3" ht="15" x14ac:dyDescent="0.3">
      <c r="B35" s="1"/>
      <c r="C35" s="1"/>
    </row>
    <row r="36" spans="2:3" ht="15" x14ac:dyDescent="0.3">
      <c r="B36" s="1"/>
      <c r="C36" s="1"/>
    </row>
    <row r="37" spans="2:3" ht="15.6" x14ac:dyDescent="0.3">
      <c r="B37" s="5"/>
      <c r="C37" s="5"/>
    </row>
    <row r="38" spans="2:3" ht="15.6" x14ac:dyDescent="0.3">
      <c r="B38" s="5"/>
      <c r="C38" s="5"/>
    </row>
    <row r="39" spans="2:3" ht="15.6" x14ac:dyDescent="0.3">
      <c r="B39" s="5"/>
      <c r="C39" s="5"/>
    </row>
    <row r="40" spans="2:3" ht="15.6" x14ac:dyDescent="0.3">
      <c r="B40" s="5"/>
      <c r="C40" s="5"/>
    </row>
    <row r="41" spans="2:3" ht="15" x14ac:dyDescent="0.3">
      <c r="B41" s="3"/>
      <c r="C41" s="3"/>
    </row>
    <row r="42" spans="2:3" ht="15" x14ac:dyDescent="0.3">
      <c r="B42" s="1"/>
      <c r="C42" s="1"/>
    </row>
    <row r="43" spans="2:3" ht="15" x14ac:dyDescent="0.3">
      <c r="B43" s="1"/>
      <c r="C43" s="1"/>
    </row>
    <row r="44" spans="2:3" ht="15" x14ac:dyDescent="0.3">
      <c r="B44" s="1"/>
      <c r="C44" s="1"/>
    </row>
    <row r="45" spans="2:3" ht="15" x14ac:dyDescent="0.3">
      <c r="B45" s="1"/>
      <c r="C45" s="1"/>
    </row>
    <row r="46" spans="2:3" ht="15" x14ac:dyDescent="0.3">
      <c r="B46" s="1"/>
      <c r="C46" s="1"/>
    </row>
    <row r="47" spans="2:3" ht="15.6" x14ac:dyDescent="0.3">
      <c r="B47" s="2"/>
      <c r="C47" s="2"/>
    </row>
    <row r="48" spans="2:3" ht="15.6" x14ac:dyDescent="0.3">
      <c r="B48" s="2"/>
      <c r="C48" s="2"/>
    </row>
    <row r="49" spans="2:3" ht="15.6" x14ac:dyDescent="0.3">
      <c r="B49" s="2"/>
      <c r="C49" s="2"/>
    </row>
    <row r="50" spans="2:3" ht="15.6" x14ac:dyDescent="0.3">
      <c r="B50" s="2"/>
      <c r="C50" s="2"/>
    </row>
    <row r="51" spans="2:3" ht="15.6" x14ac:dyDescent="0.3">
      <c r="B51" s="2"/>
      <c r="C51" s="2"/>
    </row>
    <row r="52" spans="2:3" ht="15.6" x14ac:dyDescent="0.3">
      <c r="B52" s="2"/>
      <c r="C52" s="2"/>
    </row>
    <row r="53" spans="2:3" ht="15.6" x14ac:dyDescent="0.3">
      <c r="B53" s="2"/>
      <c r="C53" s="2"/>
    </row>
    <row r="54" spans="2:3" ht="15.6" x14ac:dyDescent="0.3">
      <c r="B54" s="2"/>
      <c r="C54" s="2"/>
    </row>
    <row r="55" spans="2:3" ht="15.6" x14ac:dyDescent="0.3">
      <c r="B55" s="2"/>
      <c r="C55" s="2"/>
    </row>
    <row r="56" spans="2:3" ht="15.6" x14ac:dyDescent="0.3">
      <c r="B56" s="2"/>
      <c r="C56" s="2"/>
    </row>
    <row r="57" spans="2:3" ht="15" x14ac:dyDescent="0.3">
      <c r="B57" s="1"/>
      <c r="C57" s="1"/>
    </row>
    <row r="58" spans="2:3" ht="15" x14ac:dyDescent="0.3">
      <c r="B58" s="1"/>
      <c r="C58" s="1"/>
    </row>
    <row r="59" spans="2:3" ht="15" x14ac:dyDescent="0.3">
      <c r="B59" s="1"/>
      <c r="C59" s="1"/>
    </row>
    <row r="60" spans="2:3" ht="15" x14ac:dyDescent="0.3">
      <c r="B60" s="1"/>
      <c r="C60" s="1"/>
    </row>
    <row r="61" spans="2:3" ht="15" x14ac:dyDescent="0.3">
      <c r="B61" s="1"/>
      <c r="C61" s="1"/>
    </row>
    <row r="62" spans="2:3" ht="15.6" x14ac:dyDescent="0.3">
      <c r="B62" s="2"/>
      <c r="C62" s="2"/>
    </row>
    <row r="63" spans="2:3" ht="15.6" x14ac:dyDescent="0.3">
      <c r="B63" s="2"/>
      <c r="C63" s="2"/>
    </row>
    <row r="64" spans="2:3" ht="15.6" x14ac:dyDescent="0.3">
      <c r="B64" s="2"/>
      <c r="C64" s="2"/>
    </row>
    <row r="65" spans="2:3" ht="15.6" x14ac:dyDescent="0.3">
      <c r="B65" s="2"/>
      <c r="C65" s="2"/>
    </row>
    <row r="66" spans="2:3" ht="15.6" x14ac:dyDescent="0.3">
      <c r="B66" s="2"/>
      <c r="C66" s="2"/>
    </row>
    <row r="70" spans="2:3" ht="15.6" x14ac:dyDescent="0.3">
      <c r="B70" s="2"/>
      <c r="C70" s="2"/>
    </row>
    <row r="71" spans="2:3" ht="15.6" x14ac:dyDescent="0.3">
      <c r="B71" s="2"/>
      <c r="C71" s="2"/>
    </row>
    <row r="72" spans="2:3" ht="15.6" x14ac:dyDescent="0.3">
      <c r="B72" s="2"/>
      <c r="C72" s="2"/>
    </row>
    <row r="73" spans="2:3" ht="15.6" x14ac:dyDescent="0.3">
      <c r="B73" s="2"/>
      <c r="C73" s="2"/>
    </row>
    <row r="74" spans="2:3" ht="15.6" x14ac:dyDescent="0.3">
      <c r="B74" s="2"/>
      <c r="C74" s="2"/>
    </row>
    <row r="75" spans="2:3" ht="15.6" x14ac:dyDescent="0.3">
      <c r="B75" s="2"/>
      <c r="C75" s="2"/>
    </row>
    <row r="76" spans="2:3" ht="15" x14ac:dyDescent="0.3">
      <c r="B76" s="1"/>
      <c r="C76" s="1"/>
    </row>
    <row r="79" spans="2:3" ht="15" x14ac:dyDescent="0.3">
      <c r="B79" s="1"/>
      <c r="C79" s="1"/>
    </row>
    <row r="80" spans="2:3" ht="15" x14ac:dyDescent="0.3">
      <c r="B80" s="1"/>
      <c r="C80" s="1"/>
    </row>
    <row r="81" spans="2:3" ht="15" x14ac:dyDescent="0.3">
      <c r="B81" s="1"/>
      <c r="C81" s="1"/>
    </row>
    <row r="82" spans="2:3" ht="15" x14ac:dyDescent="0.3">
      <c r="B82" s="1"/>
      <c r="C82" s="1"/>
    </row>
    <row r="83" spans="2:3" ht="15" x14ac:dyDescent="0.3">
      <c r="B83" s="1"/>
      <c r="C83" s="1"/>
    </row>
    <row r="84" spans="2:3" ht="15" x14ac:dyDescent="0.3">
      <c r="B84" s="1"/>
      <c r="C84" s="1"/>
    </row>
    <row r="85" spans="2:3" ht="15" x14ac:dyDescent="0.3">
      <c r="B85" s="1"/>
      <c r="C85" s="1"/>
    </row>
    <row r="86" spans="2:3" ht="15" x14ac:dyDescent="0.3">
      <c r="B86" s="1"/>
      <c r="C86" s="1"/>
    </row>
    <row r="87" spans="2:3" ht="15" x14ac:dyDescent="0.3">
      <c r="B87" s="1"/>
      <c r="C87" s="1"/>
    </row>
    <row r="88" spans="2:3" ht="15" x14ac:dyDescent="0.3">
      <c r="B88" s="1"/>
      <c r="C88" s="1"/>
    </row>
    <row r="93" spans="2:3" ht="15" x14ac:dyDescent="0.3">
      <c r="B93" s="1"/>
      <c r="C93" s="1"/>
    </row>
    <row r="94" spans="2:3" ht="15" x14ac:dyDescent="0.3">
      <c r="B94" s="1"/>
      <c r="C94" s="1"/>
    </row>
    <row r="95" spans="2:3" ht="15" x14ac:dyDescent="0.3">
      <c r="B95" s="1"/>
      <c r="C95" s="1"/>
    </row>
    <row r="96" spans="2:3" ht="15" x14ac:dyDescent="0.3">
      <c r="B96" s="1"/>
      <c r="C96" s="1"/>
    </row>
    <row r="97" spans="2:3" ht="15" x14ac:dyDescent="0.3">
      <c r="B97" s="1"/>
      <c r="C97" s="1"/>
    </row>
    <row r="98" spans="2:3" ht="15" x14ac:dyDescent="0.3">
      <c r="B98" s="1"/>
      <c r="C98" s="1"/>
    </row>
    <row r="99" spans="2:3" ht="15" x14ac:dyDescent="0.3">
      <c r="B99" s="1"/>
      <c r="C99" s="1"/>
    </row>
    <row r="100" spans="2:3" ht="15" x14ac:dyDescent="0.3">
      <c r="B100" s="1"/>
      <c r="C100" s="1"/>
    </row>
    <row r="101" spans="2:3" ht="15" x14ac:dyDescent="0.3">
      <c r="B101" s="1"/>
      <c r="C101" s="1"/>
    </row>
    <row r="102" spans="2:3" ht="15" x14ac:dyDescent="0.3">
      <c r="B102" s="1"/>
      <c r="C102" s="1"/>
    </row>
    <row r="103" spans="2:3" ht="15" x14ac:dyDescent="0.3">
      <c r="B103" s="1"/>
      <c r="C103" s="1"/>
    </row>
    <row r="104" spans="2:3" ht="15" x14ac:dyDescent="0.3">
      <c r="B104" s="1"/>
      <c r="C104" s="1"/>
    </row>
    <row r="105" spans="2:3" ht="15" x14ac:dyDescent="0.3">
      <c r="B105" s="1"/>
      <c r="C105" s="1"/>
    </row>
    <row r="106" spans="2:3" ht="15" x14ac:dyDescent="0.3">
      <c r="B106" s="1"/>
      <c r="C106" s="1"/>
    </row>
    <row r="107" spans="2:3" ht="15" x14ac:dyDescent="0.3">
      <c r="B107" s="1"/>
      <c r="C107" s="1"/>
    </row>
    <row r="119" spans="2:3" ht="15" x14ac:dyDescent="0.3">
      <c r="B119" s="1"/>
      <c r="C119" s="1"/>
    </row>
    <row r="129" spans="2:3" ht="15" x14ac:dyDescent="0.3">
      <c r="B129" s="1"/>
      <c r="C129" s="1"/>
    </row>
    <row r="130" spans="2:3" ht="15.6" x14ac:dyDescent="0.3">
      <c r="B130" s="2"/>
      <c r="C130" s="2"/>
    </row>
    <row r="131" spans="2:3" ht="15.6" x14ac:dyDescent="0.3">
      <c r="B131" s="2"/>
      <c r="C131" s="2"/>
    </row>
    <row r="132" spans="2:3" ht="15.6" x14ac:dyDescent="0.3">
      <c r="B132" s="2"/>
      <c r="C132" s="2"/>
    </row>
    <row r="133" spans="2:3" ht="15.6" x14ac:dyDescent="0.3">
      <c r="B133" s="2"/>
      <c r="C133" s="2"/>
    </row>
    <row r="134" spans="2:3" ht="15.6" x14ac:dyDescent="0.3">
      <c r="B134" s="2"/>
      <c r="C134" s="2"/>
    </row>
    <row r="135" spans="2:3" ht="15.6" x14ac:dyDescent="0.3">
      <c r="B135" s="2"/>
      <c r="C135" s="2"/>
    </row>
    <row r="136" spans="2:3" ht="15.6" x14ac:dyDescent="0.3">
      <c r="B136" s="2"/>
      <c r="C136" s="2"/>
    </row>
    <row r="137" spans="2:3" ht="15.6" x14ac:dyDescent="0.3">
      <c r="B137" s="2"/>
      <c r="C137" s="2"/>
    </row>
    <row r="138" spans="2:3" ht="15.6" x14ac:dyDescent="0.3">
      <c r="B138" s="2"/>
      <c r="C138" s="2"/>
    </row>
    <row r="139" spans="2:3" ht="15.6" x14ac:dyDescent="0.3">
      <c r="B139" s="2"/>
      <c r="C139" s="2"/>
    </row>
    <row r="140" spans="2:3" ht="15" x14ac:dyDescent="0.3">
      <c r="B140" s="1"/>
      <c r="C140" s="1"/>
    </row>
    <row r="141" spans="2:3" ht="15" x14ac:dyDescent="0.3">
      <c r="B141" s="1"/>
      <c r="C141" s="1"/>
    </row>
    <row r="142" spans="2:3" ht="15" x14ac:dyDescent="0.3">
      <c r="B142" s="1"/>
      <c r="C142" s="1"/>
    </row>
    <row r="143" spans="2:3" ht="15" x14ac:dyDescent="0.3">
      <c r="B143" s="1"/>
      <c r="C143" s="1"/>
    </row>
    <row r="144" spans="2:3" ht="15.6" x14ac:dyDescent="0.3">
      <c r="B144" s="2"/>
      <c r="C144" s="2"/>
    </row>
    <row r="145" spans="2:3" ht="15.6" x14ac:dyDescent="0.3">
      <c r="B145" s="2"/>
      <c r="C145" s="2"/>
    </row>
    <row r="146" spans="2:3" ht="15.6" x14ac:dyDescent="0.3">
      <c r="B146" s="2"/>
      <c r="C146" s="2"/>
    </row>
    <row r="147" spans="2:3" ht="15.6" x14ac:dyDescent="0.3">
      <c r="B147" s="2"/>
      <c r="C147" s="2"/>
    </row>
    <row r="148" spans="2:3" ht="15.6" x14ac:dyDescent="0.3">
      <c r="B148" s="2"/>
      <c r="C148" s="2"/>
    </row>
    <row r="149" spans="2:3" ht="15.6" x14ac:dyDescent="0.3">
      <c r="B149" s="2"/>
      <c r="C149" s="2"/>
    </row>
    <row r="150" spans="2:3" ht="15" x14ac:dyDescent="0.3">
      <c r="B150" s="1"/>
      <c r="C150" s="1"/>
    </row>
    <row r="151" spans="2:3" ht="15.6" x14ac:dyDescent="0.3">
      <c r="B151" s="2"/>
      <c r="C151" s="2"/>
    </row>
    <row r="152" spans="2:3" ht="15.6" x14ac:dyDescent="0.3">
      <c r="B152" s="5"/>
      <c r="C152" s="5"/>
    </row>
    <row r="153" spans="2:3" ht="15.6" x14ac:dyDescent="0.3">
      <c r="B153" s="2"/>
      <c r="C153" s="2"/>
    </row>
    <row r="154" spans="2:3" ht="15.6" x14ac:dyDescent="0.3">
      <c r="B154" s="2"/>
      <c r="C154" s="2"/>
    </row>
    <row r="155" spans="2:3" ht="15.6" x14ac:dyDescent="0.3">
      <c r="B155" s="2"/>
      <c r="C155" s="2"/>
    </row>
    <row r="156" spans="2:3" ht="15.6" x14ac:dyDescent="0.3">
      <c r="B156" s="2"/>
      <c r="C156" s="2"/>
    </row>
    <row r="157" spans="2:3" ht="15.6" x14ac:dyDescent="0.3">
      <c r="B157" s="2"/>
      <c r="C157" s="2"/>
    </row>
    <row r="158" spans="2:3" ht="15.6" x14ac:dyDescent="0.3">
      <c r="B158" s="2"/>
      <c r="C158" s="2"/>
    </row>
    <row r="159" spans="2:3" ht="15.6" x14ac:dyDescent="0.3">
      <c r="B159" s="2"/>
      <c r="C159" s="2"/>
    </row>
    <row r="160" spans="2:3" ht="15" x14ac:dyDescent="0.3">
      <c r="B160" s="1"/>
      <c r="C160" s="1"/>
    </row>
    <row r="161" spans="2:3" ht="15" x14ac:dyDescent="0.3">
      <c r="B161" s="1"/>
      <c r="C161" s="1"/>
    </row>
    <row r="162" spans="2:3" ht="15" x14ac:dyDescent="0.3">
      <c r="B162" s="1"/>
      <c r="C162" s="1"/>
    </row>
    <row r="163" spans="2:3" ht="15" x14ac:dyDescent="0.3">
      <c r="B163" s="1"/>
      <c r="C163" s="1"/>
    </row>
    <row r="164" spans="2:3" ht="15.6" x14ac:dyDescent="0.3">
      <c r="B164" s="5"/>
      <c r="C164" s="5"/>
    </row>
    <row r="165" spans="2:3" ht="15.6" x14ac:dyDescent="0.3">
      <c r="B165" s="5"/>
      <c r="C165" s="5"/>
    </row>
    <row r="166" spans="2:3" ht="15.6" x14ac:dyDescent="0.3">
      <c r="B166" s="5"/>
      <c r="C166" s="5"/>
    </row>
    <row r="167" spans="2:3" ht="15.6" x14ac:dyDescent="0.3">
      <c r="B167" s="5"/>
      <c r="C167" s="5"/>
    </row>
    <row r="168" spans="2:3" ht="15.6" x14ac:dyDescent="0.3">
      <c r="B168" s="5"/>
      <c r="C168" s="5"/>
    </row>
    <row r="169" spans="2:3" ht="15.6" x14ac:dyDescent="0.3">
      <c r="B169" s="5"/>
      <c r="C169" s="5"/>
    </row>
    <row r="170" spans="2:3" ht="15.6" x14ac:dyDescent="0.3">
      <c r="B170" s="5"/>
      <c r="C170" s="5"/>
    </row>
    <row r="171" spans="2:3" ht="15.6" x14ac:dyDescent="0.3">
      <c r="B171" s="5"/>
      <c r="C171" s="5"/>
    </row>
    <row r="172" spans="2:3" ht="15" x14ac:dyDescent="0.3">
      <c r="B172" s="1"/>
      <c r="C172" s="1"/>
    </row>
    <row r="173" spans="2:3" ht="15.6" x14ac:dyDescent="0.3">
      <c r="B173" s="2"/>
      <c r="C173" s="2"/>
    </row>
    <row r="174" spans="2:3" ht="15" x14ac:dyDescent="0.3">
      <c r="B174" s="1"/>
      <c r="C174" s="1"/>
    </row>
    <row r="175" spans="2:3" ht="15" x14ac:dyDescent="0.3">
      <c r="B175" s="1"/>
      <c r="C175" s="1"/>
    </row>
    <row r="176" spans="2:3" ht="15" x14ac:dyDescent="0.3">
      <c r="B176" s="1"/>
      <c r="C176" s="1"/>
    </row>
    <row r="177" spans="2:3" ht="15" x14ac:dyDescent="0.3">
      <c r="B177" s="1"/>
      <c r="C177" s="1"/>
    </row>
    <row r="178" spans="2:3" ht="15" x14ac:dyDescent="0.3">
      <c r="B178" s="1"/>
      <c r="C178" s="1"/>
    </row>
    <row r="179" spans="2:3" ht="15" x14ac:dyDescent="0.3">
      <c r="B179" s="1"/>
      <c r="C179" s="1"/>
    </row>
    <row r="180" spans="2:3" ht="15" x14ac:dyDescent="0.3">
      <c r="B180" s="1"/>
      <c r="C180" s="1"/>
    </row>
    <row r="181" spans="2:3" ht="15" x14ac:dyDescent="0.3">
      <c r="B181" s="1"/>
      <c r="C181" s="1"/>
    </row>
    <row r="182" spans="2:3" ht="15" x14ac:dyDescent="0.3">
      <c r="B182" s="1"/>
      <c r="C182" s="1"/>
    </row>
    <row r="183" spans="2:3" ht="15" x14ac:dyDescent="0.3">
      <c r="B183" s="1"/>
      <c r="C183" s="1"/>
    </row>
    <row r="184" spans="2:3" ht="15.6" x14ac:dyDescent="0.3">
      <c r="B184" s="2"/>
      <c r="C184" s="2"/>
    </row>
    <row r="185" spans="2:3" ht="15.6" x14ac:dyDescent="0.3">
      <c r="B185" s="2"/>
      <c r="C185" s="2"/>
    </row>
    <row r="186" spans="2:3" ht="15.6" x14ac:dyDescent="0.3">
      <c r="B186" s="2"/>
      <c r="C186" s="2"/>
    </row>
    <row r="187" spans="2:3" ht="15.6" x14ac:dyDescent="0.3">
      <c r="B187" s="2"/>
      <c r="C187" s="2"/>
    </row>
    <row r="188" spans="2:3" ht="15.6" x14ac:dyDescent="0.3">
      <c r="B188" s="2"/>
      <c r="C188" s="2"/>
    </row>
    <row r="189" spans="2:3" ht="15.6" x14ac:dyDescent="0.3">
      <c r="B189" s="2"/>
      <c r="C189" s="2"/>
    </row>
    <row r="190" spans="2:3" ht="15.6" x14ac:dyDescent="0.3">
      <c r="B190" s="2"/>
      <c r="C190" s="2"/>
    </row>
    <row r="191" spans="2:3" ht="15.6" x14ac:dyDescent="0.3">
      <c r="B191" s="2"/>
      <c r="C191" s="2"/>
    </row>
    <row r="192" spans="2:3" ht="15.6" x14ac:dyDescent="0.3">
      <c r="B192" s="2"/>
      <c r="C192" s="2"/>
    </row>
    <row r="193" spans="2:3" ht="15.6" x14ac:dyDescent="0.3">
      <c r="B193" s="2"/>
      <c r="C193" s="2"/>
    </row>
    <row r="194" spans="2:3" ht="15.6" x14ac:dyDescent="0.3">
      <c r="B194" s="2"/>
      <c r="C194" s="2"/>
    </row>
    <row r="195" spans="2:3" ht="15.6" x14ac:dyDescent="0.3">
      <c r="B195" s="2"/>
      <c r="C195" s="2"/>
    </row>
    <row r="196" spans="2:3" ht="15.6" x14ac:dyDescent="0.3">
      <c r="B196" s="2"/>
      <c r="C196" s="2"/>
    </row>
    <row r="197" spans="2:3" ht="15.6" x14ac:dyDescent="0.3">
      <c r="B197" s="2"/>
      <c r="C197" s="2"/>
    </row>
    <row r="198" spans="2:3" ht="15.6" x14ac:dyDescent="0.3">
      <c r="B198" s="2"/>
      <c r="C198" s="2"/>
    </row>
    <row r="199" spans="2:3" ht="15.6" x14ac:dyDescent="0.3">
      <c r="B199" s="2"/>
      <c r="C199" s="2"/>
    </row>
    <row r="200" spans="2:3" ht="15.6" x14ac:dyDescent="0.3">
      <c r="B200" s="2"/>
      <c r="C200" s="2"/>
    </row>
    <row r="201" spans="2:3" ht="15.6" x14ac:dyDescent="0.3">
      <c r="B201" s="2"/>
      <c r="C201" s="2"/>
    </row>
    <row r="202" spans="2:3" ht="15" x14ac:dyDescent="0.3">
      <c r="B202" s="1"/>
      <c r="C202" s="1"/>
    </row>
    <row r="203" spans="2:3" ht="15" x14ac:dyDescent="0.3">
      <c r="B203" s="1"/>
      <c r="C203" s="1"/>
    </row>
    <row r="204" spans="2:3" ht="15.6" x14ac:dyDescent="0.3">
      <c r="B204" s="2"/>
      <c r="C204" s="2"/>
    </row>
    <row r="205" spans="2:3" ht="15.6" x14ac:dyDescent="0.3">
      <c r="B205" s="2"/>
      <c r="C205" s="2"/>
    </row>
    <row r="206" spans="2:3" ht="15.6" x14ac:dyDescent="0.3">
      <c r="B206" s="2"/>
      <c r="C206" s="2"/>
    </row>
    <row r="207" spans="2:3" ht="15.6" x14ac:dyDescent="0.3">
      <c r="B207" s="2"/>
      <c r="C207" s="2"/>
    </row>
    <row r="208" spans="2:3" ht="15.6" x14ac:dyDescent="0.3">
      <c r="B208" s="2"/>
      <c r="C208" s="2"/>
    </row>
    <row r="209" spans="2:3" ht="15.6" x14ac:dyDescent="0.3">
      <c r="B209" s="2"/>
      <c r="C209" s="2"/>
    </row>
    <row r="210" spans="2:3" ht="15.6" x14ac:dyDescent="0.3">
      <c r="B210" s="2"/>
      <c r="C210" s="2"/>
    </row>
    <row r="211" spans="2:3" ht="15.6" x14ac:dyDescent="0.3">
      <c r="B211" s="2"/>
      <c r="C211" s="2"/>
    </row>
    <row r="212" spans="2:3" ht="15.6" x14ac:dyDescent="0.3">
      <c r="B212" s="2"/>
      <c r="C212" s="2"/>
    </row>
    <row r="213" spans="2:3" ht="15.6" x14ac:dyDescent="0.3">
      <c r="B213" s="2"/>
      <c r="C213" s="2"/>
    </row>
    <row r="214" spans="2:3" ht="15.6" x14ac:dyDescent="0.3">
      <c r="B214" s="2"/>
      <c r="C214" s="2"/>
    </row>
    <row r="215" spans="2:3" ht="15.6" x14ac:dyDescent="0.3">
      <c r="B215" s="2"/>
      <c r="C215" s="2"/>
    </row>
    <row r="216" spans="2:3" ht="15" x14ac:dyDescent="0.3">
      <c r="B216" s="1"/>
      <c r="C216" s="1"/>
    </row>
    <row r="217" spans="2:3" ht="15.6" x14ac:dyDescent="0.3">
      <c r="B217" s="2"/>
      <c r="C217" s="2"/>
    </row>
    <row r="218" spans="2:3" ht="15" x14ac:dyDescent="0.3">
      <c r="B218" s="1"/>
      <c r="C218" s="1"/>
    </row>
    <row r="221" spans="2:3" ht="15" x14ac:dyDescent="0.3">
      <c r="B221" s="1"/>
      <c r="C221" s="1"/>
    </row>
    <row r="222" spans="2:3" ht="15" x14ac:dyDescent="0.3">
      <c r="B222" s="1"/>
      <c r="C222" s="1"/>
    </row>
    <row r="223" spans="2:3" ht="15" x14ac:dyDescent="0.3">
      <c r="B223" s="1"/>
      <c r="C223" s="1"/>
    </row>
    <row r="224" spans="2:3" ht="15" x14ac:dyDescent="0.3">
      <c r="B224" s="1"/>
      <c r="C224" s="1"/>
    </row>
    <row r="225" spans="2:3" ht="15" x14ac:dyDescent="0.3">
      <c r="B225" s="1"/>
      <c r="C225" s="1"/>
    </row>
    <row r="226" spans="2:3" ht="15" x14ac:dyDescent="0.3">
      <c r="B226" s="1"/>
      <c r="C226" s="1"/>
    </row>
    <row r="227" spans="2:3" ht="15" x14ac:dyDescent="0.3">
      <c r="B227" s="1"/>
      <c r="C227" s="1"/>
    </row>
    <row r="228" spans="2:3" ht="15" x14ac:dyDescent="0.3">
      <c r="B228" s="1"/>
      <c r="C228" s="1"/>
    </row>
    <row r="229" spans="2:3" ht="15" x14ac:dyDescent="0.3">
      <c r="B229" s="1"/>
      <c r="C229" s="1"/>
    </row>
    <row r="230" spans="2:3" ht="15" x14ac:dyDescent="0.3">
      <c r="B230" s="1"/>
      <c r="C230" s="1"/>
    </row>
    <row r="231" spans="2:3" ht="15" x14ac:dyDescent="0.3">
      <c r="B231" s="1"/>
      <c r="C231" s="1"/>
    </row>
    <row r="232" spans="2:3" ht="15" x14ac:dyDescent="0.3">
      <c r="B232" s="1"/>
      <c r="C232" s="1"/>
    </row>
    <row r="233" spans="2:3" ht="15.6" x14ac:dyDescent="0.3">
      <c r="B233" s="2"/>
      <c r="C233" s="2"/>
    </row>
    <row r="234" spans="2:3" ht="15.6" x14ac:dyDescent="0.3">
      <c r="B234" s="2"/>
      <c r="C234" s="2"/>
    </row>
    <row r="242" spans="2:3" ht="15" x14ac:dyDescent="0.3">
      <c r="B242" s="1"/>
      <c r="C242" s="1"/>
    </row>
    <row r="243" spans="2:3" ht="15" x14ac:dyDescent="0.3">
      <c r="B243" s="1"/>
      <c r="C243" s="1"/>
    </row>
    <row r="244" spans="2:3" ht="15" x14ac:dyDescent="0.3">
      <c r="B244" s="1"/>
      <c r="C244" s="1"/>
    </row>
    <row r="245" spans="2:3" ht="15" x14ac:dyDescent="0.3">
      <c r="B245" s="1"/>
      <c r="C245" s="1"/>
    </row>
    <row r="249" spans="2:3" ht="23.4" x14ac:dyDescent="0.3">
      <c r="B249" s="4"/>
      <c r="C249" s="4"/>
    </row>
    <row r="250" spans="2:3" ht="23.4" x14ac:dyDescent="0.3">
      <c r="B250" s="4"/>
      <c r="C250" s="4"/>
    </row>
    <row r="251" spans="2:3" ht="23.4" x14ac:dyDescent="0.3">
      <c r="B251" s="4"/>
      <c r="C251" s="4"/>
    </row>
    <row r="252" spans="2:3" ht="23.4" x14ac:dyDescent="0.3">
      <c r="B252" s="4"/>
      <c r="C252" s="4"/>
    </row>
    <row r="254" spans="2:3" ht="15.6" x14ac:dyDescent="0.3">
      <c r="B254" s="2"/>
      <c r="C254" s="2"/>
    </row>
    <row r="255" spans="2:3" ht="15.6" x14ac:dyDescent="0.3">
      <c r="B255" s="2"/>
      <c r="C255" s="2"/>
    </row>
    <row r="258" spans="2:3" ht="15.6" x14ac:dyDescent="0.3">
      <c r="B258" s="2"/>
      <c r="C258" s="2"/>
    </row>
    <row r="259" spans="2:3" ht="15.6" x14ac:dyDescent="0.3">
      <c r="B259" s="2"/>
      <c r="C259" s="2"/>
    </row>
    <row r="260" spans="2:3" ht="15.6" x14ac:dyDescent="0.3">
      <c r="B260" s="2"/>
      <c r="C260" s="2"/>
    </row>
    <row r="261" spans="2:3" ht="15.6" x14ac:dyDescent="0.3">
      <c r="B261" s="2"/>
      <c r="C261" s="2"/>
    </row>
    <row r="262" spans="2:3" ht="15.6" x14ac:dyDescent="0.3">
      <c r="B262" s="2"/>
      <c r="C262" s="2"/>
    </row>
    <row r="263" spans="2:3" ht="15.6" x14ac:dyDescent="0.3">
      <c r="B263" s="2"/>
      <c r="C263" s="2"/>
    </row>
    <row r="264" spans="2:3" ht="15.6" x14ac:dyDescent="0.3">
      <c r="B264" s="2"/>
      <c r="C264" s="2"/>
    </row>
    <row r="265" spans="2:3" ht="15.6" x14ac:dyDescent="0.3">
      <c r="B265" s="2"/>
      <c r="C265" s="2"/>
    </row>
    <row r="266" spans="2:3" ht="15.6" x14ac:dyDescent="0.3">
      <c r="B266" s="2"/>
      <c r="C266" s="2"/>
    </row>
    <row r="267" spans="2:3" ht="15.6" x14ac:dyDescent="0.3">
      <c r="B267" s="2"/>
      <c r="C267" s="2"/>
    </row>
    <row r="268" spans="2:3" ht="15.6" x14ac:dyDescent="0.3">
      <c r="B268" s="2"/>
      <c r="C268" s="2"/>
    </row>
    <row r="269" spans="2:3" ht="15.6" x14ac:dyDescent="0.3">
      <c r="B269" s="2"/>
      <c r="C269" s="2"/>
    </row>
    <row r="270" spans="2:3" ht="15.6" x14ac:dyDescent="0.3">
      <c r="B270" s="2"/>
      <c r="C270" s="2"/>
    </row>
    <row r="271" spans="2:3" ht="15" x14ac:dyDescent="0.3">
      <c r="B271" s="1"/>
      <c r="C271" s="1"/>
    </row>
    <row r="277" spans="2:3" ht="15" x14ac:dyDescent="0.3">
      <c r="B277" s="1"/>
      <c r="C277" s="1"/>
    </row>
    <row r="278" spans="2:3" ht="15" x14ac:dyDescent="0.3">
      <c r="B278" s="1"/>
      <c r="C278" s="1"/>
    </row>
    <row r="279" spans="2:3" ht="15" x14ac:dyDescent="0.3">
      <c r="B279" s="1"/>
      <c r="C279" s="1"/>
    </row>
    <row r="280" spans="2:3" ht="15" x14ac:dyDescent="0.3">
      <c r="B280" s="1"/>
      <c r="C280" s="1"/>
    </row>
    <row r="281" spans="2:3" ht="15" x14ac:dyDescent="0.3">
      <c r="B281" s="1"/>
      <c r="C281" s="1"/>
    </row>
    <row r="282" spans="2:3" ht="15" x14ac:dyDescent="0.3">
      <c r="B282" s="1"/>
      <c r="C282" s="1"/>
    </row>
    <row r="289" spans="2:3" ht="23.4" x14ac:dyDescent="0.3">
      <c r="B289" s="4"/>
      <c r="C289" s="4"/>
    </row>
    <row r="290" spans="2:3" ht="23.4" x14ac:dyDescent="0.3">
      <c r="B290" s="4"/>
      <c r="C290" s="4"/>
    </row>
    <row r="291" spans="2:3" ht="23.4" x14ac:dyDescent="0.3">
      <c r="B291" s="4"/>
      <c r="C291" s="4"/>
    </row>
    <row r="292" spans="2:3" ht="23.4" x14ac:dyDescent="0.3">
      <c r="B292" s="4"/>
      <c r="C292" s="4"/>
    </row>
    <row r="297" spans="2:3" ht="23.4" x14ac:dyDescent="0.3">
      <c r="B297" s="4"/>
      <c r="C297" s="4"/>
    </row>
    <row r="301" spans="2:3" ht="15.6" x14ac:dyDescent="0.3">
      <c r="B301" s="2"/>
      <c r="C301" s="2"/>
    </row>
    <row r="304" spans="2:3" ht="15.6" x14ac:dyDescent="0.3">
      <c r="B304" s="2"/>
      <c r="C304" s="2"/>
    </row>
    <row r="305" spans="2:3" ht="15.6" x14ac:dyDescent="0.3">
      <c r="B305" s="2"/>
      <c r="C305" s="2"/>
    </row>
    <row r="306" spans="2:3" ht="15.6" x14ac:dyDescent="0.3">
      <c r="B306" s="2"/>
      <c r="C306" s="2"/>
    </row>
    <row r="307" spans="2:3" ht="15.6" x14ac:dyDescent="0.3">
      <c r="B307" s="2"/>
      <c r="C307" s="2"/>
    </row>
    <row r="308" spans="2:3" ht="15.6" x14ac:dyDescent="0.3">
      <c r="B308" s="2"/>
      <c r="C308" s="2"/>
    </row>
    <row r="311" spans="2:3" ht="15" x14ac:dyDescent="0.3">
      <c r="B311" s="1"/>
      <c r="C311" s="1"/>
    </row>
    <row r="314" spans="2:3" ht="15.6" x14ac:dyDescent="0.3">
      <c r="B314" s="2"/>
      <c r="C314" s="2"/>
    </row>
    <row r="317" spans="2:3" ht="15.6" x14ac:dyDescent="0.3">
      <c r="B317" s="2"/>
      <c r="C317" s="2"/>
    </row>
    <row r="338" spans="2:3" ht="15" x14ac:dyDescent="0.3">
      <c r="B338" s="1"/>
      <c r="C338" s="1"/>
    </row>
    <row r="339" spans="2:3" ht="15" x14ac:dyDescent="0.3">
      <c r="B339" s="1"/>
      <c r="C339" s="1"/>
    </row>
    <row r="340" spans="2:3" ht="15" x14ac:dyDescent="0.3">
      <c r="B340" s="7"/>
      <c r="C340" s="7"/>
    </row>
    <row r="354" spans="2:3" ht="15.6" x14ac:dyDescent="0.3">
      <c r="B354" s="2"/>
      <c r="C354" s="2"/>
    </row>
    <row r="355" spans="2:3" ht="15.6" x14ac:dyDescent="0.3">
      <c r="B355" s="2"/>
      <c r="C355" s="2"/>
    </row>
    <row r="356" spans="2:3" ht="15.6" x14ac:dyDescent="0.3">
      <c r="B356" s="2"/>
      <c r="C356" s="2"/>
    </row>
    <row r="357" spans="2:3" ht="15.6" x14ac:dyDescent="0.3">
      <c r="B357" s="2"/>
      <c r="C357" s="2"/>
    </row>
  </sheetData>
  <sortState ref="B9:E28">
    <sortCondition descending="1" ref="D9:D28"/>
  </sortState>
  <mergeCells count="1">
    <mergeCell ref="B3:B8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topLeftCell="A9" workbookViewId="0">
      <selection activeCell="B19" sqref="B19"/>
    </sheetView>
  </sheetViews>
  <sheetFormatPr defaultRowHeight="15.6" thickTop="1" thickBottom="1" x14ac:dyDescent="0.35"/>
  <cols>
    <col min="2" max="2" width="9.21875" customWidth="1"/>
    <col min="3" max="3" width="32.88671875" customWidth="1"/>
    <col min="4" max="4" width="9.77734375" style="43" customWidth="1"/>
    <col min="5" max="5" width="8.88671875" style="150"/>
  </cols>
  <sheetData>
    <row r="1" spans="2:5" ht="94.8" thickTop="1" thickBot="1" x14ac:dyDescent="0.35">
      <c r="B1" s="44" t="s">
        <v>196</v>
      </c>
      <c r="C1" s="46" t="s">
        <v>198</v>
      </c>
      <c r="D1" s="145" t="s">
        <v>199</v>
      </c>
      <c r="E1" s="150" t="s">
        <v>239</v>
      </c>
    </row>
    <row r="2" spans="2:5" ht="63.6" thickTop="1" thickBot="1" x14ac:dyDescent="0.35">
      <c r="B2" s="39"/>
      <c r="C2" s="39" t="s">
        <v>81</v>
      </c>
      <c r="D2" s="147">
        <v>22</v>
      </c>
    </row>
    <row r="3" spans="2:5" ht="63.6" thickTop="1" thickBot="1" x14ac:dyDescent="0.35">
      <c r="B3" s="39"/>
      <c r="C3" s="39" t="s">
        <v>78</v>
      </c>
      <c r="D3" s="147">
        <v>18</v>
      </c>
    </row>
    <row r="4" spans="2:5" ht="63.6" thickTop="1" thickBot="1" x14ac:dyDescent="0.35">
      <c r="B4" s="39">
        <v>34</v>
      </c>
      <c r="C4" s="39" t="s">
        <v>75</v>
      </c>
      <c r="D4" s="148">
        <v>11</v>
      </c>
      <c r="E4" s="150">
        <f>D4/B4</f>
        <v>0.3235294117647059</v>
      </c>
    </row>
    <row r="5" spans="2:5" ht="48" thickTop="1" thickBot="1" x14ac:dyDescent="0.35">
      <c r="B5" s="39"/>
      <c r="C5" s="39" t="s">
        <v>84</v>
      </c>
      <c r="D5" s="147">
        <v>10</v>
      </c>
    </row>
    <row r="6" spans="2:5" ht="48" thickTop="1" thickBot="1" x14ac:dyDescent="0.35">
      <c r="B6" s="39">
        <v>26</v>
      </c>
      <c r="C6" s="39" t="s">
        <v>74</v>
      </c>
      <c r="D6" s="147">
        <v>6</v>
      </c>
      <c r="E6" s="150">
        <f>D6/B6</f>
        <v>0.23076923076923078</v>
      </c>
    </row>
    <row r="7" spans="2:5" ht="32.4" thickTop="1" thickBot="1" x14ac:dyDescent="0.35">
      <c r="B7" s="39"/>
      <c r="C7" s="39" t="s">
        <v>82</v>
      </c>
      <c r="D7" s="147">
        <v>6</v>
      </c>
    </row>
    <row r="8" spans="2:5" ht="16.2" thickTop="1" thickBot="1" x14ac:dyDescent="0.35">
      <c r="B8" s="41"/>
      <c r="C8" s="41" t="s">
        <v>89</v>
      </c>
      <c r="D8" s="148">
        <v>5</v>
      </c>
    </row>
    <row r="9" spans="2:5" ht="16.2" thickTop="1" thickBot="1" x14ac:dyDescent="0.35">
      <c r="B9" s="41"/>
      <c r="C9" s="41" t="s">
        <v>174</v>
      </c>
      <c r="D9" s="148">
        <v>5</v>
      </c>
    </row>
    <row r="10" spans="2:5" ht="63.6" thickTop="1" thickBot="1" x14ac:dyDescent="0.35">
      <c r="B10" s="39"/>
      <c r="C10" s="39" t="s">
        <v>77</v>
      </c>
      <c r="D10" s="148">
        <v>3</v>
      </c>
    </row>
    <row r="11" spans="2:5" ht="63.6" thickTop="1" thickBot="1" x14ac:dyDescent="0.35">
      <c r="B11" s="39"/>
      <c r="C11" s="39" t="s">
        <v>80</v>
      </c>
      <c r="D11" s="147">
        <v>3</v>
      </c>
    </row>
    <row r="12" spans="2:5" ht="31.2" thickTop="1" thickBot="1" x14ac:dyDescent="0.35">
      <c r="B12" s="41"/>
      <c r="C12" s="41" t="s">
        <v>83</v>
      </c>
      <c r="D12" s="147">
        <v>3</v>
      </c>
    </row>
    <row r="13" spans="2:5" ht="46.2" thickTop="1" thickBot="1" x14ac:dyDescent="0.35">
      <c r="B13" s="41"/>
      <c r="C13" s="41" t="s">
        <v>76</v>
      </c>
      <c r="D13" s="147">
        <v>2</v>
      </c>
    </row>
    <row r="14" spans="2:5" ht="63.6" thickTop="1" thickBot="1" x14ac:dyDescent="0.35">
      <c r="B14" s="39"/>
      <c r="C14" s="39" t="s">
        <v>79</v>
      </c>
      <c r="D14" s="147">
        <v>1</v>
      </c>
    </row>
    <row r="15" spans="2:5" ht="32.4" thickTop="1" thickBot="1" x14ac:dyDescent="0.35">
      <c r="B15" s="39"/>
      <c r="C15" s="39" t="s">
        <v>86</v>
      </c>
      <c r="D15" s="148">
        <v>1</v>
      </c>
    </row>
    <row r="16" spans="2:5" ht="16.8" thickTop="1" thickBot="1" x14ac:dyDescent="0.35">
      <c r="B16" s="39"/>
      <c r="C16" s="39" t="s">
        <v>87</v>
      </c>
      <c r="D16" s="147">
        <v>1</v>
      </c>
    </row>
    <row r="17" spans="2:4" ht="31.8" thickTop="1" thickBot="1" x14ac:dyDescent="0.35">
      <c r="B17" s="39"/>
      <c r="C17" s="39" t="s">
        <v>88</v>
      </c>
      <c r="D17" s="148">
        <v>1</v>
      </c>
    </row>
    <row r="18" spans="2:4" ht="31.2" thickTop="1" thickBot="1" x14ac:dyDescent="0.35">
      <c r="B18" s="41"/>
      <c r="C18" s="41" t="s">
        <v>85</v>
      </c>
      <c r="D18" s="148">
        <v>1</v>
      </c>
    </row>
    <row r="19" spans="2:4" ht="22.2" thickTop="1" thickBot="1" x14ac:dyDescent="0.35">
      <c r="B19" s="39">
        <v>142</v>
      </c>
      <c r="C19" s="39" t="s">
        <v>73</v>
      </c>
      <c r="D19" s="146"/>
    </row>
    <row r="20" spans="2:4" thickTop="1" thickBot="1" x14ac:dyDescent="0.35">
      <c r="B20" s="45"/>
      <c r="C20" s="45"/>
      <c r="D20" s="149"/>
    </row>
  </sheetData>
  <sortState ref="B2:E20">
    <sortCondition descending="1" ref="D2:D20"/>
  </sortState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Sheet1</vt:lpstr>
      <vt:lpstr>Sheet2</vt:lpstr>
      <vt:lpstr>Sheet3</vt:lpstr>
      <vt:lpstr>Sheet1!__DdeLink__355_3344034610</vt:lpstr>
      <vt:lpstr>Sheet1!__DdeLink__366_1609274354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2025-05-25T12:28:32Z</dcterms:modified>
</cp:coreProperties>
</file>