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hinese\python\praat\saleh_swr\"/>
    </mc:Choice>
  </mc:AlternateContent>
  <bookViews>
    <workbookView xWindow="0" yWindow="0" windowWidth="13296" windowHeight="8220" activeTab="1"/>
  </bookViews>
  <sheets>
    <sheet name="Sheet1" sheetId="1" r:id="rId1"/>
    <sheet name="Sheet3" sheetId="3" r:id="rId2"/>
    <sheet name="Sheet2" sheetId="2" r:id="rId3"/>
  </sheets>
  <definedNames>
    <definedName name="__DdeLink__1139_1280826453" localSheetId="0">Sheet1!#REF!</definedName>
    <definedName name="__DdeLink__299_4019134822" localSheetId="0">Sheet1!#REF!</definedName>
    <definedName name="__DdeLink__347_3841694636" localSheetId="0">Sheet1!#REF!</definedName>
    <definedName name="__DdeLink__355_3344034610" localSheetId="0">Sheet1!#REF!</definedName>
    <definedName name="__DdeLink__363_4195966084" localSheetId="0">Sheet1!#REF!</definedName>
    <definedName name="__DdeLink__366_1609274354" localSheetId="0">Sheet1!#REF!</definedName>
    <definedName name="__DdeLink__374_2158327081" localSheetId="0">Sheet1!$E$37</definedName>
    <definedName name="__DdeLink__429_690101127" localSheetId="0">Sheet1!#REF!</definedName>
    <definedName name="__DdeLink__450_690101127" localSheetId="0">Sheet1!#REF!</definedName>
    <definedName name="__DdeLink__454_4201205227" localSheetId="0">Sheet1!#REF!</definedName>
    <definedName name="__DdeLink__461_690101127" localSheetId="0">Sheet1!#REF!</definedName>
    <definedName name="__DdeLink__481_750636418" localSheetId="0">Sheet1!#REF!</definedName>
    <definedName name="__DdeLink__502_3099655138" localSheetId="0">Sheet1!#REF!</definedName>
    <definedName name="__DdeLink__525_3099655138" localSheetId="0">Sheet1!#REF!</definedName>
    <definedName name="__DdeLink__533_4201205227" localSheetId="0">Sheet1!#REF!</definedName>
    <definedName name="__DdeLink__573_3099655138" localSheetId="0">Sheet1!#REF!</definedName>
    <definedName name="__DdeLink__588_3099655138" localSheetId="0">Sheet1!#REF!</definedName>
    <definedName name="__DdeLink__741_3099655138" localSheetId="0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3" l="1"/>
  <c r="E4" i="2"/>
  <c r="E5" i="2"/>
  <c r="E3" i="2"/>
  <c r="E2" i="2"/>
  <c r="H75" i="1" l="1"/>
  <c r="G75" i="1"/>
  <c r="C75" i="1"/>
  <c r="G73" i="1"/>
  <c r="C73" i="1"/>
  <c r="H71" i="1"/>
  <c r="G71" i="1"/>
  <c r="C71" i="1"/>
  <c r="G68" i="1"/>
  <c r="C68" i="1"/>
  <c r="G64" i="1"/>
  <c r="C64" i="1"/>
  <c r="G60" i="1"/>
  <c r="C60" i="1"/>
  <c r="G57" i="1"/>
  <c r="C57" i="1"/>
  <c r="G54" i="1"/>
  <c r="C54" i="1"/>
  <c r="H52" i="1"/>
  <c r="G52" i="1"/>
  <c r="C52" i="1"/>
  <c r="H50" i="1"/>
  <c r="G50" i="1"/>
  <c r="C50" i="1"/>
  <c r="H48" i="1"/>
  <c r="G48" i="1"/>
  <c r="C48" i="1"/>
  <c r="G46" i="1"/>
  <c r="C46" i="1"/>
  <c r="G44" i="1"/>
  <c r="C44" i="1"/>
  <c r="H40" i="1"/>
  <c r="G40" i="1"/>
  <c r="C40" i="1"/>
  <c r="H38" i="1"/>
  <c r="G38" i="1"/>
  <c r="C38" i="1"/>
  <c r="H36" i="1"/>
  <c r="G36" i="1"/>
  <c r="C36" i="1"/>
  <c r="H34" i="1"/>
  <c r="G34" i="1"/>
  <c r="C34" i="1"/>
  <c r="H32" i="1"/>
  <c r="G32" i="1"/>
  <c r="C32" i="1"/>
  <c r="H30" i="1"/>
  <c r="G30" i="1"/>
  <c r="C30" i="1"/>
  <c r="G28" i="1"/>
  <c r="C28" i="1"/>
  <c r="G22" i="1"/>
  <c r="C22" i="1"/>
  <c r="G20" i="1"/>
  <c r="C20" i="1"/>
  <c r="G18" i="1"/>
  <c r="C18" i="1"/>
  <c r="G15" i="1"/>
  <c r="C15" i="1"/>
  <c r="G13" i="1"/>
  <c r="C13" i="1"/>
  <c r="H11" i="1"/>
  <c r="G11" i="1"/>
  <c r="C11" i="1"/>
  <c r="G9" i="1"/>
  <c r="C9" i="1"/>
  <c r="G7" i="1"/>
  <c r="C7" i="1"/>
  <c r="G5" i="1"/>
  <c r="C5" i="1"/>
  <c r="H72" i="1"/>
  <c r="H73" i="1" s="1"/>
  <c r="H70" i="1"/>
  <c r="H69" i="1"/>
  <c r="H67" i="1"/>
  <c r="H66" i="1"/>
  <c r="H65" i="1"/>
  <c r="H68" i="1" s="1"/>
  <c r="H62" i="1"/>
  <c r="H63" i="1"/>
  <c r="H61" i="1"/>
  <c r="H64" i="1" s="1"/>
  <c r="H59" i="1"/>
  <c r="H58" i="1"/>
  <c r="H60" i="1" s="1"/>
  <c r="H56" i="1"/>
  <c r="H55" i="1"/>
  <c r="H57" i="1" s="1"/>
  <c r="H53" i="1"/>
  <c r="H54" i="1" s="1"/>
  <c r="H47" i="1"/>
  <c r="H45" i="1"/>
  <c r="H46" i="1" s="1"/>
  <c r="H42" i="1"/>
  <c r="H43" i="1"/>
  <c r="H41" i="1"/>
  <c r="H44" i="1" s="1"/>
  <c r="H29" i="1"/>
  <c r="H27" i="1"/>
  <c r="H24" i="1"/>
  <c r="H25" i="1"/>
  <c r="H26" i="1"/>
  <c r="H23" i="1"/>
  <c r="H28" i="1" s="1"/>
  <c r="H21" i="1"/>
  <c r="H22" i="1" s="1"/>
  <c r="H19" i="1"/>
  <c r="H20" i="1" s="1"/>
  <c r="H17" i="1"/>
  <c r="H16" i="1"/>
  <c r="H18" i="1" s="1"/>
  <c r="H14" i="1"/>
  <c r="H15" i="1" s="1"/>
  <c r="H12" i="1"/>
  <c r="H13" i="1" s="1"/>
  <c r="H8" i="1"/>
  <c r="H9" i="1" s="1"/>
  <c r="H6" i="1"/>
  <c r="H7" i="1" s="1"/>
  <c r="H3" i="1"/>
  <c r="H4" i="1"/>
  <c r="H2" i="1"/>
  <c r="H5" i="1" s="1"/>
</calcChain>
</file>

<file path=xl/sharedStrings.xml><?xml version="1.0" encoding="utf-8"?>
<sst xmlns="http://schemas.openxmlformats.org/spreadsheetml/2006/main" count="188" uniqueCount="174">
  <si>
    <t>Metathesis</t>
  </si>
  <si>
    <t>Vowel  nasalization</t>
  </si>
  <si>
    <t>substitution of [r] with [ɻ]</t>
  </si>
  <si>
    <t>substitution of [l] with [r]</t>
  </si>
  <si>
    <t>substitution of [q] with [g]</t>
  </si>
  <si>
    <t>substitution of [g] with [q]</t>
  </si>
  <si>
    <t>voicing(substitution of [t] with [d])</t>
  </si>
  <si>
    <t>Epenthesis(insertion of [ æ] phone between consonant cluster)</t>
  </si>
  <si>
    <t>Epenthesis(insertion of [ ɑ] phone between consonant cluster)</t>
  </si>
  <si>
    <t>Epenthesis(insertion of [ɪ] phone between consonant cluster)</t>
  </si>
  <si>
    <t xml:space="preserve">Aspiration ( substitution of [k]with [kʰ]) , </t>
  </si>
  <si>
    <t xml:space="preserve">Aspiration ( substitution of [t]with [tʰ]) </t>
  </si>
  <si>
    <t xml:space="preserve">Aspiration ( substitution of [ tˤ]with [tˤʰ] </t>
  </si>
  <si>
    <t>substitution of [z]with [t͡s ]</t>
  </si>
  <si>
    <t xml:space="preserve">depharyngealization(substitution of [sˤ] with [s]), </t>
  </si>
  <si>
    <t>depharyngealization(substitution of [dˤ] with [d]),</t>
  </si>
  <si>
    <t>Devoicing(substitution of [d͡ʒ] with [t͡ʃ])</t>
  </si>
  <si>
    <t>degemination(reduce consonant cluster to one single consonant)</t>
  </si>
  <si>
    <t>substitution of [n] with [d]</t>
  </si>
  <si>
    <t>syllable structure process(final syllable deletion)</t>
  </si>
  <si>
    <t>deaffrication(substitution of [d͡ʒ]with [ʒ])</t>
  </si>
  <si>
    <t>substitution of [h]with [χ]</t>
  </si>
  <si>
    <t>substitution of [h]with [ħ]</t>
  </si>
  <si>
    <t>substitution of[w] with [ʕ]</t>
  </si>
  <si>
    <t>deaffrication and devoicing(substitution of [d͡ʒ]with [ʃ])</t>
  </si>
  <si>
    <t>syllable structure process (syllable insertion of  [tæ] phones )</t>
  </si>
  <si>
    <t>devoicing(substitution of [d]with [t])</t>
  </si>
  <si>
    <t>devoicing(substitution of [v]with [f])</t>
  </si>
  <si>
    <t>substitution of [ħ]with [ʕ]</t>
  </si>
  <si>
    <t>substitution of [j]with [ʒ]</t>
  </si>
  <si>
    <t>devoicing(substitution of [b]with [p]), Aspiration ( substitution of [p]with [pʰ]) ,</t>
  </si>
  <si>
    <t>devoicing(substitution of [b]with [p]</t>
  </si>
  <si>
    <t>devoicing(substitution of [d]with [t]), Aspiration ( substitution of [t]with [tʰ]) ,</t>
  </si>
  <si>
    <t xml:space="preserve">syllable structure process (consonant deletion of  [r] phone), </t>
  </si>
  <si>
    <t>interdentalization(substitution of [s] with [θ])</t>
  </si>
  <si>
    <t>assimilation (the  [m] phone changes to  [n]  phone to become  similar to the nearby  phone[t])</t>
  </si>
  <si>
    <t>Nasal assimilation</t>
  </si>
  <si>
    <t>Definite Article deletion</t>
  </si>
  <si>
    <t>English word</t>
  </si>
  <si>
    <t>س</t>
  </si>
  <si>
    <t>ز</t>
  </si>
  <si>
    <t>ص</t>
  </si>
  <si>
    <t>ث</t>
  </si>
  <si>
    <t>ظ</t>
  </si>
  <si>
    <t>ذ</t>
  </si>
  <si>
    <t>ك</t>
  </si>
  <si>
    <t>ج</t>
  </si>
  <si>
    <t>ق</t>
  </si>
  <si>
    <t>ش</t>
  </si>
  <si>
    <t>خ</t>
  </si>
  <si>
    <t>غ</t>
  </si>
  <si>
    <t>ع</t>
  </si>
  <si>
    <t>ح</t>
  </si>
  <si>
    <t>ه</t>
  </si>
  <si>
    <t>ء</t>
  </si>
  <si>
    <t>ف</t>
  </si>
  <si>
    <t>ن</t>
  </si>
  <si>
    <t>م</t>
  </si>
  <si>
    <t>ب</t>
  </si>
  <si>
    <t>ط</t>
  </si>
  <si>
    <t>ت</t>
  </si>
  <si>
    <t>د</t>
  </si>
  <si>
    <t>ض</t>
  </si>
  <si>
    <t>و</t>
  </si>
  <si>
    <t>ي</t>
  </si>
  <si>
    <t xml:space="preserve">ر </t>
  </si>
  <si>
    <t xml:space="preserve">ل  </t>
  </si>
  <si>
    <t>r</t>
  </si>
  <si>
    <t>l</t>
  </si>
  <si>
    <t>s</t>
  </si>
  <si>
    <t>z</t>
  </si>
  <si>
    <t>sˤ</t>
  </si>
  <si>
    <t>θ</t>
  </si>
  <si>
    <t>ðˤ</t>
  </si>
  <si>
    <t>ð</t>
  </si>
  <si>
    <t>k</t>
  </si>
  <si>
    <t>g</t>
  </si>
  <si>
    <t>q</t>
  </si>
  <si>
    <t>ʃ</t>
  </si>
  <si>
    <t>χ</t>
  </si>
  <si>
    <t>ɣ</t>
  </si>
  <si>
    <t>ʕ</t>
  </si>
  <si>
    <t>ħ</t>
  </si>
  <si>
    <t>h</t>
  </si>
  <si>
    <t>ʔ</t>
  </si>
  <si>
    <t>f</t>
  </si>
  <si>
    <t>n</t>
  </si>
  <si>
    <t>m</t>
  </si>
  <si>
    <t>b</t>
  </si>
  <si>
    <t>tˤ</t>
  </si>
  <si>
    <t>t</t>
  </si>
  <si>
    <t>d</t>
  </si>
  <si>
    <t>dˤ</t>
  </si>
  <si>
    <t>w</t>
  </si>
  <si>
    <t>j</t>
  </si>
  <si>
    <t>substitution of [t]with [t͡s ]</t>
  </si>
  <si>
    <t xml:space="preserve">depharyngealization  (substitution of [tˤ] with [t]) </t>
  </si>
  <si>
    <t xml:space="preserve">devoicing(substitution of [d]with [d̥])  </t>
  </si>
  <si>
    <t>devoicing(substitution of [dˤ]with [tˤ])</t>
  </si>
  <si>
    <t>v</t>
  </si>
  <si>
    <t>devoicing (substitution of [d͡ʒ]with [d͡ʒ̥ ])</t>
  </si>
  <si>
    <r>
      <rPr>
        <sz val="11"/>
        <color rgb="FF7030A0"/>
        <rFont val="Calibri"/>
        <family val="2"/>
        <scheme val="minor"/>
      </rPr>
      <t xml:space="preserve"> lateralization(substitution of [r] with [l]),</t>
    </r>
    <r>
      <rPr>
        <sz val="11"/>
        <color rgb="FF9C6500"/>
        <rFont val="Calibri"/>
        <family val="2"/>
        <scheme val="minor"/>
      </rPr>
      <t xml:space="preserve"> </t>
    </r>
  </si>
  <si>
    <t>syllable structure process (consonant insertion of  [j] phone)</t>
  </si>
  <si>
    <t>gliding(substitution of [ʔ] with [w])</t>
  </si>
  <si>
    <t>stopping(substitution of[ðˤ] with [tˤ]),</t>
  </si>
  <si>
    <t>stopping and depharyngealization(substitution of[ðˤ] with [d])</t>
  </si>
  <si>
    <t>substitution of [f] with [q]</t>
  </si>
  <si>
    <t>stopping (substitution of [ð] with [d])</t>
  </si>
  <si>
    <t>stopping and backing([θ] with [ k])</t>
  </si>
  <si>
    <t>letter</t>
  </si>
  <si>
    <t>total</t>
  </si>
  <si>
    <t>arabic letter</t>
  </si>
  <si>
    <t>phonological_processes</t>
  </si>
  <si>
    <t>allpohone</t>
  </si>
  <si>
    <t>number of error</t>
  </si>
  <si>
    <t>percentage</t>
  </si>
  <si>
    <t>[ɻ]</t>
  </si>
  <si>
    <t>[r]</t>
  </si>
  <si>
    <t>[l]</t>
  </si>
  <si>
    <t>[θ]</t>
  </si>
  <si>
    <t>[t͡s]</t>
  </si>
  <si>
    <t>[s]</t>
  </si>
  <si>
    <t>[k]</t>
  </si>
  <si>
    <t>[d]</t>
  </si>
  <si>
    <t>[tˤ]</t>
  </si>
  <si>
    <t>[kʰ]</t>
  </si>
  <si>
    <t>[t͡ʃ]</t>
  </si>
  <si>
    <t>[ʒ]</t>
  </si>
  <si>
    <t>[d͡ʒ̥]</t>
  </si>
  <si>
    <t>[q]</t>
  </si>
  <si>
    <t>[ʃ]</t>
  </si>
  <si>
    <t>[g]</t>
  </si>
  <si>
    <t>[χ]</t>
  </si>
  <si>
    <t>[ʕ]</t>
  </si>
  <si>
    <t>[ħ]</t>
  </si>
  <si>
    <t>[w]</t>
  </si>
  <si>
    <t>[f]</t>
  </si>
  <si>
    <t>[t]</t>
  </si>
  <si>
    <t>[pʰ]</t>
  </si>
  <si>
    <t>[p]</t>
  </si>
  <si>
    <t>[tˤʰ]</t>
  </si>
  <si>
    <t>[tʰ]</t>
  </si>
  <si>
    <t>[d̥]</t>
  </si>
  <si>
    <t>[-]</t>
  </si>
  <si>
    <t>[n]</t>
  </si>
  <si>
    <t>r Total</t>
  </si>
  <si>
    <t>l Total</t>
  </si>
  <si>
    <t>s Total</t>
  </si>
  <si>
    <t>z Total</t>
  </si>
  <si>
    <t>sˤ Total</t>
  </si>
  <si>
    <t>θ Total</t>
  </si>
  <si>
    <t>ðˤ Total</t>
  </si>
  <si>
    <t>ð Total</t>
  </si>
  <si>
    <t>k Total</t>
  </si>
  <si>
    <t>g Total</t>
  </si>
  <si>
    <t>q Total</t>
  </si>
  <si>
    <t>ʃ Total</t>
  </si>
  <si>
    <t>χ Total</t>
  </si>
  <si>
    <t>ɣ Total</t>
  </si>
  <si>
    <t>ʕ Total</t>
  </si>
  <si>
    <t>ħ Total</t>
  </si>
  <si>
    <t>h Total</t>
  </si>
  <si>
    <t>ʔ Total</t>
  </si>
  <si>
    <t>f Total</t>
  </si>
  <si>
    <t>v Total</t>
  </si>
  <si>
    <t>n Total</t>
  </si>
  <si>
    <t>m Total</t>
  </si>
  <si>
    <t>b Total</t>
  </si>
  <si>
    <t>tˤ Total</t>
  </si>
  <si>
    <t>t Total</t>
  </si>
  <si>
    <t>d Total</t>
  </si>
  <si>
    <t>dˤ Total</t>
  </si>
  <si>
    <t>w Total</t>
  </si>
  <si>
    <t>j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</si>
</sst>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2"/>
      <color theme="1"/>
      <name val="Arial"/>
      <family val="2"/>
    </font>
    <font>
      <u/>
      <sz val="12"/>
      <color rgb="FFCE181E"/>
      <name val="Arial"/>
      <family val="2"/>
    </font>
    <font>
      <b/>
      <sz val="12"/>
      <color theme="1"/>
      <name val="Arial"/>
      <family val="2"/>
    </font>
    <font>
      <sz val="15"/>
      <color rgb="FF000000"/>
      <name val="Segoe UI"/>
      <family val="2"/>
    </font>
    <font>
      <b/>
      <sz val="16"/>
      <color rgb="FFCE181E"/>
      <name val="Arial"/>
      <family val="2"/>
    </font>
    <font>
      <sz val="12"/>
      <color rgb="FF7030A0"/>
      <name val="Arial"/>
      <family val="2"/>
    </font>
    <font>
      <sz val="11"/>
      <color rgb="FF7030A0"/>
      <name val="Calibri"/>
      <family val="2"/>
      <scheme val="minor"/>
    </font>
    <font>
      <b/>
      <sz val="12"/>
      <color rgb="FF7030A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9C650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7" tint="0.59999389629810485"/>
        <bgColor indexed="65"/>
      </patternFill>
    </fill>
  </fills>
  <borders count="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1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9" fontId="1" fillId="0" borderId="0" applyFont="0" applyFill="0" applyBorder="0" applyAlignment="0" applyProtection="0"/>
  </cellStyleXfs>
  <cellXfs count="97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7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4" fillId="4" borderId="1" xfId="3" applyBorder="1" applyAlignment="1">
      <alignment vertical="center" wrapText="1"/>
    </xf>
    <xf numFmtId="0" fontId="4" fillId="4" borderId="1" xfId="3" applyBorder="1" applyAlignment="1">
      <alignment vertical="center"/>
    </xf>
    <xf numFmtId="0" fontId="11" fillId="4" borderId="1" xfId="3" applyFont="1" applyBorder="1" applyAlignment="1">
      <alignment vertical="center" wrapText="1"/>
    </xf>
    <xf numFmtId="0" fontId="3" fillId="3" borderId="1" xfId="2" applyBorder="1" applyAlignment="1">
      <alignment horizontal="center" vertical="center"/>
    </xf>
    <xf numFmtId="0" fontId="3" fillId="3" borderId="1" xfId="2" applyBorder="1" applyAlignment="1">
      <alignment horizontal="center" vertical="center" wrapText="1" readingOrder="2"/>
    </xf>
    <xf numFmtId="0" fontId="3" fillId="3" borderId="1" xfId="2" applyBorder="1" applyAlignment="1">
      <alignment vertical="center" wrapText="1"/>
    </xf>
    <xf numFmtId="0" fontId="3" fillId="3" borderId="1" xfId="2" applyBorder="1" applyAlignment="1">
      <alignment vertical="center"/>
    </xf>
    <xf numFmtId="0" fontId="2" fillId="2" borderId="1" xfId="1" applyBorder="1" applyAlignment="1">
      <alignment horizontal="center" vertical="center"/>
    </xf>
    <xf numFmtId="0" fontId="2" fillId="2" borderId="1" xfId="1" applyBorder="1" applyAlignment="1">
      <alignment horizontal="center" vertical="center" wrapText="1" readingOrder="2"/>
    </xf>
    <xf numFmtId="0" fontId="2" fillId="2" borderId="1" xfId="1" applyBorder="1" applyAlignment="1">
      <alignment wrapText="1"/>
    </xf>
    <xf numFmtId="0" fontId="2" fillId="2" borderId="1" xfId="1" applyBorder="1"/>
    <xf numFmtId="0" fontId="1" fillId="9" borderId="1" xfId="8" applyBorder="1" applyAlignment="1">
      <alignment horizontal="center" vertical="center"/>
    </xf>
    <xf numFmtId="0" fontId="1" fillId="9" borderId="1" xfId="8" applyBorder="1" applyAlignment="1">
      <alignment horizontal="center" vertical="center" wrapText="1" readingOrder="2"/>
    </xf>
    <xf numFmtId="0" fontId="1" fillId="9" borderId="1" xfId="8" applyBorder="1" applyAlignment="1">
      <alignment wrapText="1"/>
    </xf>
    <xf numFmtId="0" fontId="1" fillId="9" borderId="1" xfId="8" applyBorder="1"/>
    <xf numFmtId="0" fontId="3" fillId="3" borderId="1" xfId="2" applyBorder="1" applyAlignment="1">
      <alignment wrapText="1"/>
    </xf>
    <xf numFmtId="0" fontId="3" fillId="3" borderId="1" xfId="2" applyBorder="1"/>
    <xf numFmtId="0" fontId="2" fillId="2" borderId="1" xfId="1" applyBorder="1" applyAlignment="1">
      <alignment vertical="center" wrapText="1"/>
    </xf>
    <xf numFmtId="0" fontId="2" fillId="2" borderId="1" xfId="1" applyBorder="1" applyAlignment="1">
      <alignment vertical="center"/>
    </xf>
    <xf numFmtId="0" fontId="0" fillId="9" borderId="1" xfId="8" applyFont="1" applyBorder="1" applyAlignment="1">
      <alignment vertical="center" wrapText="1"/>
    </xf>
    <xf numFmtId="0" fontId="1" fillId="9" borderId="1" xfId="8" applyBorder="1" applyAlignment="1">
      <alignment vertical="center"/>
    </xf>
    <xf numFmtId="0" fontId="11" fillId="3" borderId="1" xfId="2" applyFont="1" applyBorder="1" applyAlignment="1">
      <alignment vertical="center" wrapText="1"/>
    </xf>
    <xf numFmtId="0" fontId="2" fillId="2" borderId="1" xfId="1" applyBorder="1" applyAlignment="1">
      <alignment horizontal="center" vertical="center" wrapText="1" readingOrder="2"/>
    </xf>
    <xf numFmtId="0" fontId="11" fillId="2" borderId="1" xfId="1" applyFont="1" applyBorder="1" applyAlignment="1">
      <alignment vertical="center" wrapText="1"/>
    </xf>
    <xf numFmtId="0" fontId="4" fillId="4" borderId="1" xfId="3" applyBorder="1" applyAlignment="1">
      <alignment horizontal="center" vertical="center"/>
    </xf>
    <xf numFmtId="0" fontId="4" fillId="4" borderId="1" xfId="3" applyBorder="1" applyAlignment="1">
      <alignment horizontal="center" vertical="center" wrapText="1" readingOrder="2"/>
    </xf>
    <xf numFmtId="0" fontId="1" fillId="7" borderId="1" xfId="6" applyBorder="1" applyAlignment="1">
      <alignment horizontal="center" vertical="center"/>
    </xf>
    <xf numFmtId="0" fontId="1" fillId="7" borderId="1" xfId="6" applyBorder="1" applyAlignment="1">
      <alignment horizontal="center" vertical="center" wrapText="1" readingOrder="2"/>
    </xf>
    <xf numFmtId="0" fontId="1" fillId="7" borderId="1" xfId="6" applyBorder="1" applyAlignment="1">
      <alignment vertical="center" wrapText="1"/>
    </xf>
    <xf numFmtId="0" fontId="1" fillId="7" borderId="1" xfId="6" applyBorder="1" applyAlignment="1">
      <alignment vertical="center"/>
    </xf>
    <xf numFmtId="0" fontId="1" fillId="5" borderId="1" xfId="4" applyBorder="1" applyAlignment="1">
      <alignment horizontal="center" vertical="center"/>
    </xf>
    <xf numFmtId="0" fontId="1" fillId="5" borderId="1" xfId="4" applyBorder="1" applyAlignment="1">
      <alignment horizontal="center" vertical="center" wrapText="1" readingOrder="2"/>
    </xf>
    <xf numFmtId="0" fontId="11" fillId="5" borderId="1" xfId="4" applyFont="1" applyBorder="1" applyAlignment="1">
      <alignment vertical="center" wrapText="1"/>
    </xf>
    <xf numFmtId="0" fontId="1" fillId="5" borderId="1" xfId="4" applyBorder="1" applyAlignment="1">
      <alignment vertical="center"/>
    </xf>
    <xf numFmtId="0" fontId="1" fillId="6" borderId="1" xfId="5" applyBorder="1" applyAlignment="1">
      <alignment horizontal="center" vertical="center"/>
    </xf>
    <xf numFmtId="0" fontId="1" fillId="6" borderId="1" xfId="5" applyBorder="1" applyAlignment="1">
      <alignment horizontal="center" vertical="center" wrapText="1" readingOrder="2"/>
    </xf>
    <xf numFmtId="0" fontId="1" fillId="6" borderId="1" xfId="5" applyBorder="1" applyAlignment="1">
      <alignment vertical="center" wrapText="1"/>
    </xf>
    <xf numFmtId="0" fontId="1" fillId="6" borderId="1" xfId="5" applyBorder="1" applyAlignment="1">
      <alignment vertical="center"/>
    </xf>
    <xf numFmtId="0" fontId="1" fillId="8" borderId="1" xfId="7" applyBorder="1" applyAlignment="1">
      <alignment horizontal="center" vertical="center" wrapText="1" readingOrder="2"/>
    </xf>
    <xf numFmtId="0" fontId="1" fillId="8" borderId="1" xfId="7" applyBorder="1" applyAlignment="1">
      <alignment vertical="center" wrapText="1"/>
    </xf>
    <xf numFmtId="0" fontId="1" fillId="8" borderId="1" xfId="7" applyBorder="1" applyAlignment="1">
      <alignment vertical="center"/>
    </xf>
    <xf numFmtId="0" fontId="3" fillId="3" borderId="1" xfId="2" applyBorder="1" applyAlignment="1">
      <alignment horizontal="center" vertical="center" wrapText="1" readingOrder="2"/>
    </xf>
    <xf numFmtId="0" fontId="1" fillId="7" borderId="1" xfId="6" applyBorder="1" applyAlignment="1">
      <alignment horizontal="center" vertical="center" wrapText="1" readingOrder="2"/>
    </xf>
    <xf numFmtId="0" fontId="0" fillId="7" borderId="1" xfId="6" applyFont="1" applyBorder="1" applyAlignment="1">
      <alignment vertical="center" wrapText="1"/>
    </xf>
    <xf numFmtId="0" fontId="1" fillId="10" borderId="1" xfId="9" applyBorder="1" applyAlignment="1">
      <alignment vertical="center" wrapText="1"/>
    </xf>
    <xf numFmtId="0" fontId="1" fillId="10" borderId="1" xfId="9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10" fontId="14" fillId="0" borderId="1" xfId="0" applyNumberFormat="1" applyFont="1" applyBorder="1" applyAlignment="1">
      <alignment horizontal="center" vertical="center" wrapText="1"/>
    </xf>
    <xf numFmtId="0" fontId="14" fillId="0" borderId="0" xfId="0" applyFont="1"/>
    <xf numFmtId="10" fontId="4" fillId="4" borderId="1" xfId="3" applyNumberFormat="1" applyBorder="1" applyAlignment="1">
      <alignment vertical="center"/>
    </xf>
    <xf numFmtId="10" fontId="3" fillId="3" borderId="1" xfId="2" applyNumberFormat="1" applyBorder="1" applyAlignment="1">
      <alignment vertical="center"/>
    </xf>
    <xf numFmtId="10" fontId="2" fillId="2" borderId="1" xfId="1" applyNumberFormat="1" applyBorder="1"/>
    <xf numFmtId="10" fontId="1" fillId="9" borderId="1" xfId="8" applyNumberFormat="1" applyBorder="1"/>
    <xf numFmtId="10" fontId="3" fillId="3" borderId="1" xfId="2" applyNumberFormat="1" applyBorder="1"/>
    <xf numFmtId="10" fontId="2" fillId="2" borderId="1" xfId="1" applyNumberFormat="1" applyBorder="1" applyAlignment="1">
      <alignment vertical="center"/>
    </xf>
    <xf numFmtId="10" fontId="1" fillId="9" borderId="1" xfId="8" applyNumberFormat="1" applyBorder="1" applyAlignment="1">
      <alignment vertical="center"/>
    </xf>
    <xf numFmtId="10" fontId="1" fillId="7" borderId="1" xfId="6" applyNumberFormat="1" applyBorder="1" applyAlignment="1">
      <alignment vertical="center"/>
    </xf>
    <xf numFmtId="10" fontId="1" fillId="5" borderId="1" xfId="4" applyNumberFormat="1" applyBorder="1" applyAlignment="1">
      <alignment vertical="center"/>
    </xf>
    <xf numFmtId="10" fontId="1" fillId="6" borderId="1" xfId="5" applyNumberFormat="1" applyBorder="1" applyAlignment="1">
      <alignment vertical="center"/>
    </xf>
    <xf numFmtId="10" fontId="1" fillId="8" borderId="1" xfId="7" applyNumberFormat="1" applyBorder="1" applyAlignment="1">
      <alignment vertical="center"/>
    </xf>
    <xf numFmtId="10" fontId="1" fillId="10" borderId="1" xfId="9" applyNumberFormat="1" applyBorder="1" applyAlignment="1">
      <alignment vertical="center"/>
    </xf>
    <xf numFmtId="10" fontId="0" fillId="0" borderId="1" xfId="0" applyNumberFormat="1" applyBorder="1"/>
    <xf numFmtId="10" fontId="0" fillId="0" borderId="0" xfId="0" applyNumberFormat="1"/>
    <xf numFmtId="0" fontId="15" fillId="4" borderId="1" xfId="3" applyFont="1" applyBorder="1" applyAlignment="1">
      <alignment horizontal="center" vertical="center"/>
    </xf>
    <xf numFmtId="0" fontId="16" fillId="3" borderId="1" xfId="2" applyFont="1" applyBorder="1" applyAlignment="1">
      <alignment horizontal="center" vertical="center"/>
    </xf>
    <xf numFmtId="0" fontId="17" fillId="2" borderId="1" xfId="1" applyFont="1" applyBorder="1" applyAlignment="1">
      <alignment horizontal="center" vertical="center"/>
    </xf>
    <xf numFmtId="0" fontId="13" fillId="9" borderId="1" xfId="8" applyFont="1" applyBorder="1" applyAlignment="1">
      <alignment horizontal="center" vertical="center"/>
    </xf>
    <xf numFmtId="0" fontId="13" fillId="7" borderId="1" xfId="6" applyFont="1" applyBorder="1" applyAlignment="1">
      <alignment horizontal="center" vertical="center"/>
    </xf>
    <xf numFmtId="0" fontId="13" fillId="5" borderId="1" xfId="4" applyFont="1" applyBorder="1" applyAlignment="1">
      <alignment horizontal="center" vertical="center"/>
    </xf>
    <xf numFmtId="0" fontId="13" fillId="6" borderId="1" xfId="5" applyFont="1" applyBorder="1" applyAlignment="1">
      <alignment horizontal="center" vertical="center"/>
    </xf>
    <xf numFmtId="0" fontId="13" fillId="8" borderId="1" xfId="7" applyFont="1" applyBorder="1" applyAlignment="1">
      <alignment horizontal="center" vertical="center"/>
    </xf>
    <xf numFmtId="0" fontId="2" fillId="2" borderId="1" xfId="1" applyBorder="1" applyAlignment="1">
      <alignment horizontal="center" vertical="center"/>
    </xf>
    <xf numFmtId="0" fontId="2" fillId="2" borderId="1" xfId="1" applyBorder="1" applyAlignment="1">
      <alignment horizontal="center" vertical="center" wrapText="1" readingOrder="2"/>
    </xf>
    <xf numFmtId="0" fontId="1" fillId="7" borderId="1" xfId="6" applyBorder="1" applyAlignment="1">
      <alignment horizontal="center" vertical="center"/>
    </xf>
    <xf numFmtId="0" fontId="1" fillId="7" borderId="1" xfId="6" applyBorder="1" applyAlignment="1">
      <alignment horizontal="center" vertical="center" wrapText="1" readingOrder="2"/>
    </xf>
    <xf numFmtId="0" fontId="4" fillId="4" borderId="1" xfId="3" applyBorder="1" applyAlignment="1">
      <alignment horizontal="center" vertical="center" wrapText="1" readingOrder="2"/>
    </xf>
    <xf numFmtId="0" fontId="4" fillId="4" borderId="1" xfId="3" applyBorder="1" applyAlignment="1">
      <alignment horizontal="center" vertical="center"/>
    </xf>
    <xf numFmtId="0" fontId="3" fillId="3" borderId="1" xfId="2" applyBorder="1" applyAlignment="1">
      <alignment horizontal="center" vertical="center" wrapText="1" readingOrder="2"/>
    </xf>
    <xf numFmtId="0" fontId="3" fillId="3" borderId="1" xfId="2" applyBorder="1" applyAlignment="1">
      <alignment horizontal="center" vertical="center"/>
    </xf>
    <xf numFmtId="0" fontId="1" fillId="8" borderId="1" xfId="7" applyBorder="1" applyAlignment="1">
      <alignment horizontal="center" vertical="center"/>
    </xf>
    <xf numFmtId="0" fontId="1" fillId="8" borderId="1" xfId="7" applyBorder="1" applyAlignment="1">
      <alignment horizontal="center" vertical="center" wrapText="1" readingOrder="2"/>
    </xf>
    <xf numFmtId="0" fontId="10" fillId="0" borderId="1" xfId="0" applyFont="1" applyBorder="1" applyAlignment="1">
      <alignment horizontal="center" vertical="center" wrapText="1"/>
    </xf>
    <xf numFmtId="10" fontId="0" fillId="0" borderId="0" xfId="10" applyNumberFormat="1" applyFont="1"/>
    <xf numFmtId="10" fontId="0" fillId="0" borderId="1" xfId="10" applyNumberFormat="1" applyFont="1" applyBorder="1"/>
  </cellXfs>
  <cellStyles count="11">
    <cellStyle name="20% - Accent3" xfId="6" builtinId="38"/>
    <cellStyle name="20% - Accent4" xfId="7" builtinId="42"/>
    <cellStyle name="20% - Accent5" xfId="8" builtinId="46"/>
    <cellStyle name="40% - Accent1" xfId="4" builtinId="31"/>
    <cellStyle name="40% - Accent2" xfId="5" builtinId="35"/>
    <cellStyle name="40% - Accent4" xfId="9" builtinId="43"/>
    <cellStyle name="Bad" xfId="2" builtinId="27"/>
    <cellStyle name="Good" xfId="1" builtinId="26"/>
    <cellStyle name="Neutral" xfId="3" builtinId="28"/>
    <cellStyle name="Normal" xfId="0" builtinId="0"/>
    <cellStyle name="Percent" xfId="10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[r]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Sheet1!$F$2:$F$4</c:f>
              <c:strCache>
                <c:ptCount val="3"/>
                <c:pt idx="0">
                  <c:v>[ɻ]</c:v>
                </c:pt>
                <c:pt idx="1">
                  <c:v>[-]</c:v>
                </c:pt>
                <c:pt idx="2">
                  <c:v>[l]</c:v>
                </c:pt>
              </c:strCache>
            </c:strRef>
          </c:cat>
          <c:val>
            <c:numRef>
              <c:f>Sheet1!$G$2:$G$4</c:f>
              <c:numCache>
                <c:formatCode>General</c:formatCode>
                <c:ptCount val="3"/>
                <c:pt idx="0">
                  <c:v>3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F9-4EFA-8ACC-58E1CF086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0099904"/>
        <c:axId val="770096160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Sheet1!$F$2:$F$4</c:f>
              <c:strCache>
                <c:ptCount val="3"/>
                <c:pt idx="0">
                  <c:v>[ɻ]</c:v>
                </c:pt>
                <c:pt idx="1">
                  <c:v>[-]</c:v>
                </c:pt>
                <c:pt idx="2">
                  <c:v>[l]</c:v>
                </c:pt>
              </c:strCache>
            </c:strRef>
          </c:cat>
          <c:val>
            <c:numRef>
              <c:f>Sheet1!$H$2:$H$4</c:f>
              <c:numCache>
                <c:formatCode>0.00%</c:formatCode>
                <c:ptCount val="3"/>
                <c:pt idx="0">
                  <c:v>5.7692307692307696E-2</c:v>
                </c:pt>
                <c:pt idx="1">
                  <c:v>3.8461538461538464E-2</c:v>
                </c:pt>
                <c:pt idx="2">
                  <c:v>1.9230769230769232E-2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F9-4EFA-8ACC-58E1CF086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0101568"/>
        <c:axId val="770097824"/>
      </c:lineChart>
      <c:catAx>
        <c:axId val="77009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096160"/>
        <c:crosses val="autoZero"/>
        <c:auto val="1"/>
        <c:lblAlgn val="ctr"/>
        <c:lblOffset val="100"/>
        <c:noMultiLvlLbl val="0"/>
      </c:catAx>
      <c:valAx>
        <c:axId val="77009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099904"/>
        <c:crosses val="autoZero"/>
        <c:crossBetween val="between"/>
      </c:valAx>
      <c:valAx>
        <c:axId val="770097824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101568"/>
        <c:crosses val="max"/>
        <c:crossBetween val="between"/>
      </c:valAx>
      <c:catAx>
        <c:axId val="7701015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7009782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[l]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Sheet1!$F$6</c:f>
              <c:strCache>
                <c:ptCount val="1"/>
                <c:pt idx="0">
                  <c:v>[r]</c:v>
                </c:pt>
              </c:strCache>
            </c:strRef>
          </c:cat>
          <c:val>
            <c:numRef>
              <c:f>Sheet1!$G$6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BA-44B3-98D8-E144E1A93A7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Sheet1!$F$6</c:f>
              <c:strCache>
                <c:ptCount val="1"/>
                <c:pt idx="0">
                  <c:v>[r]</c:v>
                </c:pt>
              </c:strCache>
            </c:strRef>
          </c:cat>
          <c:val>
            <c:numRef>
              <c:f>Sheet1!$H$6</c:f>
              <c:numCache>
                <c:formatCode>0.00%</c:formatCode>
                <c:ptCount val="1"/>
                <c:pt idx="0">
                  <c:v>2.1505376344086023E-2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BA-44B3-98D8-E144E1A93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7910240"/>
        <c:axId val="757912736"/>
      </c:barChart>
      <c:catAx>
        <c:axId val="757910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912736"/>
        <c:crosses val="autoZero"/>
        <c:auto val="1"/>
        <c:lblAlgn val="ctr"/>
        <c:lblOffset val="100"/>
        <c:noMultiLvlLbl val="0"/>
      </c:catAx>
      <c:valAx>
        <c:axId val="75791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91024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[s]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Sheet1!$F$8</c:f>
              <c:strCache>
                <c:ptCount val="1"/>
                <c:pt idx="0">
                  <c:v>[θ]</c:v>
                </c:pt>
              </c:strCache>
            </c:strRef>
          </c:cat>
          <c:val>
            <c:numRef>
              <c:f>Sheet1!$G$8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DF-46DD-8F6A-A95AC38481D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Sheet1!$F$8</c:f>
              <c:strCache>
                <c:ptCount val="1"/>
                <c:pt idx="0">
                  <c:v>[θ]</c:v>
                </c:pt>
              </c:strCache>
            </c:strRef>
          </c:cat>
          <c:val>
            <c:numRef>
              <c:f>Sheet1!$H$8</c:f>
              <c:numCache>
                <c:formatCode>0.00%</c:formatCode>
                <c:ptCount val="1"/>
                <c:pt idx="0">
                  <c:v>8.3333333333333329E-2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DF-46DD-8F6A-A95AC3848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8370112"/>
        <c:axId val="768369280"/>
      </c:barChart>
      <c:catAx>
        <c:axId val="76837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369280"/>
        <c:crosses val="autoZero"/>
        <c:auto val="1"/>
        <c:lblAlgn val="ctr"/>
        <c:lblOffset val="100"/>
        <c:noMultiLvlLbl val="0"/>
      </c:catAx>
      <c:valAx>
        <c:axId val="768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3701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[sˤ]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Sheet1!$F$12</c:f>
              <c:strCache>
                <c:ptCount val="1"/>
                <c:pt idx="0">
                  <c:v>[s]</c:v>
                </c:pt>
              </c:strCache>
            </c:strRef>
          </c:cat>
          <c:val>
            <c:numRef>
              <c:f>Sheet1!$G$12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B6-4D22-81F1-A4D4169E519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Sheet1!$F$12</c:f>
              <c:strCache>
                <c:ptCount val="1"/>
                <c:pt idx="0">
                  <c:v>[s]</c:v>
                </c:pt>
              </c:strCache>
            </c:strRef>
          </c:cat>
          <c:val>
            <c:numRef>
              <c:f>Sheet1!$H$12</c:f>
              <c:numCache>
                <c:formatCode>0.00%</c:formatCode>
                <c:ptCount val="1"/>
                <c:pt idx="0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B6-4D22-81F1-A4D4169E5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7902752"/>
        <c:axId val="757917312"/>
      </c:barChart>
      <c:catAx>
        <c:axId val="757902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917312"/>
        <c:crosses val="autoZero"/>
        <c:auto val="1"/>
        <c:lblAlgn val="ctr"/>
        <c:lblOffset val="100"/>
        <c:noMultiLvlLbl val="0"/>
      </c:catAx>
      <c:valAx>
        <c:axId val="75791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9027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[θ</a:t>
            </a:r>
            <a:r>
              <a:rPr lang="en-US"/>
              <a:t>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Sheet1!$F$14</c:f>
              <c:strCache>
                <c:ptCount val="1"/>
                <c:pt idx="0">
                  <c:v>[k]</c:v>
                </c:pt>
              </c:strCache>
            </c:strRef>
          </c:cat>
          <c:val>
            <c:numRef>
              <c:f>Sheet1!$G$14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9B-4EE2-81ED-F6D4156BB77A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Sheet1!$F$14</c:f>
              <c:strCache>
                <c:ptCount val="1"/>
                <c:pt idx="0">
                  <c:v>[k]</c:v>
                </c:pt>
              </c:strCache>
            </c:strRef>
          </c:cat>
          <c:val>
            <c:numRef>
              <c:f>Sheet1!$H$14</c:f>
              <c:numCache>
                <c:formatCode>0.00%</c:formatCode>
                <c:ptCount val="1"/>
                <c:pt idx="0">
                  <c:v>7.1428571428571425E-2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9B-4EE2-81ED-F6D4156BB7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7912320"/>
        <c:axId val="757914400"/>
      </c:barChart>
      <c:catAx>
        <c:axId val="75791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914400"/>
        <c:crosses val="autoZero"/>
        <c:auto val="1"/>
        <c:lblAlgn val="ctr"/>
        <c:lblOffset val="100"/>
        <c:noMultiLvlLbl val="0"/>
      </c:catAx>
      <c:valAx>
        <c:axId val="75791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91232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[ðˤ]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Sheet1!$F$16:$F$17</c:f>
              <c:strCache>
                <c:ptCount val="2"/>
                <c:pt idx="0">
                  <c:v>[d]</c:v>
                </c:pt>
                <c:pt idx="1">
                  <c:v>[tˤ]</c:v>
                </c:pt>
              </c:strCache>
            </c:strRef>
          </c:cat>
          <c:val>
            <c:numRef>
              <c:f>Sheet1!$G$16:$G$17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5D-47A0-A509-EFDC67C1C3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9366544"/>
        <c:axId val="739374032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Sheet1!$F$16:$F$17</c:f>
              <c:strCache>
                <c:ptCount val="2"/>
                <c:pt idx="0">
                  <c:v>[d]</c:v>
                </c:pt>
                <c:pt idx="1">
                  <c:v>[tˤ]</c:v>
                </c:pt>
              </c:strCache>
            </c:strRef>
          </c:cat>
          <c:val>
            <c:numRef>
              <c:f>Sheet1!$H$16:$H$17</c:f>
              <c:numCache>
                <c:formatCode>0.00%</c:formatCode>
                <c:ptCount val="2"/>
                <c:pt idx="0">
                  <c:v>0.66666666666666663</c:v>
                </c:pt>
                <c:pt idx="1">
                  <c:v>0.33333333333333331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5D-47A0-A509-EFDC67C1C3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9366544"/>
        <c:axId val="739374032"/>
      </c:lineChart>
      <c:catAx>
        <c:axId val="739366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374032"/>
        <c:crosses val="autoZero"/>
        <c:auto val="1"/>
        <c:lblAlgn val="ctr"/>
        <c:lblOffset val="100"/>
        <c:noMultiLvlLbl val="0"/>
      </c:catAx>
      <c:valAx>
        <c:axId val="73937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3665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[ð]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Sheet1!$F$19</c:f>
              <c:strCache>
                <c:ptCount val="1"/>
                <c:pt idx="0">
                  <c:v>[d]</c:v>
                </c:pt>
              </c:strCache>
            </c:strRef>
          </c:cat>
          <c:val>
            <c:numRef>
              <c:f>Sheet1!$G$19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35-4BAB-89B8-8F749F4DC90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Sheet1!$F$19</c:f>
              <c:strCache>
                <c:ptCount val="1"/>
                <c:pt idx="0">
                  <c:v>[d]</c:v>
                </c:pt>
              </c:strCache>
            </c:strRef>
          </c:cat>
          <c:val>
            <c:numRef>
              <c:f>Sheet1!$H$19</c:f>
              <c:numCache>
                <c:formatCode>0.00%</c:formatCode>
                <c:ptCount val="1"/>
                <c:pt idx="0">
                  <c:v>0.14285714285714285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35-4BAB-89B8-8F749F4DC9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9363216"/>
        <c:axId val="739367376"/>
      </c:barChart>
      <c:catAx>
        <c:axId val="739363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367376"/>
        <c:crosses val="autoZero"/>
        <c:auto val="1"/>
        <c:lblAlgn val="ctr"/>
        <c:lblOffset val="100"/>
        <c:noMultiLvlLbl val="0"/>
      </c:catAx>
      <c:valAx>
        <c:axId val="73936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36321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[k]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Sheet1!$F$21</c:f>
              <c:strCache>
                <c:ptCount val="1"/>
                <c:pt idx="0">
                  <c:v>[kʰ]</c:v>
                </c:pt>
              </c:strCache>
            </c:strRef>
          </c:cat>
          <c:val>
            <c:numRef>
              <c:f>Sheet1!$G$21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89-42CC-AE56-961A3893286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Sheet1!$F$21</c:f>
              <c:strCache>
                <c:ptCount val="1"/>
                <c:pt idx="0">
                  <c:v>[kʰ]</c:v>
                </c:pt>
              </c:strCache>
            </c:strRef>
          </c:cat>
          <c:val>
            <c:numRef>
              <c:f>Sheet1!$H$21</c:f>
              <c:numCache>
                <c:formatCode>0.00%</c:formatCode>
                <c:ptCount val="1"/>
                <c:pt idx="0">
                  <c:v>0.35714285714285715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89-42CC-AE56-961A38932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9373200"/>
        <c:axId val="739378608"/>
      </c:barChart>
      <c:catAx>
        <c:axId val="739373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378608"/>
        <c:crosses val="autoZero"/>
        <c:auto val="1"/>
        <c:lblAlgn val="ctr"/>
        <c:lblOffset val="100"/>
        <c:noMultiLvlLbl val="0"/>
      </c:catAx>
      <c:valAx>
        <c:axId val="73937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3732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[d͡ʒ]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Sheet1!$F$23:$F$27</c:f>
              <c:strCache>
                <c:ptCount val="5"/>
                <c:pt idx="0">
                  <c:v>[t͡ʃ]</c:v>
                </c:pt>
                <c:pt idx="1">
                  <c:v>[ʒ]</c:v>
                </c:pt>
                <c:pt idx="2">
                  <c:v>[d͡ʒ̥]</c:v>
                </c:pt>
                <c:pt idx="3">
                  <c:v>[q]</c:v>
                </c:pt>
                <c:pt idx="4">
                  <c:v>[ʃ]</c:v>
                </c:pt>
              </c:strCache>
            </c:strRef>
          </c:cat>
          <c:val>
            <c:numRef>
              <c:f>Sheet1!$G$23:$G$27</c:f>
              <c:numCache>
                <c:formatCode>General</c:formatCode>
                <c:ptCount val="5"/>
                <c:pt idx="0">
                  <c:v>6</c:v>
                </c:pt>
                <c:pt idx="1">
                  <c:v>4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A2-47CB-8433-96FCBA3180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9384016"/>
        <c:axId val="739384848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Sheet1!$F$23:$F$27</c:f>
              <c:strCache>
                <c:ptCount val="5"/>
                <c:pt idx="0">
                  <c:v>[t͡ʃ]</c:v>
                </c:pt>
                <c:pt idx="1">
                  <c:v>[ʒ]</c:v>
                </c:pt>
                <c:pt idx="2">
                  <c:v>[d͡ʒ̥]</c:v>
                </c:pt>
                <c:pt idx="3">
                  <c:v>[q]</c:v>
                </c:pt>
                <c:pt idx="4">
                  <c:v>[ʃ]</c:v>
                </c:pt>
              </c:strCache>
            </c:strRef>
          </c:cat>
          <c:val>
            <c:numRef>
              <c:f>Sheet1!$H$23:$H$27</c:f>
              <c:numCache>
                <c:formatCode>0.00%</c:formatCode>
                <c:ptCount val="5"/>
                <c:pt idx="0">
                  <c:v>0.31578947368421051</c:v>
                </c:pt>
                <c:pt idx="1">
                  <c:v>0.21052631578947367</c:v>
                </c:pt>
                <c:pt idx="2">
                  <c:v>0.15789473684210525</c:v>
                </c:pt>
                <c:pt idx="3">
                  <c:v>5.2631578947368418E-2</c:v>
                </c:pt>
                <c:pt idx="4">
                  <c:v>5.2631578947368418E-2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A2-47CB-8433-96FCBA3180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9385680"/>
        <c:axId val="739388592"/>
      </c:lineChart>
      <c:catAx>
        <c:axId val="739384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384848"/>
        <c:crosses val="autoZero"/>
        <c:auto val="1"/>
        <c:lblAlgn val="ctr"/>
        <c:lblOffset val="100"/>
        <c:noMultiLvlLbl val="0"/>
      </c:catAx>
      <c:valAx>
        <c:axId val="73938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384016"/>
        <c:crosses val="autoZero"/>
        <c:crossBetween val="between"/>
      </c:valAx>
      <c:valAx>
        <c:axId val="739388592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385680"/>
        <c:crosses val="max"/>
        <c:crossBetween val="between"/>
      </c:valAx>
      <c:catAx>
        <c:axId val="7393856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39388592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[q]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Sheet1!$F$29</c:f>
              <c:strCache>
                <c:ptCount val="1"/>
                <c:pt idx="0">
                  <c:v>[g]</c:v>
                </c:pt>
              </c:strCache>
            </c:strRef>
          </c:cat>
          <c:val>
            <c:numRef>
              <c:f>Sheet1!$G$29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9F-44B8-A2BC-82DE2B2075A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Sheet1!$F$29</c:f>
              <c:strCache>
                <c:ptCount val="1"/>
                <c:pt idx="0">
                  <c:v>[g]</c:v>
                </c:pt>
              </c:strCache>
            </c:strRef>
          </c:cat>
          <c:val>
            <c:numRef>
              <c:f>Sheet1!$H$29</c:f>
              <c:numCache>
                <c:formatCode>0.00%</c:formatCode>
                <c:ptCount val="1"/>
                <c:pt idx="0">
                  <c:v>0.38461538461538464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9F-44B8-A2BC-82DE2B2075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9365712"/>
        <c:axId val="739378192"/>
      </c:barChart>
      <c:catAx>
        <c:axId val="739365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378192"/>
        <c:crosses val="autoZero"/>
        <c:auto val="1"/>
        <c:lblAlgn val="ctr"/>
        <c:lblOffset val="100"/>
        <c:noMultiLvlLbl val="0"/>
      </c:catAx>
      <c:valAx>
        <c:axId val="73937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3657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[h]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Sheet1!$F$41:$F$43</c:f>
              <c:strCache>
                <c:ptCount val="3"/>
                <c:pt idx="0">
                  <c:v>[ħ]</c:v>
                </c:pt>
                <c:pt idx="1">
                  <c:v>[ħ]</c:v>
                </c:pt>
                <c:pt idx="2">
                  <c:v>[χ]</c:v>
                </c:pt>
              </c:strCache>
            </c:strRef>
          </c:cat>
          <c:val>
            <c:numRef>
              <c:f>Sheet1!$G$41:$G$43</c:f>
              <c:numCache>
                <c:formatCode>General</c:formatCode>
                <c:ptCount val="3"/>
                <c:pt idx="0">
                  <c:v>6</c:v>
                </c:pt>
                <c:pt idx="1">
                  <c:v>5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16-42FF-ADA7-33AF35E1D1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9364880"/>
        <c:axId val="739366960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Sheet1!$F$41:$F$43</c:f>
              <c:strCache>
                <c:ptCount val="3"/>
                <c:pt idx="0">
                  <c:v>[ħ]</c:v>
                </c:pt>
                <c:pt idx="1">
                  <c:v>[ħ]</c:v>
                </c:pt>
                <c:pt idx="2">
                  <c:v>[χ]</c:v>
                </c:pt>
              </c:strCache>
            </c:strRef>
          </c:cat>
          <c:val>
            <c:numRef>
              <c:f>Sheet1!$H$41:$H$43</c:f>
              <c:numCache>
                <c:formatCode>0.00%</c:formatCode>
                <c:ptCount val="3"/>
                <c:pt idx="0">
                  <c:v>0.25</c:v>
                </c:pt>
                <c:pt idx="1">
                  <c:v>0.20833333333333334</c:v>
                </c:pt>
                <c:pt idx="2">
                  <c:v>4.1666666666666664E-2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16-42FF-ADA7-33AF35E1D1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9376528"/>
        <c:axId val="739375280"/>
      </c:lineChart>
      <c:catAx>
        <c:axId val="73936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366960"/>
        <c:crosses val="autoZero"/>
        <c:auto val="1"/>
        <c:lblAlgn val="ctr"/>
        <c:lblOffset val="100"/>
        <c:noMultiLvlLbl val="0"/>
      </c:catAx>
      <c:valAx>
        <c:axId val="73936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364880"/>
        <c:crosses val="autoZero"/>
        <c:crossBetween val="between"/>
      </c:valAx>
      <c:valAx>
        <c:axId val="739375280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376528"/>
        <c:crosses val="max"/>
        <c:crossBetween val="between"/>
      </c:valAx>
      <c:catAx>
        <c:axId val="73937652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39375280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Sheet1!$F$45</c:f>
              <c:strCache>
                <c:ptCount val="1"/>
                <c:pt idx="0">
                  <c:v>[w]</c:v>
                </c:pt>
              </c:strCache>
            </c:strRef>
          </c:cat>
          <c:val>
            <c:numRef>
              <c:f>Sheet1!$G$45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1F-495B-B1B4-7E4D4D8D582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Sheet1!$F$45</c:f>
              <c:strCache>
                <c:ptCount val="1"/>
                <c:pt idx="0">
                  <c:v>[w]</c:v>
                </c:pt>
              </c:strCache>
            </c:strRef>
          </c:cat>
          <c:val>
            <c:numRef>
              <c:f>Sheet1!$H$45</c:f>
              <c:numCache>
                <c:formatCode>0.00%</c:formatCode>
                <c:ptCount val="1"/>
                <c:pt idx="0">
                  <c:v>2.4390243902439025E-2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1F-495B-B1B4-7E4D4D8D58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8368032"/>
        <c:axId val="768371776"/>
      </c:barChart>
      <c:catAx>
        <c:axId val="768368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371776"/>
        <c:crosses val="autoZero"/>
        <c:auto val="1"/>
        <c:lblAlgn val="ctr"/>
        <c:lblOffset val="100"/>
        <c:noMultiLvlLbl val="0"/>
      </c:catAx>
      <c:valAx>
        <c:axId val="76837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36803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[f]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Sheet1!$F$47</c:f>
              <c:strCache>
                <c:ptCount val="1"/>
                <c:pt idx="0">
                  <c:v>[q]</c:v>
                </c:pt>
              </c:strCache>
            </c:strRef>
          </c:cat>
          <c:val>
            <c:numRef>
              <c:f>Sheet1!$G$47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F2-401F-BE8C-C7F2C4F1DCC9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Sheet1!$F$47</c:f>
              <c:strCache>
                <c:ptCount val="1"/>
                <c:pt idx="0">
                  <c:v>[q]</c:v>
                </c:pt>
              </c:strCache>
            </c:strRef>
          </c:cat>
          <c:val>
            <c:numRef>
              <c:f>Sheet1!$H$47</c:f>
              <c:numCache>
                <c:formatCode>0.00%</c:formatCode>
                <c:ptCount val="1"/>
                <c:pt idx="0">
                  <c:v>3.125E-2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F2-401F-BE8C-C7F2C4F1DC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9381520"/>
        <c:axId val="739372784"/>
      </c:barChart>
      <c:catAx>
        <c:axId val="739381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372784"/>
        <c:crosses val="autoZero"/>
        <c:auto val="1"/>
        <c:lblAlgn val="ctr"/>
        <c:lblOffset val="100"/>
        <c:noMultiLvlLbl val="0"/>
      </c:catAx>
      <c:valAx>
        <c:axId val="73937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38152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[[m]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Sheet1!$F$53</c:f>
              <c:strCache>
                <c:ptCount val="1"/>
                <c:pt idx="0">
                  <c:v>[n]</c:v>
                </c:pt>
              </c:strCache>
            </c:strRef>
          </c:cat>
          <c:val>
            <c:numRef>
              <c:f>Sheet1!$G$53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6B-46DA-884C-0DD4A8D5C15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Sheet1!$F$53</c:f>
              <c:strCache>
                <c:ptCount val="1"/>
                <c:pt idx="0">
                  <c:v>[n]</c:v>
                </c:pt>
              </c:strCache>
            </c:strRef>
          </c:cat>
          <c:val>
            <c:numRef>
              <c:f>Sheet1!$H$53</c:f>
              <c:numCache>
                <c:formatCode>0.00%</c:formatCode>
                <c:ptCount val="1"/>
                <c:pt idx="0">
                  <c:v>1.6393442622950821E-2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6B-46DA-884C-0DD4A8D5C1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8380512"/>
        <c:axId val="768375936"/>
      </c:barChart>
      <c:catAx>
        <c:axId val="76838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375936"/>
        <c:crosses val="autoZero"/>
        <c:auto val="1"/>
        <c:lblAlgn val="ctr"/>
        <c:lblOffset val="100"/>
        <c:noMultiLvlLbl val="0"/>
      </c:catAx>
      <c:valAx>
        <c:axId val="76837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3805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[b]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Sheet1!$F$55:$F$56</c:f>
              <c:strCache>
                <c:ptCount val="2"/>
                <c:pt idx="0">
                  <c:v>[pʰ]</c:v>
                </c:pt>
                <c:pt idx="1">
                  <c:v>[p]</c:v>
                </c:pt>
              </c:strCache>
            </c:strRef>
          </c:cat>
          <c:val>
            <c:numRef>
              <c:f>Sheet1!$G$55:$G$56</c:f>
              <c:numCache>
                <c:formatCode>General</c:formatCode>
                <c:ptCount val="2"/>
                <c:pt idx="0">
                  <c:v>3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73-45B3-888D-041E0A0930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7915232"/>
        <c:axId val="757909408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Sheet1!$F$55:$F$56</c:f>
              <c:strCache>
                <c:ptCount val="2"/>
                <c:pt idx="0">
                  <c:v>[pʰ]</c:v>
                </c:pt>
                <c:pt idx="1">
                  <c:v>[p]</c:v>
                </c:pt>
              </c:strCache>
            </c:strRef>
          </c:cat>
          <c:val>
            <c:numRef>
              <c:f>Sheet1!$H$55:$H$56</c:f>
              <c:numCache>
                <c:formatCode>0.00%</c:formatCode>
                <c:ptCount val="2"/>
                <c:pt idx="0">
                  <c:v>9.375E-2</c:v>
                </c:pt>
                <c:pt idx="1">
                  <c:v>3.125E-2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73-45B3-888D-041E0A0930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7911072"/>
        <c:axId val="757913984"/>
      </c:lineChart>
      <c:catAx>
        <c:axId val="757915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909408"/>
        <c:crosses val="autoZero"/>
        <c:auto val="1"/>
        <c:lblAlgn val="ctr"/>
        <c:lblOffset val="100"/>
        <c:noMultiLvlLbl val="0"/>
      </c:catAx>
      <c:valAx>
        <c:axId val="75790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915232"/>
        <c:crosses val="autoZero"/>
        <c:crossBetween val="between"/>
      </c:valAx>
      <c:valAx>
        <c:axId val="757913984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911072"/>
        <c:crosses val="max"/>
        <c:crossBetween val="between"/>
      </c:valAx>
      <c:catAx>
        <c:axId val="7579110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5791398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[tˤ]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Sheet1!$F$58:$F$59</c:f>
              <c:strCache>
                <c:ptCount val="2"/>
                <c:pt idx="0">
                  <c:v>[t]</c:v>
                </c:pt>
                <c:pt idx="1">
                  <c:v>[tˤʰ]</c:v>
                </c:pt>
              </c:strCache>
            </c:strRef>
          </c:cat>
          <c:val>
            <c:numRef>
              <c:f>Sheet1!$G$58:$G$59</c:f>
              <c:numCache>
                <c:formatCode>General</c:formatCode>
                <c:ptCount val="2"/>
                <c:pt idx="0">
                  <c:v>5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F8-4C6B-9FD3-2D407FD121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0087008"/>
        <c:axId val="770093664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Sheet1!$F$58:$F$59</c:f>
              <c:strCache>
                <c:ptCount val="2"/>
                <c:pt idx="0">
                  <c:v>[t]</c:v>
                </c:pt>
                <c:pt idx="1">
                  <c:v>[tˤʰ]</c:v>
                </c:pt>
              </c:strCache>
            </c:strRef>
          </c:cat>
          <c:val>
            <c:numRef>
              <c:f>Sheet1!$H$58:$H$59</c:f>
              <c:numCache>
                <c:formatCode>0.00%</c:formatCode>
                <c:ptCount val="2"/>
                <c:pt idx="0">
                  <c:v>0.35714285714285715</c:v>
                </c:pt>
                <c:pt idx="1">
                  <c:v>7.1428571428571425E-2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F8-4C6B-9FD3-2D407FD121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0094912"/>
        <c:axId val="770087840"/>
      </c:lineChart>
      <c:catAx>
        <c:axId val="770087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093664"/>
        <c:crosses val="autoZero"/>
        <c:auto val="1"/>
        <c:lblAlgn val="ctr"/>
        <c:lblOffset val="100"/>
        <c:noMultiLvlLbl val="0"/>
      </c:catAx>
      <c:valAx>
        <c:axId val="77009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087008"/>
        <c:crosses val="autoZero"/>
        <c:crossBetween val="between"/>
      </c:valAx>
      <c:valAx>
        <c:axId val="770087840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094912"/>
        <c:crosses val="max"/>
        <c:crossBetween val="between"/>
      </c:valAx>
      <c:catAx>
        <c:axId val="7700949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70087840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[t]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Sheet1!$F$61:$F$63</c:f>
              <c:strCache>
                <c:ptCount val="3"/>
                <c:pt idx="0">
                  <c:v>[tʰ]</c:v>
                </c:pt>
                <c:pt idx="1">
                  <c:v>[t͡s]</c:v>
                </c:pt>
                <c:pt idx="2">
                  <c:v>[d]</c:v>
                </c:pt>
              </c:strCache>
            </c:strRef>
          </c:cat>
          <c:val>
            <c:numRef>
              <c:f>Sheet1!$G$61:$G$63</c:f>
              <c:numCache>
                <c:formatCode>General</c:formatCode>
                <c:ptCount val="3"/>
                <c:pt idx="0">
                  <c:v>12</c:v>
                </c:pt>
                <c:pt idx="1">
                  <c:v>3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CB-4A89-AEF3-2DC196AC1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8371360"/>
        <c:axId val="768383008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Sheet1!$F$61:$F$63</c:f>
              <c:strCache>
                <c:ptCount val="3"/>
                <c:pt idx="0">
                  <c:v>[tʰ]</c:v>
                </c:pt>
                <c:pt idx="1">
                  <c:v>[t͡s]</c:v>
                </c:pt>
                <c:pt idx="2">
                  <c:v>[d]</c:v>
                </c:pt>
              </c:strCache>
            </c:strRef>
          </c:cat>
          <c:val>
            <c:numRef>
              <c:f>Sheet1!$H$61:$H$63</c:f>
              <c:numCache>
                <c:formatCode>0.00%</c:formatCode>
                <c:ptCount val="3"/>
                <c:pt idx="0">
                  <c:v>0.2</c:v>
                </c:pt>
                <c:pt idx="1">
                  <c:v>0.05</c:v>
                </c:pt>
                <c:pt idx="2">
                  <c:v>1.6666666666666666E-2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CB-4A89-AEF3-2DC196AC1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8373440"/>
        <c:axId val="768369696"/>
      </c:lineChart>
      <c:catAx>
        <c:axId val="768371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383008"/>
        <c:crosses val="autoZero"/>
        <c:auto val="1"/>
        <c:lblAlgn val="ctr"/>
        <c:lblOffset val="100"/>
        <c:noMultiLvlLbl val="0"/>
      </c:catAx>
      <c:valAx>
        <c:axId val="76838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371360"/>
        <c:crosses val="autoZero"/>
        <c:crossBetween val="between"/>
      </c:valAx>
      <c:valAx>
        <c:axId val="768369696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373440"/>
        <c:crosses val="max"/>
        <c:crossBetween val="between"/>
      </c:valAx>
      <c:catAx>
        <c:axId val="7683734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68369696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Sheet1!$F$65:$F$67</c:f>
              <c:strCache>
                <c:ptCount val="3"/>
                <c:pt idx="0">
                  <c:v>[tʰ]</c:v>
                </c:pt>
                <c:pt idx="1">
                  <c:v>[t]</c:v>
                </c:pt>
                <c:pt idx="2">
                  <c:v>[d̥]</c:v>
                </c:pt>
              </c:strCache>
            </c:strRef>
          </c:cat>
          <c:val>
            <c:numRef>
              <c:f>Sheet1!$G$65:$G$67</c:f>
              <c:numCache>
                <c:formatCode>General</c:formatCode>
                <c:ptCount val="3"/>
                <c:pt idx="0">
                  <c:v>3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78-4D07-8320-E96B2EE00B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0089504"/>
        <c:axId val="770098656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Sheet1!$F$65:$F$67</c:f>
              <c:strCache>
                <c:ptCount val="3"/>
                <c:pt idx="0">
                  <c:v>[tʰ]</c:v>
                </c:pt>
                <c:pt idx="1">
                  <c:v>[t]</c:v>
                </c:pt>
                <c:pt idx="2">
                  <c:v>[d̥]</c:v>
                </c:pt>
              </c:strCache>
            </c:strRef>
          </c:cat>
          <c:val>
            <c:numRef>
              <c:f>Sheet1!$H$65:$H$67</c:f>
              <c:numCache>
                <c:formatCode>0.00%</c:formatCode>
                <c:ptCount val="3"/>
                <c:pt idx="0">
                  <c:v>0.16666666666666666</c:v>
                </c:pt>
                <c:pt idx="1">
                  <c:v>0.1111111111111111</c:v>
                </c:pt>
                <c:pt idx="2">
                  <c:v>5.5555555555555552E-2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78-4D07-8320-E96B2EE00B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0091584"/>
        <c:axId val="770091168"/>
      </c:lineChart>
      <c:catAx>
        <c:axId val="770089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098656"/>
        <c:crosses val="autoZero"/>
        <c:auto val="1"/>
        <c:lblAlgn val="ctr"/>
        <c:lblOffset val="100"/>
        <c:noMultiLvlLbl val="0"/>
      </c:catAx>
      <c:valAx>
        <c:axId val="77009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089504"/>
        <c:crosses val="autoZero"/>
        <c:crossBetween val="between"/>
      </c:valAx>
      <c:valAx>
        <c:axId val="770091168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091584"/>
        <c:crosses val="max"/>
        <c:crossBetween val="between"/>
      </c:valAx>
      <c:catAx>
        <c:axId val="7700915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70091168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[dˤ]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Sheet1!$F$69:$F$70</c:f>
              <c:strCache>
                <c:ptCount val="2"/>
                <c:pt idx="0">
                  <c:v>[d]</c:v>
                </c:pt>
                <c:pt idx="1">
                  <c:v>[tˤ]</c:v>
                </c:pt>
              </c:strCache>
            </c:strRef>
          </c:cat>
          <c:val>
            <c:numRef>
              <c:f>Sheet1!$G$69:$G$70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91-4376-A131-41B12066B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9376944"/>
        <c:axId val="739377360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Sheet1!$F$69:$F$70</c:f>
              <c:strCache>
                <c:ptCount val="2"/>
                <c:pt idx="0">
                  <c:v>[d]</c:v>
                </c:pt>
                <c:pt idx="1">
                  <c:v>[tˤ]</c:v>
                </c:pt>
              </c:strCache>
            </c:strRef>
          </c:cat>
          <c:val>
            <c:numRef>
              <c:f>Sheet1!$H$69:$H$70</c:f>
              <c:numCache>
                <c:formatCode>0.00%</c:formatCode>
                <c:ptCount val="2"/>
                <c:pt idx="0">
                  <c:v>0.14285714285714285</c:v>
                </c:pt>
                <c:pt idx="1">
                  <c:v>0.14285714285714285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91-4376-A131-41B12066B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9376944"/>
        <c:axId val="739377360"/>
      </c:lineChart>
      <c:catAx>
        <c:axId val="739376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377360"/>
        <c:crosses val="autoZero"/>
        <c:auto val="1"/>
        <c:lblAlgn val="ctr"/>
        <c:lblOffset val="100"/>
        <c:noMultiLvlLbl val="0"/>
      </c:catAx>
      <c:valAx>
        <c:axId val="73937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3769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[w]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Sheet1!$F$72</c:f>
              <c:strCache>
                <c:ptCount val="1"/>
                <c:pt idx="0">
                  <c:v>[ʕ]</c:v>
                </c:pt>
              </c:strCache>
            </c:strRef>
          </c:cat>
          <c:val>
            <c:numRef>
              <c:f>Sheet1!$G$72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CE-4A75-8DD7-5C68B1DEF25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Sheet1!$F$72</c:f>
              <c:strCache>
                <c:ptCount val="1"/>
                <c:pt idx="0">
                  <c:v>[ʕ]</c:v>
                </c:pt>
              </c:strCache>
            </c:strRef>
          </c:cat>
          <c:val>
            <c:numRef>
              <c:f>Sheet1!$H$72</c:f>
              <c:numCache>
                <c:formatCode>0.00%</c:formatCode>
                <c:ptCount val="1"/>
                <c:pt idx="0">
                  <c:v>2.8571428571428571E-2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CE-4A75-8DD7-5C68B1DEF2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8289440"/>
        <c:axId val="898284032"/>
      </c:barChart>
      <c:catAx>
        <c:axId val="89828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284032"/>
        <c:crosses val="autoZero"/>
        <c:auto val="1"/>
        <c:lblAlgn val="ctr"/>
        <c:lblOffset val="100"/>
        <c:noMultiLvlLbl val="0"/>
      </c:catAx>
      <c:valAx>
        <c:axId val="89828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28944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Syllable</a:t>
            </a:r>
            <a:r>
              <a:rPr lang="en-US" baseline="0"/>
              <a:t> structure processes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Sheet2!$C$2:$C$11</c:f>
              <c:strCache>
                <c:ptCount val="10"/>
                <c:pt idx="0">
                  <c:v>degemination(reduce consonant cluster to one single consonant)</c:v>
                </c:pt>
                <c:pt idx="1">
                  <c:v>Epenthesis(insertion of [ ɑ] phone between consonant cluster)</c:v>
                </c:pt>
                <c:pt idx="2">
                  <c:v>Epenthesis(insertion of [ æ] phone between consonant cluster)</c:v>
                </c:pt>
                <c:pt idx="3">
                  <c:v>Epenthesis(insertion of [ɪ] phone between consonant cluster)</c:v>
                </c:pt>
                <c:pt idx="4">
                  <c:v>syllable structure process(final syllable deletion)</c:v>
                </c:pt>
                <c:pt idx="5">
                  <c:v>Metathesis</c:v>
                </c:pt>
                <c:pt idx="6">
                  <c:v>Nasal assimilation</c:v>
                </c:pt>
                <c:pt idx="7">
                  <c:v>syllable structure process (consonant insertion of  [j] phone)</c:v>
                </c:pt>
                <c:pt idx="8">
                  <c:v>syllable structure process (syllable insertion of  [tæ] phones )</c:v>
                </c:pt>
                <c:pt idx="9">
                  <c:v>Vowel  nasalization</c:v>
                </c:pt>
              </c:strCache>
            </c:strRef>
          </c:cat>
          <c:val>
            <c:numRef>
              <c:f>Sheet2!$D$2:$D$11</c:f>
              <c:numCache>
                <c:formatCode>General</c:formatCode>
                <c:ptCount val="10"/>
                <c:pt idx="0">
                  <c:v>8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E9-44C5-A7C7-80A61F41B5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2173407"/>
        <c:axId val="2112183807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F0E9-44C5-A7C7-80A61F41B5F6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F0E9-44C5-A7C7-80A61F41B5F6}"/>
              </c:ext>
            </c:extLst>
          </c:dPt>
          <c:cat>
            <c:strRef>
              <c:f>Sheet2!$C$2:$C$11</c:f>
              <c:strCache>
                <c:ptCount val="10"/>
                <c:pt idx="0">
                  <c:v>degemination(reduce consonant cluster to one single consonant)</c:v>
                </c:pt>
                <c:pt idx="1">
                  <c:v>Epenthesis(insertion of [ ɑ] phone between consonant cluster)</c:v>
                </c:pt>
                <c:pt idx="2">
                  <c:v>Epenthesis(insertion of [ æ] phone between consonant cluster)</c:v>
                </c:pt>
                <c:pt idx="3">
                  <c:v>Epenthesis(insertion of [ɪ] phone between consonant cluster)</c:v>
                </c:pt>
                <c:pt idx="4">
                  <c:v>syllable structure process(final syllable deletion)</c:v>
                </c:pt>
                <c:pt idx="5">
                  <c:v>Metathesis</c:v>
                </c:pt>
                <c:pt idx="6">
                  <c:v>Nasal assimilation</c:v>
                </c:pt>
                <c:pt idx="7">
                  <c:v>syllable structure process (consonant insertion of  [j] phone)</c:v>
                </c:pt>
                <c:pt idx="8">
                  <c:v>syllable structure process (syllable insertion of  [tæ] phones )</c:v>
                </c:pt>
                <c:pt idx="9">
                  <c:v>Vowel  nasalization</c:v>
                </c:pt>
              </c:strCache>
            </c:strRef>
          </c:cat>
          <c:val>
            <c:numRef>
              <c:f>Sheet2!$E$2:$E$11</c:f>
              <c:numCache>
                <c:formatCode>0.00%</c:formatCode>
                <c:ptCount val="10"/>
                <c:pt idx="0">
                  <c:v>0.2</c:v>
                </c:pt>
                <c:pt idx="1">
                  <c:v>2.8169014084507043E-2</c:v>
                </c:pt>
                <c:pt idx="2">
                  <c:v>1.4084507042253521E-2</c:v>
                </c:pt>
                <c:pt idx="3">
                  <c:v>1.4084507042253521E-2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E9-44C5-A7C7-80A61F41B5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2180479"/>
        <c:axId val="2112185887"/>
      </c:lineChart>
      <c:catAx>
        <c:axId val="211217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183807"/>
        <c:crosses val="autoZero"/>
        <c:auto val="1"/>
        <c:lblAlgn val="ctr"/>
        <c:lblOffset val="100"/>
        <c:noMultiLvlLbl val="0"/>
      </c:catAx>
      <c:valAx>
        <c:axId val="2112183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173407"/>
        <c:crosses val="autoZero"/>
        <c:crossBetween val="between"/>
      </c:valAx>
      <c:valAx>
        <c:axId val="2112185887"/>
        <c:scaling>
          <c:orientation val="minMax"/>
        </c:scaling>
        <c:delete val="1"/>
        <c:axPos val="r"/>
        <c:numFmt formatCode="0.00%" sourceLinked="1"/>
        <c:majorTickMark val="none"/>
        <c:minorTickMark val="none"/>
        <c:tickLblPos val="nextTo"/>
        <c:crossAx val="2112180479"/>
        <c:crosses val="max"/>
        <c:crossBetween val="between"/>
      </c:valAx>
      <c:catAx>
        <c:axId val="211218047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112185887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83820</xdr:colOff>
      <xdr:row>1</xdr:row>
      <xdr:rowOff>106680</xdr:rowOff>
    </xdr:from>
    <xdr:to>
      <xdr:col>15</xdr:col>
      <xdr:colOff>388620</xdr:colOff>
      <xdr:row>3</xdr:row>
      <xdr:rowOff>822960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7620</xdr:colOff>
      <xdr:row>5</xdr:row>
      <xdr:rowOff>45720</xdr:rowOff>
    </xdr:from>
    <xdr:to>
      <xdr:col>15</xdr:col>
      <xdr:colOff>312420</xdr:colOff>
      <xdr:row>5</xdr:row>
      <xdr:rowOff>2316480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7620</xdr:colOff>
      <xdr:row>7</xdr:row>
      <xdr:rowOff>30480</xdr:rowOff>
    </xdr:from>
    <xdr:to>
      <xdr:col>15</xdr:col>
      <xdr:colOff>312420</xdr:colOff>
      <xdr:row>7</xdr:row>
      <xdr:rowOff>1630680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68580</xdr:colOff>
      <xdr:row>11</xdr:row>
      <xdr:rowOff>91440</xdr:rowOff>
    </xdr:from>
    <xdr:to>
      <xdr:col>15</xdr:col>
      <xdr:colOff>373380</xdr:colOff>
      <xdr:row>11</xdr:row>
      <xdr:rowOff>1592580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60960</xdr:colOff>
      <xdr:row>13</xdr:row>
      <xdr:rowOff>22860</xdr:rowOff>
    </xdr:from>
    <xdr:to>
      <xdr:col>15</xdr:col>
      <xdr:colOff>365760</xdr:colOff>
      <xdr:row>13</xdr:row>
      <xdr:rowOff>1630680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83820</xdr:colOff>
      <xdr:row>15</xdr:row>
      <xdr:rowOff>30480</xdr:rowOff>
    </xdr:from>
    <xdr:to>
      <xdr:col>15</xdr:col>
      <xdr:colOff>388620</xdr:colOff>
      <xdr:row>16</xdr:row>
      <xdr:rowOff>944880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99060</xdr:colOff>
      <xdr:row>18</xdr:row>
      <xdr:rowOff>45720</xdr:rowOff>
    </xdr:from>
    <xdr:to>
      <xdr:col>15</xdr:col>
      <xdr:colOff>350520</xdr:colOff>
      <xdr:row>18</xdr:row>
      <xdr:rowOff>1988820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76200</xdr:colOff>
      <xdr:row>20</xdr:row>
      <xdr:rowOff>30480</xdr:rowOff>
    </xdr:from>
    <xdr:to>
      <xdr:col>15</xdr:col>
      <xdr:colOff>381000</xdr:colOff>
      <xdr:row>20</xdr:row>
      <xdr:rowOff>1965960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106680</xdr:colOff>
      <xdr:row>22</xdr:row>
      <xdr:rowOff>182880</xdr:rowOff>
    </xdr:from>
    <xdr:to>
      <xdr:col>15</xdr:col>
      <xdr:colOff>411480</xdr:colOff>
      <xdr:row>26</xdr:row>
      <xdr:rowOff>868680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121920</xdr:colOff>
      <xdr:row>28</xdr:row>
      <xdr:rowOff>30480</xdr:rowOff>
    </xdr:from>
    <xdr:to>
      <xdr:col>15</xdr:col>
      <xdr:colOff>426720</xdr:colOff>
      <xdr:row>28</xdr:row>
      <xdr:rowOff>1981200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99060</xdr:colOff>
      <xdr:row>40</xdr:row>
      <xdr:rowOff>167640</xdr:rowOff>
    </xdr:from>
    <xdr:to>
      <xdr:col>15</xdr:col>
      <xdr:colOff>403860</xdr:colOff>
      <xdr:row>42</xdr:row>
      <xdr:rowOff>883920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45720</xdr:colOff>
      <xdr:row>44</xdr:row>
      <xdr:rowOff>30480</xdr:rowOff>
    </xdr:from>
    <xdr:to>
      <xdr:col>15</xdr:col>
      <xdr:colOff>350520</xdr:colOff>
      <xdr:row>44</xdr:row>
      <xdr:rowOff>1874520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83820</xdr:colOff>
      <xdr:row>46</xdr:row>
      <xdr:rowOff>45720</xdr:rowOff>
    </xdr:from>
    <xdr:to>
      <xdr:col>15</xdr:col>
      <xdr:colOff>388620</xdr:colOff>
      <xdr:row>46</xdr:row>
      <xdr:rowOff>2042160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53340</xdr:colOff>
      <xdr:row>52</xdr:row>
      <xdr:rowOff>30480</xdr:rowOff>
    </xdr:from>
    <xdr:to>
      <xdr:col>15</xdr:col>
      <xdr:colOff>358140</xdr:colOff>
      <xdr:row>52</xdr:row>
      <xdr:rowOff>1706880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</xdr:col>
      <xdr:colOff>83820</xdr:colOff>
      <xdr:row>54</xdr:row>
      <xdr:rowOff>38100</xdr:rowOff>
    </xdr:from>
    <xdr:to>
      <xdr:col>15</xdr:col>
      <xdr:colOff>388620</xdr:colOff>
      <xdr:row>55</xdr:row>
      <xdr:rowOff>952500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8</xdr:col>
      <xdr:colOff>53340</xdr:colOff>
      <xdr:row>57</xdr:row>
      <xdr:rowOff>53340</xdr:rowOff>
    </xdr:from>
    <xdr:to>
      <xdr:col>15</xdr:col>
      <xdr:colOff>358140</xdr:colOff>
      <xdr:row>58</xdr:row>
      <xdr:rowOff>944880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8</xdr:col>
      <xdr:colOff>83820</xdr:colOff>
      <xdr:row>60</xdr:row>
      <xdr:rowOff>45720</xdr:rowOff>
    </xdr:from>
    <xdr:to>
      <xdr:col>15</xdr:col>
      <xdr:colOff>388620</xdr:colOff>
      <xdr:row>62</xdr:row>
      <xdr:rowOff>929640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8</xdr:col>
      <xdr:colOff>99060</xdr:colOff>
      <xdr:row>64</xdr:row>
      <xdr:rowOff>38100</xdr:rowOff>
    </xdr:from>
    <xdr:to>
      <xdr:col>15</xdr:col>
      <xdr:colOff>403860</xdr:colOff>
      <xdr:row>66</xdr:row>
      <xdr:rowOff>906780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8</xdr:col>
      <xdr:colOff>83820</xdr:colOff>
      <xdr:row>68</xdr:row>
      <xdr:rowOff>15240</xdr:rowOff>
    </xdr:from>
    <xdr:to>
      <xdr:col>15</xdr:col>
      <xdr:colOff>388620</xdr:colOff>
      <xdr:row>69</xdr:row>
      <xdr:rowOff>1112520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8</xdr:col>
      <xdr:colOff>99060</xdr:colOff>
      <xdr:row>71</xdr:row>
      <xdr:rowOff>60960</xdr:rowOff>
    </xdr:from>
    <xdr:to>
      <xdr:col>15</xdr:col>
      <xdr:colOff>403860</xdr:colOff>
      <xdr:row>71</xdr:row>
      <xdr:rowOff>1943100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228600</xdr:colOff>
      <xdr:row>1</xdr:row>
      <xdr:rowOff>38100</xdr:rowOff>
    </xdr:from>
    <xdr:to>
      <xdr:col>14</xdr:col>
      <xdr:colOff>449580</xdr:colOff>
      <xdr:row>11</xdr:row>
      <xdr:rowOff>160020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77"/>
  <sheetViews>
    <sheetView zoomScaleNormal="100" workbookViewId="0">
      <selection activeCell="E3" sqref="E3"/>
    </sheetView>
  </sheetViews>
  <sheetFormatPr defaultRowHeight="14.4" outlineLevelRow="2" x14ac:dyDescent="0.3"/>
  <cols>
    <col min="2" max="2" width="11.21875" customWidth="1"/>
    <col min="3" max="4" width="10.33203125" customWidth="1"/>
    <col min="5" max="5" width="36.21875" style="1" customWidth="1"/>
    <col min="6" max="7" width="6.21875" customWidth="1"/>
    <col min="8" max="8" width="9.5546875" style="75" customWidth="1"/>
  </cols>
  <sheetData>
    <row r="1" spans="2:8" s="61" customFormat="1" ht="63" customHeight="1" thickTop="1" thickBot="1" x14ac:dyDescent="0.45">
      <c r="B1" s="58" t="s">
        <v>109</v>
      </c>
      <c r="C1" s="58" t="s">
        <v>110</v>
      </c>
      <c r="D1" s="58" t="s">
        <v>111</v>
      </c>
      <c r="E1" s="59" t="s">
        <v>112</v>
      </c>
      <c r="F1" s="59" t="s">
        <v>113</v>
      </c>
      <c r="G1" s="59" t="s">
        <v>114</v>
      </c>
      <c r="H1" s="60" t="s">
        <v>115</v>
      </c>
    </row>
    <row r="2" spans="2:8" ht="79.95" customHeight="1" outlineLevel="2" thickTop="1" thickBot="1" x14ac:dyDescent="0.35">
      <c r="B2" s="89" t="s">
        <v>67</v>
      </c>
      <c r="C2" s="88">
        <v>52</v>
      </c>
      <c r="D2" s="88" t="s">
        <v>65</v>
      </c>
      <c r="E2" s="14" t="s">
        <v>2</v>
      </c>
      <c r="F2" s="13" t="s">
        <v>116</v>
      </c>
      <c r="G2" s="13">
        <v>3</v>
      </c>
      <c r="H2" s="62">
        <f>G2/52</f>
        <v>5.7692307692307696E-2</v>
      </c>
    </row>
    <row r="3" spans="2:8" ht="79.95" customHeight="1" outlineLevel="2" thickTop="1" thickBot="1" x14ac:dyDescent="0.35">
      <c r="B3" s="89"/>
      <c r="C3" s="88"/>
      <c r="D3" s="88"/>
      <c r="E3" s="12" t="s">
        <v>33</v>
      </c>
      <c r="F3" s="13" t="s">
        <v>143</v>
      </c>
      <c r="G3" s="13">
        <v>2</v>
      </c>
      <c r="H3" s="62">
        <f t="shared" ref="H3:H4" si="0">G3/52</f>
        <v>3.8461538461538464E-2</v>
      </c>
    </row>
    <row r="4" spans="2:8" ht="79.95" customHeight="1" outlineLevel="2" thickTop="1" thickBot="1" x14ac:dyDescent="0.35">
      <c r="B4" s="89"/>
      <c r="C4" s="88"/>
      <c r="D4" s="88"/>
      <c r="E4" s="12" t="s">
        <v>101</v>
      </c>
      <c r="F4" s="13" t="s">
        <v>118</v>
      </c>
      <c r="G4" s="13">
        <v>1</v>
      </c>
      <c r="H4" s="62">
        <f t="shared" si="0"/>
        <v>1.9230769230769232E-2</v>
      </c>
    </row>
    <row r="5" spans="2:8" ht="19.8" customHeight="1" outlineLevel="1" thickTop="1" thickBot="1" x14ac:dyDescent="0.35">
      <c r="B5" s="76" t="s">
        <v>145</v>
      </c>
      <c r="C5" s="37">
        <f>SUBTOTAL(9,C2:C4)</f>
        <v>52</v>
      </c>
      <c r="D5" s="37"/>
      <c r="E5" s="12"/>
      <c r="F5" s="13"/>
      <c r="G5" s="13">
        <f>SUBTOTAL(9,G2:G4)</f>
        <v>6</v>
      </c>
      <c r="H5" s="62">
        <f>SUBTOTAL(9,H2:H4)</f>
        <v>0.11538461538461539</v>
      </c>
    </row>
    <row r="6" spans="2:8" ht="185.4" customHeight="1" outlineLevel="2" thickTop="1" thickBot="1" x14ac:dyDescent="0.35">
      <c r="B6" s="15" t="s">
        <v>68</v>
      </c>
      <c r="C6" s="16">
        <v>93</v>
      </c>
      <c r="D6" s="16" t="s">
        <v>66</v>
      </c>
      <c r="E6" s="17" t="s">
        <v>3</v>
      </c>
      <c r="F6" s="18" t="s">
        <v>117</v>
      </c>
      <c r="G6" s="18">
        <v>2</v>
      </c>
      <c r="H6" s="63">
        <f>G6/C6</f>
        <v>2.1505376344086023E-2</v>
      </c>
    </row>
    <row r="7" spans="2:8" ht="17.399999999999999" customHeight="1" outlineLevel="1" thickTop="1" thickBot="1" x14ac:dyDescent="0.35">
      <c r="B7" s="77" t="s">
        <v>146</v>
      </c>
      <c r="C7" s="53">
        <f>SUBTOTAL(9,C6:C6)</f>
        <v>93</v>
      </c>
      <c r="D7" s="53"/>
      <c r="E7" s="17"/>
      <c r="F7" s="18"/>
      <c r="G7" s="18">
        <f>SUBTOTAL(9,G6:G6)</f>
        <v>2</v>
      </c>
      <c r="H7" s="63">
        <f>SUBTOTAL(9,H6:H6)</f>
        <v>2.1505376344086023E-2</v>
      </c>
    </row>
    <row r="8" spans="2:8" ht="135" customHeight="1" outlineLevel="2" thickTop="1" thickBot="1" x14ac:dyDescent="0.35">
      <c r="B8" s="19" t="s">
        <v>69</v>
      </c>
      <c r="C8" s="20">
        <v>12</v>
      </c>
      <c r="D8" s="20" t="s">
        <v>39</v>
      </c>
      <c r="E8" s="21" t="s">
        <v>34</v>
      </c>
      <c r="F8" s="22" t="s">
        <v>119</v>
      </c>
      <c r="G8" s="22">
        <v>1</v>
      </c>
      <c r="H8" s="64">
        <f>G8/C8</f>
        <v>8.3333333333333329E-2</v>
      </c>
    </row>
    <row r="9" spans="2:8" ht="28.2" customHeight="1" outlineLevel="1" thickTop="1" thickBot="1" x14ac:dyDescent="0.35">
      <c r="B9" s="78" t="s">
        <v>147</v>
      </c>
      <c r="C9" s="34">
        <f>SUBTOTAL(9,C8:C8)</f>
        <v>12</v>
      </c>
      <c r="D9" s="34"/>
      <c r="E9" s="21"/>
      <c r="F9" s="22"/>
      <c r="G9" s="22">
        <f>SUBTOTAL(9,G8:G8)</f>
        <v>1</v>
      </c>
      <c r="H9" s="64">
        <f>SUBTOTAL(9,H8:H8)</f>
        <v>8.3333333333333329E-2</v>
      </c>
    </row>
    <row r="10" spans="2:8" ht="13.2" customHeight="1" outlineLevel="2" thickTop="1" thickBot="1" x14ac:dyDescent="0.35">
      <c r="B10" s="23" t="s">
        <v>70</v>
      </c>
      <c r="C10" s="24">
        <v>1</v>
      </c>
      <c r="D10" s="24" t="s">
        <v>40</v>
      </c>
      <c r="E10" s="25" t="s">
        <v>13</v>
      </c>
      <c r="F10" s="26" t="s">
        <v>120</v>
      </c>
      <c r="G10" s="26">
        <v>0</v>
      </c>
      <c r="H10" s="65">
        <v>0</v>
      </c>
    </row>
    <row r="11" spans="2:8" ht="13.2" customHeight="1" outlineLevel="1" thickTop="1" thickBot="1" x14ac:dyDescent="0.35">
      <c r="B11" s="79" t="s">
        <v>148</v>
      </c>
      <c r="C11" s="24">
        <f>SUBTOTAL(9,C10:C10)</f>
        <v>1</v>
      </c>
      <c r="D11" s="24"/>
      <c r="E11" s="25"/>
      <c r="F11" s="26"/>
      <c r="G11" s="26">
        <f>SUBTOTAL(9,G10:G10)</f>
        <v>0</v>
      </c>
      <c r="H11" s="65">
        <f>SUBTOTAL(9,H10:H10)</f>
        <v>0</v>
      </c>
    </row>
    <row r="12" spans="2:8" ht="129.6" customHeight="1" outlineLevel="2" thickTop="1" thickBot="1" x14ac:dyDescent="0.35">
      <c r="B12" s="15" t="s">
        <v>71</v>
      </c>
      <c r="C12" s="16">
        <v>12</v>
      </c>
      <c r="D12" s="16" t="s">
        <v>41</v>
      </c>
      <c r="E12" s="27" t="s">
        <v>14</v>
      </c>
      <c r="F12" s="28" t="s">
        <v>121</v>
      </c>
      <c r="G12" s="28">
        <v>2</v>
      </c>
      <c r="H12" s="66">
        <f>G12/C12</f>
        <v>0.16666666666666666</v>
      </c>
    </row>
    <row r="13" spans="2:8" ht="18" customHeight="1" outlineLevel="1" thickTop="1" thickBot="1" x14ac:dyDescent="0.35">
      <c r="B13" s="77" t="s">
        <v>149</v>
      </c>
      <c r="C13" s="53">
        <f>SUBTOTAL(9,C12:C12)</f>
        <v>12</v>
      </c>
      <c r="D13" s="53"/>
      <c r="E13" s="27"/>
      <c r="F13" s="28"/>
      <c r="G13" s="28">
        <f>SUBTOTAL(9,G12:G12)</f>
        <v>2</v>
      </c>
      <c r="H13" s="66">
        <f>SUBTOTAL(9,H12:H12)</f>
        <v>0.16666666666666666</v>
      </c>
    </row>
    <row r="14" spans="2:8" ht="133.80000000000001" customHeight="1" outlineLevel="2" thickTop="1" thickBot="1" x14ac:dyDescent="0.35">
      <c r="B14" s="19" t="s">
        <v>72</v>
      </c>
      <c r="C14" s="20">
        <v>14</v>
      </c>
      <c r="D14" s="20" t="s">
        <v>42</v>
      </c>
      <c r="E14" s="29" t="s">
        <v>108</v>
      </c>
      <c r="F14" s="30" t="s">
        <v>122</v>
      </c>
      <c r="G14" s="30">
        <v>1</v>
      </c>
      <c r="H14" s="67">
        <f>G14/C14</f>
        <v>7.1428571428571425E-2</v>
      </c>
    </row>
    <row r="15" spans="2:8" ht="22.8" customHeight="1" outlineLevel="1" thickTop="1" thickBot="1" x14ac:dyDescent="0.35">
      <c r="B15" s="78" t="s">
        <v>150</v>
      </c>
      <c r="C15" s="34">
        <f>SUBTOTAL(9,C14:C14)</f>
        <v>14</v>
      </c>
      <c r="D15" s="34"/>
      <c r="E15" s="29"/>
      <c r="F15" s="30"/>
      <c r="G15" s="30">
        <f>SUBTOTAL(9,G14:G14)</f>
        <v>1</v>
      </c>
      <c r="H15" s="67">
        <f>SUBTOTAL(9,H14:H14)</f>
        <v>7.1428571428571425E-2</v>
      </c>
    </row>
    <row r="16" spans="2:8" ht="79.95" customHeight="1" outlineLevel="2" thickTop="1" thickBot="1" x14ac:dyDescent="0.35">
      <c r="B16" s="89" t="s">
        <v>73</v>
      </c>
      <c r="C16" s="88">
        <v>3</v>
      </c>
      <c r="D16" s="88" t="s">
        <v>43</v>
      </c>
      <c r="E16" s="12" t="s">
        <v>105</v>
      </c>
      <c r="F16" s="13" t="s">
        <v>123</v>
      </c>
      <c r="G16" s="13">
        <v>2</v>
      </c>
      <c r="H16" s="62">
        <f>G16/3</f>
        <v>0.66666666666666663</v>
      </c>
    </row>
    <row r="17" spans="2:8" ht="79.95" customHeight="1" outlineLevel="2" thickTop="1" thickBot="1" x14ac:dyDescent="0.35">
      <c r="B17" s="89"/>
      <c r="C17" s="88"/>
      <c r="D17" s="88"/>
      <c r="E17" s="12" t="s">
        <v>104</v>
      </c>
      <c r="F17" s="13" t="s">
        <v>124</v>
      </c>
      <c r="G17" s="13">
        <v>1</v>
      </c>
      <c r="H17" s="62">
        <f>G17/3</f>
        <v>0.33333333333333331</v>
      </c>
    </row>
    <row r="18" spans="2:8" ht="24.6" customHeight="1" outlineLevel="1" thickTop="1" thickBot="1" x14ac:dyDescent="0.35">
      <c r="B18" s="76" t="s">
        <v>151</v>
      </c>
      <c r="C18" s="37">
        <f>SUBTOTAL(9,C16:C17)</f>
        <v>3</v>
      </c>
      <c r="D18" s="37"/>
      <c r="E18" s="12"/>
      <c r="F18" s="13"/>
      <c r="G18" s="13">
        <f>SUBTOTAL(9,G16:G17)</f>
        <v>3</v>
      </c>
      <c r="H18" s="62">
        <f>SUM(H16:H17)</f>
        <v>1</v>
      </c>
    </row>
    <row r="19" spans="2:8" ht="163.19999999999999" customHeight="1" outlineLevel="2" thickTop="1" thickBot="1" x14ac:dyDescent="0.35">
      <c r="B19" s="23" t="s">
        <v>74</v>
      </c>
      <c r="C19" s="23">
        <v>7</v>
      </c>
      <c r="D19" s="23" t="s">
        <v>44</v>
      </c>
      <c r="E19" s="31" t="s">
        <v>107</v>
      </c>
      <c r="F19" s="32" t="s">
        <v>123</v>
      </c>
      <c r="G19" s="32">
        <v>1</v>
      </c>
      <c r="H19" s="68">
        <f>G19/C19</f>
        <v>0.14285714285714285</v>
      </c>
    </row>
    <row r="20" spans="2:8" ht="25.8" customHeight="1" outlineLevel="1" thickTop="1" thickBot="1" x14ac:dyDescent="0.35">
      <c r="B20" s="79" t="s">
        <v>152</v>
      </c>
      <c r="C20" s="23">
        <f>SUBTOTAL(9,C19:C19)</f>
        <v>7</v>
      </c>
      <c r="D20" s="23"/>
      <c r="E20" s="31"/>
      <c r="F20" s="32"/>
      <c r="G20" s="32">
        <f>SUBTOTAL(9,G19:G19)</f>
        <v>1</v>
      </c>
      <c r="H20" s="68">
        <f>SUBTOTAL(9,H19:H19)</f>
        <v>0.14285714285714285</v>
      </c>
    </row>
    <row r="21" spans="2:8" ht="161.4" customHeight="1" outlineLevel="2" thickTop="1" thickBot="1" x14ac:dyDescent="0.35">
      <c r="B21" s="15" t="s">
        <v>75</v>
      </c>
      <c r="C21" s="16">
        <v>14</v>
      </c>
      <c r="D21" s="16" t="s">
        <v>45</v>
      </c>
      <c r="E21" s="33" t="s">
        <v>10</v>
      </c>
      <c r="F21" s="18" t="s">
        <v>125</v>
      </c>
      <c r="G21" s="18">
        <v>5</v>
      </c>
      <c r="H21" s="63">
        <f>G21/C21</f>
        <v>0.35714285714285715</v>
      </c>
    </row>
    <row r="22" spans="2:8" ht="12.6" customHeight="1" outlineLevel="1" thickTop="1" thickBot="1" x14ac:dyDescent="0.35">
      <c r="B22" s="77" t="s">
        <v>153</v>
      </c>
      <c r="C22" s="53">
        <f>SUBTOTAL(9,C21:C21)</f>
        <v>14</v>
      </c>
      <c r="D22" s="53"/>
      <c r="E22" s="33"/>
      <c r="F22" s="18"/>
      <c r="G22" s="18">
        <f>SUBTOTAL(9,G21:G21)</f>
        <v>5</v>
      </c>
      <c r="H22" s="63">
        <f>SUBTOTAL(9,H21:H21)</f>
        <v>0.35714285714285715</v>
      </c>
    </row>
    <row r="23" spans="2:8" ht="79.95" customHeight="1" outlineLevel="2" thickTop="1" thickBot="1" x14ac:dyDescent="0.35">
      <c r="B23" s="84" t="s">
        <v>76</v>
      </c>
      <c r="C23" s="85">
        <v>19</v>
      </c>
      <c r="D23" s="85" t="s">
        <v>46</v>
      </c>
      <c r="E23" s="29" t="s">
        <v>16</v>
      </c>
      <c r="F23" s="30" t="s">
        <v>126</v>
      </c>
      <c r="G23" s="30">
        <v>6</v>
      </c>
      <c r="H23" s="67">
        <f>G23/19</f>
        <v>0.31578947368421051</v>
      </c>
    </row>
    <row r="24" spans="2:8" ht="79.95" customHeight="1" outlineLevel="2" thickTop="1" thickBot="1" x14ac:dyDescent="0.35">
      <c r="B24" s="84"/>
      <c r="C24" s="85"/>
      <c r="D24" s="85"/>
      <c r="E24" s="35" t="s">
        <v>20</v>
      </c>
      <c r="F24" s="30" t="s">
        <v>127</v>
      </c>
      <c r="G24" s="30">
        <v>4</v>
      </c>
      <c r="H24" s="67">
        <f t="shared" ref="H24:H27" si="1">G24/19</f>
        <v>0.21052631578947367</v>
      </c>
    </row>
    <row r="25" spans="2:8" ht="79.95" customHeight="1" outlineLevel="2" thickTop="1" thickBot="1" x14ac:dyDescent="0.35">
      <c r="B25" s="84"/>
      <c r="C25" s="85"/>
      <c r="D25" s="85"/>
      <c r="E25" s="35" t="s">
        <v>100</v>
      </c>
      <c r="F25" s="30" t="s">
        <v>128</v>
      </c>
      <c r="G25" s="30">
        <v>3</v>
      </c>
      <c r="H25" s="67">
        <f t="shared" si="1"/>
        <v>0.15789473684210525</v>
      </c>
    </row>
    <row r="26" spans="2:8" ht="79.95" customHeight="1" outlineLevel="2" thickTop="1" thickBot="1" x14ac:dyDescent="0.35">
      <c r="B26" s="84"/>
      <c r="C26" s="85"/>
      <c r="D26" s="85"/>
      <c r="E26" s="21" t="s">
        <v>5</v>
      </c>
      <c r="F26" s="22" t="s">
        <v>129</v>
      </c>
      <c r="G26" s="22">
        <v>1</v>
      </c>
      <c r="H26" s="67">
        <f t="shared" si="1"/>
        <v>5.2631578947368418E-2</v>
      </c>
    </row>
    <row r="27" spans="2:8" ht="79.95" customHeight="1" outlineLevel="2" thickTop="1" thickBot="1" x14ac:dyDescent="0.35">
      <c r="B27" s="84"/>
      <c r="C27" s="85"/>
      <c r="D27" s="85"/>
      <c r="E27" s="35" t="s">
        <v>24</v>
      </c>
      <c r="F27" s="30" t="s">
        <v>130</v>
      </c>
      <c r="G27" s="30">
        <v>1</v>
      </c>
      <c r="H27" s="67">
        <f t="shared" si="1"/>
        <v>5.2631578947368418E-2</v>
      </c>
    </row>
    <row r="28" spans="2:8" ht="17.399999999999999" customHeight="1" outlineLevel="1" thickTop="1" thickBot="1" x14ac:dyDescent="0.35">
      <c r="B28" s="78" t="s">
        <v>154</v>
      </c>
      <c r="C28" s="34">
        <f>SUBTOTAL(9,C23:C27)</f>
        <v>19</v>
      </c>
      <c r="D28" s="34"/>
      <c r="E28" s="35"/>
      <c r="F28" s="30"/>
      <c r="G28" s="30">
        <f>SUBTOTAL(9,G23:G27)</f>
        <v>15</v>
      </c>
      <c r="H28" s="67">
        <f>SUBTOTAL(9,H23:H27)</f>
        <v>0.78947368421052611</v>
      </c>
    </row>
    <row r="29" spans="2:8" ht="159" customHeight="1" outlineLevel="2" thickTop="1" thickBot="1" x14ac:dyDescent="0.35">
      <c r="B29" s="36" t="s">
        <v>77</v>
      </c>
      <c r="C29" s="37">
        <v>13</v>
      </c>
      <c r="D29" s="37" t="s">
        <v>47</v>
      </c>
      <c r="E29" s="14" t="s">
        <v>4</v>
      </c>
      <c r="F29" s="13" t="s">
        <v>131</v>
      </c>
      <c r="G29" s="13">
        <v>5</v>
      </c>
      <c r="H29" s="62">
        <f>G29/C29</f>
        <v>0.38461538461538464</v>
      </c>
    </row>
    <row r="30" spans="2:8" ht="24" customHeight="1" outlineLevel="1" thickTop="1" thickBot="1" x14ac:dyDescent="0.35">
      <c r="B30" s="76" t="s">
        <v>155</v>
      </c>
      <c r="C30" s="37">
        <f>SUBTOTAL(9,C29:C29)</f>
        <v>13</v>
      </c>
      <c r="D30" s="37"/>
      <c r="E30" s="14"/>
      <c r="F30" s="13"/>
      <c r="G30" s="13">
        <f>SUBTOTAL(9,G29:G29)</f>
        <v>5</v>
      </c>
      <c r="H30" s="62">
        <f>SUBTOTAL(9,H29:H29)</f>
        <v>0.38461538461538464</v>
      </c>
    </row>
    <row r="31" spans="2:8" ht="25.2" customHeight="1" outlineLevel="2" thickTop="1" thickBot="1" x14ac:dyDescent="0.35">
      <c r="B31" s="38" t="s">
        <v>78</v>
      </c>
      <c r="C31" s="39">
        <v>11</v>
      </c>
      <c r="D31" s="39" t="s">
        <v>48</v>
      </c>
      <c r="E31" s="40"/>
      <c r="F31" s="41">
        <v>0</v>
      </c>
      <c r="G31" s="41">
        <v>0</v>
      </c>
      <c r="H31" s="69">
        <v>0</v>
      </c>
    </row>
    <row r="32" spans="2:8" ht="25.2" customHeight="1" outlineLevel="1" thickTop="1" thickBot="1" x14ac:dyDescent="0.35">
      <c r="B32" s="80" t="s">
        <v>156</v>
      </c>
      <c r="C32" s="54">
        <f>SUBTOTAL(9,C31:C31)</f>
        <v>11</v>
      </c>
      <c r="D32" s="54"/>
      <c r="E32" s="40"/>
      <c r="F32" s="41"/>
      <c r="G32" s="41">
        <f>SUBTOTAL(9,G31:G31)</f>
        <v>0</v>
      </c>
      <c r="H32" s="69">
        <f>SUBTOTAL(9,H31:H31)</f>
        <v>0</v>
      </c>
    </row>
    <row r="33" spans="2:8" ht="25.2" customHeight="1" outlineLevel="2" thickTop="1" thickBot="1" x14ac:dyDescent="0.35">
      <c r="B33" s="15" t="s">
        <v>79</v>
      </c>
      <c r="C33" s="16"/>
      <c r="D33" s="16" t="s">
        <v>49</v>
      </c>
      <c r="E33" s="17"/>
      <c r="F33" s="18">
        <v>0</v>
      </c>
      <c r="G33" s="18">
        <v>0</v>
      </c>
      <c r="H33" s="63">
        <v>0</v>
      </c>
    </row>
    <row r="34" spans="2:8" ht="25.2" customHeight="1" outlineLevel="1" thickTop="1" thickBot="1" x14ac:dyDescent="0.35">
      <c r="B34" s="77" t="s">
        <v>157</v>
      </c>
      <c r="C34" s="53">
        <f>SUBTOTAL(9,C33:C33)</f>
        <v>0</v>
      </c>
      <c r="D34" s="53"/>
      <c r="E34" s="17"/>
      <c r="F34" s="18"/>
      <c r="G34" s="18">
        <f>SUBTOTAL(9,G33:G33)</f>
        <v>0</v>
      </c>
      <c r="H34" s="63">
        <f>SUBTOTAL(9,H33:H33)</f>
        <v>0</v>
      </c>
    </row>
    <row r="35" spans="2:8" ht="17.399999999999999" customHeight="1" outlineLevel="2" thickTop="1" thickBot="1" x14ac:dyDescent="0.35">
      <c r="B35" s="42" t="s">
        <v>80</v>
      </c>
      <c r="C35" s="43">
        <v>7</v>
      </c>
      <c r="D35" s="43" t="s">
        <v>50</v>
      </c>
      <c r="E35" s="44">
        <v>0</v>
      </c>
      <c r="F35" s="45">
        <v>0</v>
      </c>
      <c r="G35" s="45">
        <v>0</v>
      </c>
      <c r="H35" s="70">
        <v>0</v>
      </c>
    </row>
    <row r="36" spans="2:8" ht="17.399999999999999" customHeight="1" outlineLevel="1" thickTop="1" thickBot="1" x14ac:dyDescent="0.35">
      <c r="B36" s="81" t="s">
        <v>158</v>
      </c>
      <c r="C36" s="43">
        <f>SUBTOTAL(9,C35:C35)</f>
        <v>7</v>
      </c>
      <c r="D36" s="43"/>
      <c r="E36" s="44"/>
      <c r="F36" s="45"/>
      <c r="G36" s="45">
        <f>SUBTOTAL(9,G35:G35)</f>
        <v>0</v>
      </c>
      <c r="H36" s="70">
        <f>SUBTOTAL(9,H35:H35)</f>
        <v>0</v>
      </c>
    </row>
    <row r="37" spans="2:8" ht="16.2" customHeight="1" outlineLevel="2" thickTop="1" thickBot="1" x14ac:dyDescent="0.35">
      <c r="B37" s="46" t="s">
        <v>81</v>
      </c>
      <c r="C37" s="47">
        <v>24</v>
      </c>
      <c r="D37" s="47" t="s">
        <v>51</v>
      </c>
      <c r="E37" s="48">
        <v>0</v>
      </c>
      <c r="F37" s="49">
        <v>0</v>
      </c>
      <c r="G37" s="49">
        <v>0</v>
      </c>
      <c r="H37" s="71">
        <v>0</v>
      </c>
    </row>
    <row r="38" spans="2:8" ht="16.2" customHeight="1" outlineLevel="1" thickTop="1" thickBot="1" x14ac:dyDescent="0.35">
      <c r="B38" s="82" t="s">
        <v>159</v>
      </c>
      <c r="C38" s="47">
        <f>SUBTOTAL(9,C37:C37)</f>
        <v>24</v>
      </c>
      <c r="D38" s="47"/>
      <c r="E38" s="48"/>
      <c r="F38" s="49"/>
      <c r="G38" s="49">
        <f>SUBTOTAL(9,G37:G37)</f>
        <v>0</v>
      </c>
      <c r="H38" s="71">
        <f>SUBTOTAL(9,H37:H37)</f>
        <v>0</v>
      </c>
    </row>
    <row r="39" spans="2:8" ht="22.8" customHeight="1" outlineLevel="2" thickTop="1" thickBot="1" x14ac:dyDescent="0.35">
      <c r="B39" s="19" t="s">
        <v>82</v>
      </c>
      <c r="C39" s="20">
        <v>21</v>
      </c>
      <c r="D39" s="20" t="s">
        <v>52</v>
      </c>
      <c r="E39" s="29" t="s">
        <v>28</v>
      </c>
      <c r="F39" s="30" t="s">
        <v>133</v>
      </c>
      <c r="G39" s="30">
        <v>0</v>
      </c>
      <c r="H39" s="67">
        <v>0</v>
      </c>
    </row>
    <row r="40" spans="2:8" ht="22.8" customHeight="1" outlineLevel="1" thickTop="1" thickBot="1" x14ac:dyDescent="0.35">
      <c r="B40" s="78" t="s">
        <v>160</v>
      </c>
      <c r="C40" s="34">
        <f>SUBTOTAL(9,C39:C39)</f>
        <v>21</v>
      </c>
      <c r="D40" s="34"/>
      <c r="E40" s="29"/>
      <c r="F40" s="30"/>
      <c r="G40" s="30">
        <f>SUBTOTAL(9,G39:G39)</f>
        <v>0</v>
      </c>
      <c r="H40" s="67">
        <f>SUBTOTAL(9,H39:H39)</f>
        <v>0</v>
      </c>
    </row>
    <row r="41" spans="2:8" ht="79.95" customHeight="1" outlineLevel="2" thickTop="1" thickBot="1" x14ac:dyDescent="0.35">
      <c r="B41" s="92" t="s">
        <v>83</v>
      </c>
      <c r="C41" s="93">
        <v>24</v>
      </c>
      <c r="D41" s="93" t="s">
        <v>53</v>
      </c>
      <c r="E41" s="51" t="s">
        <v>22</v>
      </c>
      <c r="F41" s="52" t="s">
        <v>134</v>
      </c>
      <c r="G41" s="52">
        <v>6</v>
      </c>
      <c r="H41" s="72">
        <f>G41/24</f>
        <v>0.25</v>
      </c>
    </row>
    <row r="42" spans="2:8" ht="79.95" customHeight="1" outlineLevel="2" thickTop="1" thickBot="1" x14ac:dyDescent="0.35">
      <c r="B42" s="92"/>
      <c r="C42" s="93"/>
      <c r="D42" s="93"/>
      <c r="E42" s="51" t="s">
        <v>22</v>
      </c>
      <c r="F42" s="52" t="s">
        <v>134</v>
      </c>
      <c r="G42" s="52">
        <v>5</v>
      </c>
      <c r="H42" s="72">
        <f t="shared" ref="H42:H43" si="2">G42/24</f>
        <v>0.20833333333333334</v>
      </c>
    </row>
    <row r="43" spans="2:8" ht="79.95" customHeight="1" outlineLevel="2" thickTop="1" thickBot="1" x14ac:dyDescent="0.35">
      <c r="B43" s="92"/>
      <c r="C43" s="93"/>
      <c r="D43" s="93"/>
      <c r="E43" s="51" t="s">
        <v>21</v>
      </c>
      <c r="F43" s="52" t="s">
        <v>132</v>
      </c>
      <c r="G43" s="52">
        <v>1</v>
      </c>
      <c r="H43" s="72">
        <f t="shared" si="2"/>
        <v>4.1666666666666664E-2</v>
      </c>
    </row>
    <row r="44" spans="2:8" ht="20.399999999999999" customHeight="1" outlineLevel="1" thickTop="1" thickBot="1" x14ac:dyDescent="0.35">
      <c r="B44" s="83" t="s">
        <v>161</v>
      </c>
      <c r="C44" s="50">
        <f>SUBTOTAL(9,C41:C43)</f>
        <v>24</v>
      </c>
      <c r="D44" s="50"/>
      <c r="E44" s="51"/>
      <c r="F44" s="52"/>
      <c r="G44" s="52">
        <f>SUBTOTAL(9,G41:G43)</f>
        <v>12</v>
      </c>
      <c r="H44" s="72">
        <f>SUBTOTAL(9,H41:H43)</f>
        <v>0.5</v>
      </c>
    </row>
    <row r="45" spans="2:8" ht="151.80000000000001" customHeight="1" outlineLevel="2" thickTop="1" thickBot="1" x14ac:dyDescent="0.35">
      <c r="B45" s="15" t="s">
        <v>84</v>
      </c>
      <c r="C45" s="16">
        <v>41</v>
      </c>
      <c r="D45" s="16" t="s">
        <v>54</v>
      </c>
      <c r="E45" s="17" t="s">
        <v>103</v>
      </c>
      <c r="F45" s="18" t="s">
        <v>135</v>
      </c>
      <c r="G45" s="18">
        <v>1</v>
      </c>
      <c r="H45" s="63">
        <f>G45/C45</f>
        <v>2.4390243902439025E-2</v>
      </c>
    </row>
    <row r="46" spans="2:8" ht="16.8" customHeight="1" outlineLevel="1" thickTop="1" thickBot="1" x14ac:dyDescent="0.35">
      <c r="B46" s="77" t="s">
        <v>162</v>
      </c>
      <c r="C46" s="53">
        <f>SUBTOTAL(9,C45:C45)</f>
        <v>41</v>
      </c>
      <c r="D46" s="53"/>
      <c r="E46" s="17"/>
      <c r="F46" s="18"/>
      <c r="G46" s="18">
        <f>SUBTOTAL(9,G45:G45)</f>
        <v>1</v>
      </c>
      <c r="H46" s="63">
        <f>SUBTOTAL(9,H45:H45)</f>
        <v>2.4390243902439025E-2</v>
      </c>
    </row>
    <row r="47" spans="2:8" ht="168" customHeight="1" outlineLevel="2" thickTop="1" thickBot="1" x14ac:dyDescent="0.35">
      <c r="B47" s="36" t="s">
        <v>85</v>
      </c>
      <c r="C47" s="37">
        <v>32</v>
      </c>
      <c r="D47" s="37" t="s">
        <v>55</v>
      </c>
      <c r="E47" s="12" t="s">
        <v>106</v>
      </c>
      <c r="F47" s="13" t="s">
        <v>129</v>
      </c>
      <c r="G47" s="13">
        <v>1</v>
      </c>
      <c r="H47" s="62">
        <f>G47/C47</f>
        <v>3.125E-2</v>
      </c>
    </row>
    <row r="48" spans="2:8" ht="25.2" customHeight="1" outlineLevel="1" thickTop="1" thickBot="1" x14ac:dyDescent="0.35">
      <c r="B48" s="76" t="s">
        <v>163</v>
      </c>
      <c r="C48" s="37">
        <f>SUBTOTAL(9,C47:C47)</f>
        <v>32</v>
      </c>
      <c r="D48" s="37"/>
      <c r="E48" s="12"/>
      <c r="F48" s="13"/>
      <c r="G48" s="13">
        <f>SUBTOTAL(9,G47:G47)</f>
        <v>1</v>
      </c>
      <c r="H48" s="62">
        <f>SUBTOTAL(9,H47:H47)</f>
        <v>3.125E-2</v>
      </c>
    </row>
    <row r="49" spans="2:8" ht="18" customHeight="1" outlineLevel="2" thickTop="1" thickBot="1" x14ac:dyDescent="0.35">
      <c r="B49" s="19" t="s">
        <v>99</v>
      </c>
      <c r="C49" s="20"/>
      <c r="D49" s="20" t="s">
        <v>99</v>
      </c>
      <c r="E49" s="29" t="s">
        <v>27</v>
      </c>
      <c r="F49" s="30" t="s">
        <v>136</v>
      </c>
      <c r="G49" s="30">
        <v>0</v>
      </c>
      <c r="H49" s="67">
        <v>0</v>
      </c>
    </row>
    <row r="50" spans="2:8" ht="18" customHeight="1" outlineLevel="1" thickTop="1" thickBot="1" x14ac:dyDescent="0.35">
      <c r="B50" s="78" t="s">
        <v>164</v>
      </c>
      <c r="C50" s="34">
        <f>SUBTOTAL(9,C49:C49)</f>
        <v>0</v>
      </c>
      <c r="D50" s="34"/>
      <c r="E50" s="29"/>
      <c r="F50" s="30"/>
      <c r="G50" s="30">
        <f>SUBTOTAL(9,G49:G49)</f>
        <v>0</v>
      </c>
      <c r="H50" s="67">
        <f>SUBTOTAL(9,H49:H49)</f>
        <v>0</v>
      </c>
    </row>
    <row r="51" spans="2:8" ht="24" customHeight="1" outlineLevel="2" thickTop="1" thickBot="1" x14ac:dyDescent="0.35">
      <c r="B51" s="38" t="s">
        <v>86</v>
      </c>
      <c r="C51" s="39">
        <v>34</v>
      </c>
      <c r="D51" s="39" t="s">
        <v>56</v>
      </c>
      <c r="E51" s="40" t="s">
        <v>18</v>
      </c>
      <c r="F51" s="41" t="s">
        <v>123</v>
      </c>
      <c r="G51" s="41">
        <v>0</v>
      </c>
      <c r="H51" s="69">
        <v>0</v>
      </c>
    </row>
    <row r="52" spans="2:8" ht="24" customHeight="1" outlineLevel="1" thickTop="1" thickBot="1" x14ac:dyDescent="0.35">
      <c r="B52" s="80" t="s">
        <v>165</v>
      </c>
      <c r="C52" s="54">
        <f>SUBTOTAL(9,C51:C51)</f>
        <v>34</v>
      </c>
      <c r="D52" s="54"/>
      <c r="E52" s="40"/>
      <c r="F52" s="41"/>
      <c r="G52" s="41">
        <f>SUBTOTAL(9,G51:G51)</f>
        <v>0</v>
      </c>
      <c r="H52" s="69">
        <f>SUBTOTAL(9,H51:H51)</f>
        <v>0</v>
      </c>
    </row>
    <row r="53" spans="2:8" ht="138" customHeight="1" outlineLevel="2" thickTop="1" thickBot="1" x14ac:dyDescent="0.35">
      <c r="B53" s="19" t="s">
        <v>87</v>
      </c>
      <c r="C53" s="20">
        <v>61</v>
      </c>
      <c r="D53" s="20" t="s">
        <v>57</v>
      </c>
      <c r="E53" s="29" t="s">
        <v>35</v>
      </c>
      <c r="F53" s="30" t="s">
        <v>144</v>
      </c>
      <c r="G53" s="30">
        <v>1</v>
      </c>
      <c r="H53" s="67">
        <f>G53/C53</f>
        <v>1.6393442622950821E-2</v>
      </c>
    </row>
    <row r="54" spans="2:8" ht="27" customHeight="1" outlineLevel="1" thickTop="1" thickBot="1" x14ac:dyDescent="0.35">
      <c r="B54" s="78" t="s">
        <v>166</v>
      </c>
      <c r="C54" s="34">
        <f>SUBTOTAL(9,C53:C53)</f>
        <v>61</v>
      </c>
      <c r="D54" s="34"/>
      <c r="E54" s="29"/>
      <c r="F54" s="30"/>
      <c r="G54" s="30">
        <f>SUBTOTAL(9,G53:G53)</f>
        <v>1</v>
      </c>
      <c r="H54" s="67">
        <f>SUBTOTAL(9,H53:H53)</f>
        <v>1.6393442622950821E-2</v>
      </c>
    </row>
    <row r="55" spans="2:8" ht="79.95" customHeight="1" outlineLevel="2" thickTop="1" thickBot="1" x14ac:dyDescent="0.35">
      <c r="B55" s="89" t="s">
        <v>88</v>
      </c>
      <c r="C55" s="88">
        <v>32</v>
      </c>
      <c r="D55" s="88" t="s">
        <v>58</v>
      </c>
      <c r="E55" s="12" t="s">
        <v>30</v>
      </c>
      <c r="F55" s="13" t="s">
        <v>138</v>
      </c>
      <c r="G55" s="13">
        <v>3</v>
      </c>
      <c r="H55" s="62">
        <f>G55/32</f>
        <v>9.375E-2</v>
      </c>
    </row>
    <row r="56" spans="2:8" ht="79.95" customHeight="1" outlineLevel="2" thickTop="1" thickBot="1" x14ac:dyDescent="0.35">
      <c r="B56" s="89"/>
      <c r="C56" s="88"/>
      <c r="D56" s="88"/>
      <c r="E56" s="12" t="s">
        <v>31</v>
      </c>
      <c r="F56" s="13" t="s">
        <v>139</v>
      </c>
      <c r="G56" s="13">
        <v>1</v>
      </c>
      <c r="H56" s="62">
        <f>G56/32</f>
        <v>3.125E-2</v>
      </c>
    </row>
    <row r="57" spans="2:8" ht="22.8" customHeight="1" outlineLevel="1" thickTop="1" thickBot="1" x14ac:dyDescent="0.35">
      <c r="B57" s="76" t="s">
        <v>167</v>
      </c>
      <c r="C57" s="37">
        <f>SUBTOTAL(9,C55:C56)</f>
        <v>32</v>
      </c>
      <c r="D57" s="37"/>
      <c r="E57" s="12"/>
      <c r="F57" s="13"/>
      <c r="G57" s="13">
        <f>SUBTOTAL(9,G55:G56)</f>
        <v>4</v>
      </c>
      <c r="H57" s="62">
        <f>SUBTOTAL(9,H55:H56)</f>
        <v>0.125</v>
      </c>
    </row>
    <row r="58" spans="2:8" ht="79.95" customHeight="1" outlineLevel="2" thickTop="1" thickBot="1" x14ac:dyDescent="0.35">
      <c r="B58" s="91" t="s">
        <v>89</v>
      </c>
      <c r="C58" s="90">
        <v>14</v>
      </c>
      <c r="D58" s="90" t="s">
        <v>59</v>
      </c>
      <c r="E58" s="17" t="s">
        <v>96</v>
      </c>
      <c r="F58" s="18" t="s">
        <v>137</v>
      </c>
      <c r="G58" s="18">
        <v>5</v>
      </c>
      <c r="H58" s="63">
        <f>G58/14</f>
        <v>0.35714285714285715</v>
      </c>
    </row>
    <row r="59" spans="2:8" ht="79.95" customHeight="1" outlineLevel="2" thickTop="1" thickBot="1" x14ac:dyDescent="0.35">
      <c r="B59" s="91"/>
      <c r="C59" s="90"/>
      <c r="D59" s="90"/>
      <c r="E59" s="17" t="s">
        <v>12</v>
      </c>
      <c r="F59" s="18" t="s">
        <v>140</v>
      </c>
      <c r="G59" s="18">
        <v>1</v>
      </c>
      <c r="H59" s="63">
        <f>G59/14</f>
        <v>7.1428571428571425E-2</v>
      </c>
    </row>
    <row r="60" spans="2:8" ht="19.8" customHeight="1" outlineLevel="1" thickTop="1" thickBot="1" x14ac:dyDescent="0.35">
      <c r="B60" s="77" t="s">
        <v>168</v>
      </c>
      <c r="C60" s="53">
        <f>SUBTOTAL(9,C58:C59)</f>
        <v>14</v>
      </c>
      <c r="D60" s="53"/>
      <c r="E60" s="17"/>
      <c r="F60" s="18"/>
      <c r="G60" s="18">
        <f>SUBTOTAL(9,G58:G59)</f>
        <v>6</v>
      </c>
      <c r="H60" s="63">
        <f>SUBTOTAL(9,H58:H59)</f>
        <v>0.4285714285714286</v>
      </c>
    </row>
    <row r="61" spans="2:8" ht="79.95" customHeight="1" outlineLevel="2" thickTop="1" thickBot="1" x14ac:dyDescent="0.35">
      <c r="B61" s="89" t="s">
        <v>90</v>
      </c>
      <c r="C61" s="88">
        <v>60</v>
      </c>
      <c r="D61" s="88" t="s">
        <v>60</v>
      </c>
      <c r="E61" s="14" t="s">
        <v>11</v>
      </c>
      <c r="F61" s="13" t="s">
        <v>141</v>
      </c>
      <c r="G61" s="13">
        <v>12</v>
      </c>
      <c r="H61" s="62">
        <f>G61/60</f>
        <v>0.2</v>
      </c>
    </row>
    <row r="62" spans="2:8" ht="79.95" customHeight="1" outlineLevel="2" thickTop="1" thickBot="1" x14ac:dyDescent="0.35">
      <c r="B62" s="89"/>
      <c r="C62" s="88"/>
      <c r="D62" s="88"/>
      <c r="E62" s="12" t="s">
        <v>95</v>
      </c>
      <c r="F62" s="13" t="s">
        <v>120</v>
      </c>
      <c r="G62" s="13">
        <v>3</v>
      </c>
      <c r="H62" s="62">
        <f t="shared" ref="H62:H63" si="3">G62/60</f>
        <v>0.05</v>
      </c>
    </row>
    <row r="63" spans="2:8" ht="79.95" customHeight="1" outlineLevel="2" thickTop="1" thickBot="1" x14ac:dyDescent="0.35">
      <c r="B63" s="89"/>
      <c r="C63" s="88"/>
      <c r="D63" s="88"/>
      <c r="E63" s="12" t="s">
        <v>6</v>
      </c>
      <c r="F63" s="13" t="s">
        <v>123</v>
      </c>
      <c r="G63" s="13">
        <v>1</v>
      </c>
      <c r="H63" s="62">
        <f t="shared" si="3"/>
        <v>1.6666666666666666E-2</v>
      </c>
    </row>
    <row r="64" spans="2:8" ht="19.8" customHeight="1" outlineLevel="1" thickTop="1" thickBot="1" x14ac:dyDescent="0.35">
      <c r="B64" s="76" t="s">
        <v>169</v>
      </c>
      <c r="C64" s="37">
        <f>SUBTOTAL(9,C61:C63)</f>
        <v>60</v>
      </c>
      <c r="D64" s="37"/>
      <c r="E64" s="12"/>
      <c r="F64" s="13"/>
      <c r="G64" s="13">
        <f>SUBTOTAL(9,G61:G63)</f>
        <v>16</v>
      </c>
      <c r="H64" s="62">
        <f>SUBTOTAL(9,H61:H63)</f>
        <v>0.26666666666666666</v>
      </c>
    </row>
    <row r="65" spans="2:8" ht="79.95" customHeight="1" outlineLevel="2" thickTop="1" thickBot="1" x14ac:dyDescent="0.35">
      <c r="B65" s="84" t="s">
        <v>91</v>
      </c>
      <c r="C65" s="85">
        <v>18</v>
      </c>
      <c r="D65" s="85" t="s">
        <v>61</v>
      </c>
      <c r="E65" s="29" t="s">
        <v>32</v>
      </c>
      <c r="F65" s="30" t="s">
        <v>141</v>
      </c>
      <c r="G65" s="30">
        <v>3</v>
      </c>
      <c r="H65" s="67">
        <f>G65/18</f>
        <v>0.16666666666666666</v>
      </c>
    </row>
    <row r="66" spans="2:8" ht="79.95" customHeight="1" outlineLevel="2" thickTop="1" thickBot="1" x14ac:dyDescent="0.35">
      <c r="B66" s="84"/>
      <c r="C66" s="85"/>
      <c r="D66" s="85"/>
      <c r="E66" s="29" t="s">
        <v>26</v>
      </c>
      <c r="F66" s="30" t="s">
        <v>137</v>
      </c>
      <c r="G66" s="30">
        <v>2</v>
      </c>
      <c r="H66" s="67">
        <f>G66/18</f>
        <v>0.1111111111111111</v>
      </c>
    </row>
    <row r="67" spans="2:8" ht="79.95" customHeight="1" outlineLevel="2" thickTop="1" thickBot="1" x14ac:dyDescent="0.35">
      <c r="B67" s="84"/>
      <c r="C67" s="85"/>
      <c r="D67" s="85"/>
      <c r="E67" s="35" t="s">
        <v>97</v>
      </c>
      <c r="F67" s="30" t="s">
        <v>142</v>
      </c>
      <c r="G67" s="30">
        <v>1</v>
      </c>
      <c r="H67" s="67">
        <f>G67/18</f>
        <v>5.5555555555555552E-2</v>
      </c>
    </row>
    <row r="68" spans="2:8" ht="24" customHeight="1" outlineLevel="1" thickTop="1" thickBot="1" x14ac:dyDescent="0.35">
      <c r="B68" s="78" t="s">
        <v>170</v>
      </c>
      <c r="C68" s="34">
        <f>SUBTOTAL(9,C65:C67)</f>
        <v>18</v>
      </c>
      <c r="D68" s="34"/>
      <c r="E68" s="35"/>
      <c r="F68" s="30"/>
      <c r="G68" s="30">
        <f>SUBTOTAL(9,G65:G67)</f>
        <v>6</v>
      </c>
      <c r="H68" s="67">
        <f>SUBTOTAL(9,H65:H67)</f>
        <v>0.33333333333333337</v>
      </c>
    </row>
    <row r="69" spans="2:8" ht="100.2" customHeight="1" outlineLevel="2" thickTop="1" thickBot="1" x14ac:dyDescent="0.35">
      <c r="B69" s="86" t="s">
        <v>92</v>
      </c>
      <c r="C69" s="87">
        <v>7</v>
      </c>
      <c r="D69" s="87" t="s">
        <v>62</v>
      </c>
      <c r="E69" s="55" t="s">
        <v>15</v>
      </c>
      <c r="F69" s="41" t="s">
        <v>123</v>
      </c>
      <c r="G69" s="41">
        <v>1</v>
      </c>
      <c r="H69" s="69">
        <f>G69/7</f>
        <v>0.14285714285714285</v>
      </c>
    </row>
    <row r="70" spans="2:8" ht="93" customHeight="1" outlineLevel="2" thickTop="1" thickBot="1" x14ac:dyDescent="0.35">
      <c r="B70" s="86"/>
      <c r="C70" s="87"/>
      <c r="D70" s="87"/>
      <c r="E70" s="55" t="s">
        <v>98</v>
      </c>
      <c r="F70" s="41" t="s">
        <v>124</v>
      </c>
      <c r="G70" s="41">
        <v>1</v>
      </c>
      <c r="H70" s="69">
        <f>G70/7</f>
        <v>0.14285714285714285</v>
      </c>
    </row>
    <row r="71" spans="2:8" ht="26.4" customHeight="1" outlineLevel="1" thickTop="1" thickBot="1" x14ac:dyDescent="0.35">
      <c r="B71" s="80" t="s">
        <v>171</v>
      </c>
      <c r="C71" s="54">
        <f>SUBTOTAL(9,C69:C70)</f>
        <v>7</v>
      </c>
      <c r="D71" s="54"/>
      <c r="E71" s="55"/>
      <c r="F71" s="41"/>
      <c r="G71" s="41">
        <f>SUBTOTAL(9,G69:G70)</f>
        <v>2</v>
      </c>
      <c r="H71" s="69">
        <f>SUBTOTAL(9,H69:H70)</f>
        <v>0.2857142857142857</v>
      </c>
    </row>
    <row r="72" spans="2:8" ht="162" customHeight="1" outlineLevel="2" thickTop="1" thickBot="1" x14ac:dyDescent="0.35">
      <c r="B72" s="36" t="s">
        <v>93</v>
      </c>
      <c r="C72" s="37">
        <v>35</v>
      </c>
      <c r="D72" s="37" t="s">
        <v>63</v>
      </c>
      <c r="E72" s="56" t="s">
        <v>23</v>
      </c>
      <c r="F72" s="57" t="s">
        <v>133</v>
      </c>
      <c r="G72" s="57">
        <v>1</v>
      </c>
      <c r="H72" s="73">
        <f>G72/C72</f>
        <v>2.8571428571428571E-2</v>
      </c>
    </row>
    <row r="73" spans="2:8" ht="21" customHeight="1" outlineLevel="1" thickTop="1" thickBot="1" x14ac:dyDescent="0.35">
      <c r="B73" s="76" t="s">
        <v>172</v>
      </c>
      <c r="C73" s="37">
        <f>SUBTOTAL(9,C72:C72)</f>
        <v>35</v>
      </c>
      <c r="D73" s="37"/>
      <c r="E73" s="56"/>
      <c r="F73" s="57"/>
      <c r="G73" s="57">
        <f>SUBTOTAL(9,G72:G72)</f>
        <v>1</v>
      </c>
      <c r="H73" s="73">
        <f>SUBTOTAL(9,H72:H72)</f>
        <v>2.8571428571428571E-2</v>
      </c>
    </row>
    <row r="74" spans="2:8" ht="25.8" customHeight="1" outlineLevel="2" thickTop="1" thickBot="1" x14ac:dyDescent="0.35">
      <c r="B74" s="15" t="s">
        <v>94</v>
      </c>
      <c r="C74" s="16">
        <v>55</v>
      </c>
      <c r="D74" s="16" t="s">
        <v>64</v>
      </c>
      <c r="E74" s="17" t="s">
        <v>29</v>
      </c>
      <c r="F74" s="18" t="s">
        <v>127</v>
      </c>
      <c r="G74" s="18">
        <v>0</v>
      </c>
      <c r="H74" s="63">
        <v>0</v>
      </c>
    </row>
    <row r="75" spans="2:8" ht="19.8" customHeight="1" outlineLevel="1" thickTop="1" thickBot="1" x14ac:dyDescent="0.35">
      <c r="B75" s="77" t="s">
        <v>173</v>
      </c>
      <c r="C75" s="53">
        <f>SUBTOTAL(9,C74:C74)</f>
        <v>55</v>
      </c>
      <c r="D75" s="53"/>
      <c r="E75" s="17"/>
      <c r="F75" s="18"/>
      <c r="G75" s="18">
        <f>SUBTOTAL(9,G74:G74)</f>
        <v>0</v>
      </c>
      <c r="H75" s="63">
        <f>SUBTOTAL(9,H74:H74)</f>
        <v>0</v>
      </c>
    </row>
    <row r="76" spans="2:8" ht="15.6" thickTop="1" thickBot="1" x14ac:dyDescent="0.35">
      <c r="B76" s="2"/>
      <c r="C76" s="2"/>
      <c r="D76" s="2"/>
      <c r="E76" s="11"/>
      <c r="F76" s="2"/>
      <c r="G76" s="2"/>
      <c r="H76" s="74"/>
    </row>
    <row r="77" spans="2:8" ht="15" thickTop="1" x14ac:dyDescent="0.3"/>
  </sheetData>
  <sortState ref="E40:G42">
    <sortCondition descending="1" ref="G40:G42"/>
  </sortState>
  <mergeCells count="27">
    <mergeCell ref="B61:B63"/>
    <mergeCell ref="D16:D17"/>
    <mergeCell ref="B16:B17"/>
    <mergeCell ref="B55:B56"/>
    <mergeCell ref="D55:D56"/>
    <mergeCell ref="C61:C63"/>
    <mergeCell ref="D61:D63"/>
    <mergeCell ref="D2:D4"/>
    <mergeCell ref="B2:B4"/>
    <mergeCell ref="C2:C4"/>
    <mergeCell ref="D58:D59"/>
    <mergeCell ref="B58:B59"/>
    <mergeCell ref="B23:B27"/>
    <mergeCell ref="C16:C17"/>
    <mergeCell ref="B41:B43"/>
    <mergeCell ref="D41:D43"/>
    <mergeCell ref="C41:C43"/>
    <mergeCell ref="C55:C56"/>
    <mergeCell ref="C58:C59"/>
    <mergeCell ref="C23:C27"/>
    <mergeCell ref="D23:D27"/>
    <mergeCell ref="B65:B67"/>
    <mergeCell ref="D65:D67"/>
    <mergeCell ref="B69:B70"/>
    <mergeCell ref="D69:D70"/>
    <mergeCell ref="C65:C67"/>
    <mergeCell ref="C69:C70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4"/>
  <sheetViews>
    <sheetView tabSelected="1" workbookViewId="0">
      <selection activeCell="D3" sqref="D3"/>
    </sheetView>
  </sheetViews>
  <sheetFormatPr defaultRowHeight="14.4" x14ac:dyDescent="0.3"/>
  <cols>
    <col min="1" max="1" width="14.21875" customWidth="1"/>
    <col min="4" max="4" width="17.44140625" customWidth="1"/>
  </cols>
  <sheetData>
    <row r="1" spans="2:6" ht="15.6" thickTop="1" thickBot="1" x14ac:dyDescent="0.35">
      <c r="B1" s="2"/>
      <c r="C1" s="2"/>
      <c r="D1" s="2"/>
      <c r="E1" s="2"/>
    </row>
    <row r="2" spans="2:6" ht="32.4" thickTop="1" thickBot="1" x14ac:dyDescent="0.35">
      <c r="B2" s="2">
        <v>50</v>
      </c>
      <c r="C2" s="2"/>
      <c r="D2" s="3" t="s">
        <v>37</v>
      </c>
      <c r="E2" s="4">
        <v>11</v>
      </c>
      <c r="F2" s="95">
        <f>E2/B2</f>
        <v>0.22</v>
      </c>
    </row>
    <row r="3" spans="2:6" ht="16.8" thickTop="1" thickBot="1" x14ac:dyDescent="0.35">
      <c r="B3" s="2"/>
      <c r="C3" s="2"/>
      <c r="D3" s="3" t="s">
        <v>38</v>
      </c>
      <c r="E3" s="5">
        <v>4</v>
      </c>
    </row>
    <row r="4" spans="2:6" ht="15" thickTop="1" x14ac:dyDescent="0.3"/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3"/>
  <sheetViews>
    <sheetView workbookViewId="0">
      <selection activeCell="C17" sqref="A1:XFD1048576"/>
    </sheetView>
  </sheetViews>
  <sheetFormatPr defaultRowHeight="14.4" x14ac:dyDescent="0.3"/>
  <cols>
    <col min="2" max="2" width="6.77734375" style="1" customWidth="1"/>
    <col min="3" max="3" width="48.77734375" style="1" customWidth="1"/>
    <col min="5" max="5" width="8.88671875" style="95"/>
  </cols>
  <sheetData>
    <row r="1" spans="2:5" ht="15.6" thickTop="1" thickBot="1" x14ac:dyDescent="0.35">
      <c r="B1" s="11"/>
      <c r="C1" s="11"/>
      <c r="D1" s="2"/>
      <c r="E1" s="96"/>
    </row>
    <row r="2" spans="2:5" ht="32.4" thickTop="1" thickBot="1" x14ac:dyDescent="0.35">
      <c r="B2" s="6">
        <v>40</v>
      </c>
      <c r="C2" s="6" t="s">
        <v>17</v>
      </c>
      <c r="D2" s="2">
        <v>8</v>
      </c>
      <c r="E2" s="96">
        <f>D2/B2</f>
        <v>0.2</v>
      </c>
    </row>
    <row r="3" spans="2:5" ht="31.2" thickTop="1" thickBot="1" x14ac:dyDescent="0.35">
      <c r="B3" s="94">
        <v>71</v>
      </c>
      <c r="C3" s="7" t="s">
        <v>8</v>
      </c>
      <c r="D3" s="2">
        <v>2</v>
      </c>
      <c r="E3" s="96">
        <f>D3/71</f>
        <v>2.8169014084507043E-2</v>
      </c>
    </row>
    <row r="4" spans="2:5" ht="31.2" thickTop="1" thickBot="1" x14ac:dyDescent="0.35">
      <c r="B4" s="94"/>
      <c r="C4" s="7" t="s">
        <v>7</v>
      </c>
      <c r="D4" s="2">
        <v>1</v>
      </c>
      <c r="E4" s="96">
        <f t="shared" ref="E4:E5" si="0">D4/71</f>
        <v>1.4084507042253521E-2</v>
      </c>
    </row>
    <row r="5" spans="2:5" ht="31.2" thickTop="1" thickBot="1" x14ac:dyDescent="0.35">
      <c r="B5" s="94"/>
      <c r="C5" s="7" t="s">
        <v>9</v>
      </c>
      <c r="D5" s="2">
        <v>1</v>
      </c>
      <c r="E5" s="96">
        <f t="shared" si="0"/>
        <v>1.4084507042253521E-2</v>
      </c>
    </row>
    <row r="6" spans="2:5" ht="16.2" thickTop="1" thickBot="1" x14ac:dyDescent="0.35">
      <c r="B6" s="8"/>
      <c r="C6" s="8" t="s">
        <v>19</v>
      </c>
      <c r="D6" s="2">
        <v>2</v>
      </c>
      <c r="E6" s="96"/>
    </row>
    <row r="7" spans="2:5" ht="16.8" thickTop="1" thickBot="1" x14ac:dyDescent="0.35">
      <c r="B7" s="3"/>
      <c r="C7" s="8" t="s">
        <v>0</v>
      </c>
      <c r="D7" s="2">
        <v>1</v>
      </c>
      <c r="E7" s="96"/>
    </row>
    <row r="8" spans="2:5" ht="16.8" thickTop="1" thickBot="1" x14ac:dyDescent="0.35">
      <c r="B8" s="3"/>
      <c r="C8" s="3" t="s">
        <v>36</v>
      </c>
      <c r="D8" s="2">
        <v>1</v>
      </c>
      <c r="E8" s="96"/>
    </row>
    <row r="9" spans="2:5" ht="32.4" thickTop="1" thickBot="1" x14ac:dyDescent="0.35">
      <c r="B9" s="9"/>
      <c r="C9" s="3" t="s">
        <v>102</v>
      </c>
      <c r="D9" s="2">
        <v>1</v>
      </c>
      <c r="E9" s="96"/>
    </row>
    <row r="10" spans="2:5" ht="48" thickTop="1" thickBot="1" x14ac:dyDescent="0.35">
      <c r="B10" s="8"/>
      <c r="C10" s="9" t="s">
        <v>25</v>
      </c>
      <c r="D10" s="2">
        <v>1</v>
      </c>
      <c r="E10" s="96"/>
    </row>
    <row r="11" spans="2:5" ht="16.2" thickTop="1" thickBot="1" x14ac:dyDescent="0.35">
      <c r="B11" s="10"/>
      <c r="C11" s="10" t="s">
        <v>1</v>
      </c>
      <c r="D11" s="2">
        <v>1</v>
      </c>
      <c r="E11" s="96"/>
    </row>
    <row r="12" spans="2:5" ht="15.6" thickTop="1" thickBot="1" x14ac:dyDescent="0.35">
      <c r="B12" s="11"/>
      <c r="C12" s="11"/>
      <c r="D12" s="2"/>
      <c r="E12" s="96"/>
    </row>
    <row r="13" spans="2:5" ht="15" thickTop="1" x14ac:dyDescent="0.3"/>
  </sheetData>
  <sortState ref="C7:E12">
    <sortCondition descending="1" ref="D7:D12"/>
  </sortState>
  <mergeCells count="1">
    <mergeCell ref="B3:B5"/>
  </mergeCells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Sheet3</vt:lpstr>
      <vt:lpstr>Sheet2</vt:lpstr>
      <vt:lpstr>Sheet1!__DdeLink__374_2158327081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2025-01-06T15:22:53Z</dcterms:created>
  <dcterms:modified xsi:type="dcterms:W3CDTF">2025-06-01T13:39:29Z</dcterms:modified>
</cp:coreProperties>
</file>