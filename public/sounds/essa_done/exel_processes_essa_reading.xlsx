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2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3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hinese\python\praat\essa_done\"/>
    </mc:Choice>
  </mc:AlternateContent>
  <bookViews>
    <workbookView xWindow="0" yWindow="0" windowWidth="13296" windowHeight="8220" activeTab="1"/>
  </bookViews>
  <sheets>
    <sheet name="Sheet1" sheetId="1" r:id="rId1"/>
    <sheet name="Sheet2" sheetId="2" r:id="rId2"/>
    <sheet name="Sheet3" sheetId="3" r:id="rId3"/>
  </sheets>
  <definedNames>
    <definedName name="__DdeLink__1139_1280826453" localSheetId="0">Sheet1!#REF!</definedName>
    <definedName name="__DdeLink__299_4019134822" localSheetId="0">Sheet1!#REF!</definedName>
    <definedName name="__DdeLink__347_3841694636" localSheetId="0">Sheet1!#REF!</definedName>
    <definedName name="__DdeLink__355_3344034610" localSheetId="0">Sheet1!$E$147</definedName>
    <definedName name="__DdeLink__363_4195966084" localSheetId="0">Sheet1!#REF!</definedName>
    <definedName name="__DdeLink__366_1609274354" localSheetId="0">Sheet1!$E$261</definedName>
    <definedName name="__DdeLink__374_2158327081" localSheetId="0">Sheet1!#REF!</definedName>
    <definedName name="__DdeLink__429_690101127" localSheetId="0">Sheet1!$E$271</definedName>
    <definedName name="__DdeLink__450_690101127" localSheetId="0">Sheet1!$E$187</definedName>
    <definedName name="__DdeLink__454_4201205227" localSheetId="0">Sheet1!$E$205</definedName>
    <definedName name="__DdeLink__461_690101127" localSheetId="0">Sheet1!$E$202</definedName>
    <definedName name="__DdeLink__481_750636418" localSheetId="0">Sheet1!$E$329</definedName>
    <definedName name="__DdeLink__502_3099655138" localSheetId="0">Sheet1!$E$146</definedName>
    <definedName name="__DdeLink__525_3099655138" localSheetId="0">Sheet1!$E$157</definedName>
    <definedName name="__DdeLink__533_4201205227" localSheetId="0">Sheet1!$E$145</definedName>
    <definedName name="__DdeLink__573_3099655138" localSheetId="0">Sheet1!$E$149</definedName>
    <definedName name="__DdeLink__588_3099655138" localSheetId="0">Sheet1!#REF!</definedName>
    <definedName name="__DdeLink__741_3099655138" localSheetId="0">Sheet1!#REF!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87" i="1" l="1"/>
  <c r="G87" i="1"/>
  <c r="H82" i="1"/>
  <c r="G82" i="1"/>
  <c r="H79" i="1"/>
  <c r="H78" i="1"/>
  <c r="G79" i="1"/>
  <c r="H73" i="1"/>
  <c r="G73" i="1"/>
  <c r="H69" i="1"/>
  <c r="G69" i="1"/>
  <c r="H65" i="1"/>
  <c r="G65" i="1"/>
  <c r="H57" i="1"/>
  <c r="G57" i="1"/>
  <c r="H54" i="1"/>
  <c r="G54" i="1"/>
  <c r="H49" i="1"/>
  <c r="G49" i="1"/>
  <c r="H46" i="1"/>
  <c r="G46" i="1"/>
  <c r="H43" i="1"/>
  <c r="H42" i="1"/>
  <c r="G43" i="1"/>
  <c r="H39" i="1"/>
  <c r="G39" i="1"/>
  <c r="H36" i="1"/>
  <c r="H34" i="1"/>
  <c r="G34" i="1"/>
  <c r="H31" i="1"/>
  <c r="G31" i="1"/>
  <c r="H24" i="1"/>
  <c r="G24" i="1"/>
  <c r="H17" i="1"/>
  <c r="H15" i="1"/>
  <c r="H13" i="1"/>
  <c r="H11" i="1"/>
  <c r="H10" i="1"/>
  <c r="G11" i="1"/>
  <c r="H8" i="1"/>
  <c r="G8" i="1"/>
  <c r="H4" i="1"/>
  <c r="G4" i="1"/>
  <c r="E16" i="3" l="1"/>
  <c r="E15" i="3"/>
  <c r="E14" i="3"/>
  <c r="E8" i="3"/>
  <c r="E6" i="3"/>
  <c r="H86" i="1"/>
  <c r="H83" i="1"/>
  <c r="H80" i="1"/>
  <c r="H74" i="1"/>
  <c r="H70" i="1"/>
  <c r="H67" i="1"/>
  <c r="H64" i="1"/>
  <c r="H60" i="1"/>
  <c r="H59" i="1"/>
  <c r="H56" i="1"/>
  <c r="H55" i="1"/>
  <c r="H50" i="1"/>
  <c r="H48" i="1"/>
  <c r="H47" i="1"/>
  <c r="H44" i="1"/>
  <c r="H40" i="1"/>
  <c r="H37" i="1"/>
  <c r="H35" i="1"/>
  <c r="H32" i="1"/>
  <c r="H30" i="1"/>
  <c r="H29" i="1"/>
  <c r="H28" i="1"/>
  <c r="H27" i="1"/>
  <c r="H26" i="1"/>
  <c r="H25" i="1"/>
  <c r="H23" i="1"/>
  <c r="H22" i="1"/>
  <c r="H21" i="1"/>
  <c r="H20" i="1"/>
  <c r="H14" i="1"/>
  <c r="H12" i="1"/>
  <c r="H9" i="1"/>
  <c r="H7" i="1"/>
  <c r="H6" i="1"/>
  <c r="H5" i="1"/>
  <c r="H3" i="1"/>
  <c r="H2" i="1"/>
  <c r="F9" i="2" l="1"/>
  <c r="F4" i="2"/>
  <c r="F5" i="2"/>
  <c r="F6" i="2"/>
  <c r="F7" i="2"/>
  <c r="F3" i="2"/>
  <c r="F2" i="2"/>
  <c r="H84" i="1"/>
  <c r="H85" i="1"/>
  <c r="H81" i="1"/>
  <c r="H77" i="1"/>
  <c r="H75" i="1"/>
  <c r="H76" i="1"/>
  <c r="H72" i="1"/>
  <c r="H71" i="1"/>
  <c r="H68" i="1"/>
  <c r="H61" i="1"/>
  <c r="H62" i="1"/>
  <c r="H63" i="1"/>
  <c r="H51" i="1"/>
  <c r="H52" i="1"/>
  <c r="H53" i="1"/>
  <c r="H45" i="1"/>
  <c r="H41" i="1"/>
  <c r="H38" i="1"/>
  <c r="H33" i="1"/>
  <c r="H16" i="1"/>
  <c r="E19" i="2" l="1"/>
  <c r="G90" i="1" l="1"/>
</calcChain>
</file>

<file path=xl/sharedStrings.xml><?xml version="1.0" encoding="utf-8"?>
<sst xmlns="http://schemas.openxmlformats.org/spreadsheetml/2006/main" count="243" uniqueCount="194">
  <si>
    <t>Metathesis</t>
  </si>
  <si>
    <t>Vowelization</t>
  </si>
  <si>
    <t xml:space="preserve">Glottalization(substitution of [ʕ] with [ʔ]), </t>
  </si>
  <si>
    <t>Glottalization(substitution of [ɣ] with [ʔ])</t>
  </si>
  <si>
    <t>Glottalization(substitution of [dˤ] with [ʔ]),</t>
  </si>
  <si>
    <t>substitution of [l] with [r]</t>
  </si>
  <si>
    <t>substitution of [q] with [g]</t>
  </si>
  <si>
    <t>substitution of [q] with [k]</t>
  </si>
  <si>
    <t>Epenthesis(insertion of [ æ] phone between consonant cluster)</t>
  </si>
  <si>
    <t>Epenthesis(insertion of [ ɑ] phone between consonant cluster)</t>
  </si>
  <si>
    <t>Epenthesis(insertion of [ɪ] phone between consonant cluster)</t>
  </si>
  <si>
    <t>substitution of [ɣ] with [ʕ]</t>
  </si>
  <si>
    <t>substitution of [ɣ] with [h]</t>
  </si>
  <si>
    <t>substitution of [χ] with [ħ]</t>
  </si>
  <si>
    <t xml:space="preserve">Aspiration ( substitution of [k]with [kʰ]) , </t>
  </si>
  <si>
    <t xml:space="preserve">Aspiration ( substitution of [t]with [tʰ]) </t>
  </si>
  <si>
    <t xml:space="preserve">Aspiration ( substitution of [ tˤ]with [tˤʰ] </t>
  </si>
  <si>
    <t xml:space="preserve">depharyngealization(substitution of [sˤ] with [s]), </t>
  </si>
  <si>
    <t>substitution of [ʃ] with [s]</t>
  </si>
  <si>
    <t>pharyngealization(substitution of [t] with [tˤ]),</t>
  </si>
  <si>
    <t>depharyngealization(substitution of [dˤ] with [d]),</t>
  </si>
  <si>
    <t>depharyngealization and aspiration (substitution of [tˤ] with [tʰ]),</t>
  </si>
  <si>
    <t>Devoicing(substitution of [d͡ʒ] with [t͡ʃ])</t>
  </si>
  <si>
    <t xml:space="preserve">depharyngealization and devoicing(substitution of [dˤ] with [t]) </t>
  </si>
  <si>
    <t>degemination(reduce consonant cluster to one single consonant)</t>
  </si>
  <si>
    <t>deaffrication(substitution of [d͡ʒ]with [ʒ])</t>
  </si>
  <si>
    <t>substitution of [ħ]with [χ]</t>
  </si>
  <si>
    <t>substitution of [h]with [χ]</t>
  </si>
  <si>
    <t>substitution of [ħ]with [h]</t>
  </si>
  <si>
    <t>substitution of [h]with [ħ]</t>
  </si>
  <si>
    <t>Epenthesis(insert vowel [ʊ] between  consnant cluster)</t>
  </si>
  <si>
    <t>deaffrication and devoicing(substitution of [d͡ʒ]with [k])</t>
  </si>
  <si>
    <t>deaffrication and devoicing(substitution of [d͡ʒ]with [ʃ])</t>
  </si>
  <si>
    <t>devoicing(substitution of [d]with [t])</t>
  </si>
  <si>
    <t>substitution of [ʕ]with [ɣ]</t>
  </si>
  <si>
    <t>devoicing(substitution of [b]with [p]), Aspiration ( substitution of [p]with [pʰ]) ,</t>
  </si>
  <si>
    <t>devoicing(substitution of [b]with [p]</t>
  </si>
  <si>
    <t>syllable structure process (consonant insertion of  [l] phone)</t>
  </si>
  <si>
    <t>syllable structure process (consonant insertion of  [n] phone)</t>
  </si>
  <si>
    <t>syllable structure process (consonant deletion of  [n] phone)</t>
  </si>
  <si>
    <t>syllable structure process (final syllable deletion)</t>
  </si>
  <si>
    <t>final consonant deletion</t>
  </si>
  <si>
    <t>Nasal assimilation</t>
  </si>
  <si>
    <t>Definite Article deletion</t>
  </si>
  <si>
    <t>insertion of  Definite Article to the following word</t>
  </si>
  <si>
    <t>insertion of  Definite Article</t>
  </si>
  <si>
    <t>replace the Modern Standard Arabic diphthong [æj]with the colloquial arabic vowel[e:]</t>
  </si>
  <si>
    <r>
      <t>replace the Modern Standard Arabic diphthong [</t>
    </r>
    <r>
      <rPr>
        <sz val="15"/>
        <color rgb="FF000000"/>
        <rFont val="Segoe UI"/>
        <family val="2"/>
      </rPr>
      <t xml:space="preserve"> ɑ</t>
    </r>
    <r>
      <rPr>
        <b/>
        <sz val="12"/>
        <color theme="1"/>
        <rFont val="Arial"/>
        <family val="2"/>
      </rPr>
      <t>j]with the colloquial arabic vowel[e:]</t>
    </r>
  </si>
  <si>
    <t>replace the Modern Standard Arabic diphthong [æw]with the colloquial arabic vowel[o:]</t>
  </si>
  <si>
    <t>replace the Modern Standard Arabic diphthong [æw]with the colloquial arabic vowel[u:]</t>
  </si>
  <si>
    <t>replace the Modern Standard Arabic diphthong [ɑw]with the colloquial arabic vowel[o:]</t>
  </si>
  <si>
    <t>replace the Modern Standard Arabic consonant [θ]with the colloquial arabic consonant [s]</t>
  </si>
  <si>
    <t>replace the Modern Standard Arabic consonant [ðˤ]with the colloquial arabic consonant [zˤ]</t>
  </si>
  <si>
    <t>replace the Modern Standard Arabic consonant [ð]with the colloquial arabic consonant [z]</t>
  </si>
  <si>
    <t>replace  [ʔ]with  [j] affected by colloquial arabic</t>
  </si>
  <si>
    <t>replace  [j]with  [i:] affected by colloquial Arabic</t>
  </si>
  <si>
    <t>consonant deletion  of [ʔ] phone affected by colloquial Arabic</t>
  </si>
  <si>
    <r>
      <t>replace</t>
    </r>
    <r>
      <rPr>
        <sz val="12"/>
        <color theme="1"/>
        <rFont val="Arial"/>
        <family val="2"/>
      </rPr>
      <t xml:space="preserve"> feminine with masculine</t>
    </r>
  </si>
  <si>
    <r>
      <t>replace</t>
    </r>
    <r>
      <rPr>
        <sz val="12"/>
        <color theme="1"/>
        <rFont val="Arial"/>
        <family val="2"/>
      </rPr>
      <t xml:space="preserve"> masculine  with feminine</t>
    </r>
  </si>
  <si>
    <t>Deletion of feminine marker</t>
  </si>
  <si>
    <t>س</t>
  </si>
  <si>
    <t>ز</t>
  </si>
  <si>
    <t>ث</t>
  </si>
  <si>
    <t>ظ</t>
  </si>
  <si>
    <t>ذ</t>
  </si>
  <si>
    <t>ك</t>
  </si>
  <si>
    <t>ج</t>
  </si>
  <si>
    <t>ق</t>
  </si>
  <si>
    <t>ش</t>
  </si>
  <si>
    <t>خ</t>
  </si>
  <si>
    <t>غ</t>
  </si>
  <si>
    <t>ع</t>
  </si>
  <si>
    <t>ح</t>
  </si>
  <si>
    <t>ه</t>
  </si>
  <si>
    <t>ء</t>
  </si>
  <si>
    <t>ف</t>
  </si>
  <si>
    <t>ن</t>
  </si>
  <si>
    <t>م</t>
  </si>
  <si>
    <t>ب</t>
  </si>
  <si>
    <t>ط</t>
  </si>
  <si>
    <t>ت</t>
  </si>
  <si>
    <t>د</t>
  </si>
  <si>
    <t>ض</t>
  </si>
  <si>
    <t>و</t>
  </si>
  <si>
    <t>ي</t>
  </si>
  <si>
    <t xml:space="preserve">ر </t>
  </si>
  <si>
    <t xml:space="preserve">ل  </t>
  </si>
  <si>
    <t>r</t>
  </si>
  <si>
    <t>l</t>
  </si>
  <si>
    <t>s</t>
  </si>
  <si>
    <t>z</t>
  </si>
  <si>
    <t>θ</t>
  </si>
  <si>
    <t>ðˤ</t>
  </si>
  <si>
    <t>ð</t>
  </si>
  <si>
    <t>k</t>
  </si>
  <si>
    <t>g</t>
  </si>
  <si>
    <t>q</t>
  </si>
  <si>
    <t>ʃ</t>
  </si>
  <si>
    <t>χ</t>
  </si>
  <si>
    <t>ɣ</t>
  </si>
  <si>
    <t>ʕ</t>
  </si>
  <si>
    <t>ħ</t>
  </si>
  <si>
    <t>h</t>
  </si>
  <si>
    <t>ʔ</t>
  </si>
  <si>
    <t>f</t>
  </si>
  <si>
    <t>n</t>
  </si>
  <si>
    <t>m</t>
  </si>
  <si>
    <t>b</t>
  </si>
  <si>
    <t>tˤ</t>
  </si>
  <si>
    <t>t</t>
  </si>
  <si>
    <t>d</t>
  </si>
  <si>
    <t>dˤ</t>
  </si>
  <si>
    <t>w</t>
  </si>
  <si>
    <t>j</t>
  </si>
  <si>
    <t>letter</t>
  </si>
  <si>
    <t>arabic letter</t>
  </si>
  <si>
    <t>phonological_processes</t>
  </si>
  <si>
    <t>substitution of [t]with [t͡s ]</t>
  </si>
  <si>
    <t xml:space="preserve">pharyngealization(substitution of [s] with [sˤ]), </t>
  </si>
  <si>
    <t xml:space="preserve">depharyngealization  (substitution of [tˤ] with [t]) </t>
  </si>
  <si>
    <t>substitution of [χ] with [h]</t>
  </si>
  <si>
    <t xml:space="preserve">devoicing(substitution of [d]with [d̥])  </t>
  </si>
  <si>
    <t>devoicing(substitution of [z]with [s]),</t>
  </si>
  <si>
    <t>devoicing(substitution of [dˤ]with [tˤ])</t>
  </si>
  <si>
    <t>depharyngealization(substitution of [ɲ] with [n])</t>
  </si>
  <si>
    <t>number</t>
  </si>
  <si>
    <t xml:space="preserve"> lateralization(substitution of [r] with [l]), </t>
  </si>
  <si>
    <t>devoicing (substitution of [d͡ʒ]with [d͡ʒ̥ ])</t>
  </si>
  <si>
    <t>Epenthesis(insert diphthong [u:] between  consnant cluster)</t>
  </si>
  <si>
    <t>assimilation (the  [n] phone changes to  [d]  phone to become  similar to the nearby  phone[d])</t>
  </si>
  <si>
    <t>substitution of [k]with [χ]</t>
  </si>
  <si>
    <t>assimilation (the  [n] phone changes to  [k]  phone to become  similar to the nearby  phone[k])</t>
  </si>
  <si>
    <t>assimilation (the  [n] phone changes to  [t]  phone to become  similar to the nearby  phone[t])</t>
  </si>
  <si>
    <t>Glottalization(substitution of [k] with [ʔ])</t>
  </si>
  <si>
    <t>assimilation (the  [s] phone changes to  [ʃ] to become  similar to the nearby  phone[ʃ])</t>
  </si>
  <si>
    <t>substitution of [d͡ʒ] with [f]</t>
  </si>
  <si>
    <t>assimilation (the  [n] phone changes to  [s] to become  similar to the nearby  phone[ s])</t>
  </si>
  <si>
    <t>substitution of [t]with [n]</t>
  </si>
  <si>
    <t>syllable structure process (consonant insertion of  [s] phone)</t>
  </si>
  <si>
    <t>substitution of [h]with [t]</t>
  </si>
  <si>
    <t>substitution of [k]with [q]</t>
  </si>
  <si>
    <t>pharyngealization(substitution of [θ] with [sˤ]),</t>
  </si>
  <si>
    <t>misreading</t>
  </si>
  <si>
    <t>replace  [ʔ]with  [æj] affected by colloquial arabic</t>
  </si>
  <si>
    <t>replace  [ʔ]with  [ɑ] affected by colloquial arabic</t>
  </si>
  <si>
    <t xml:space="preserve">replace  trilled [r] with alveolar tap [ɾ]  " </t>
  </si>
  <si>
    <t>replace the Modern Standard Arabic consonant [dˤ]with the colloquial arabic consonant [zˤ]</t>
  </si>
  <si>
    <t>fronting(substitution of [t] with [p])</t>
  </si>
  <si>
    <t>gliding(substitution of [ʔ] with [w])</t>
  </si>
  <si>
    <t>gliding(substitution of [l] with [j])</t>
  </si>
  <si>
    <t>gliding(substitution of [l] with [w])</t>
  </si>
  <si>
    <t>gliding(substitution of [h] with [j])</t>
  </si>
  <si>
    <t>gliding(substitution of [ʔ] with [j])</t>
  </si>
  <si>
    <r>
      <t>Monophthongization</t>
    </r>
    <r>
      <rPr>
        <sz val="12"/>
        <color theme="1"/>
        <rFont val="Arial"/>
        <family val="2"/>
      </rPr>
      <t/>
    </r>
  </si>
  <si>
    <t>Glottalization(substitution of [r] with [ʔ])</t>
  </si>
  <si>
    <t>sˤ</t>
  </si>
  <si>
    <t>[-]</t>
  </si>
  <si>
    <t>[l]</t>
  </si>
  <si>
    <t>[ʔ]</t>
  </si>
  <si>
    <t>[r]</t>
  </si>
  <si>
    <t>[j]</t>
  </si>
  <si>
    <t>[w]</t>
  </si>
  <si>
    <t>[sˤ]</t>
  </si>
  <si>
    <t>[ʃ]</t>
  </si>
  <si>
    <t>[s]</t>
  </si>
  <si>
    <t>[kʰ]</t>
  </si>
  <si>
    <t>[χ]</t>
  </si>
  <si>
    <t>[q]</t>
  </si>
  <si>
    <t>[f]</t>
  </si>
  <si>
    <t>[k]</t>
  </si>
  <si>
    <t>[d͡ʒ̥]</t>
  </si>
  <si>
    <t>[ʒ]</t>
  </si>
  <si>
    <t>[t͡ʃ]</t>
  </si>
  <si>
    <t>[g]</t>
  </si>
  <si>
    <t>[h]</t>
  </si>
  <si>
    <t>[ħ]</t>
  </si>
  <si>
    <t>[ʕ]</t>
  </si>
  <si>
    <t>[ɣ]</t>
  </si>
  <si>
    <t>[t]</t>
  </si>
  <si>
    <t>[n]</t>
  </si>
  <si>
    <t>[d]</t>
  </si>
  <si>
    <t>[p]</t>
  </si>
  <si>
    <t>[pʰ]</t>
  </si>
  <si>
    <t>[tʰ]</t>
  </si>
  <si>
    <t>[tˤʰ]</t>
  </si>
  <si>
    <t>[tˤ]</t>
  </si>
  <si>
    <t>[t͡s]</t>
  </si>
  <si>
    <t>[d̥]</t>
  </si>
  <si>
    <t>percetage</t>
  </si>
  <si>
    <t>total</t>
  </si>
  <si>
    <t>ص</t>
  </si>
  <si>
    <t xml:space="preserve">percentage </t>
  </si>
  <si>
    <t>TOTAL</t>
  </si>
  <si>
    <t>gemination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</si>
</sst>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Arial"/>
      <family val="2"/>
    </font>
    <font>
      <u/>
      <sz val="12"/>
      <color theme="1"/>
      <name val="Arial"/>
      <family val="2"/>
    </font>
    <font>
      <u/>
      <sz val="12"/>
      <color rgb="FFCE181E"/>
      <name val="Arial"/>
      <family val="2"/>
    </font>
    <font>
      <sz val="12"/>
      <color rgb="FFCE181E"/>
      <name val="Arial"/>
      <family val="2"/>
    </font>
    <font>
      <b/>
      <sz val="12"/>
      <color theme="1"/>
      <name val="Arial"/>
      <family val="2"/>
    </font>
    <font>
      <b/>
      <sz val="12"/>
      <color rgb="FFCE181E"/>
      <name val="Arial"/>
      <family val="2"/>
    </font>
    <font>
      <sz val="15"/>
      <color rgb="FF000000"/>
      <name val="Segoe UI"/>
      <family val="2"/>
    </font>
    <font>
      <b/>
      <sz val="12"/>
      <color rgb="FFFF0000"/>
      <name val="Arial"/>
      <family val="2"/>
    </font>
    <font>
      <sz val="12"/>
      <color rgb="FFFF0000"/>
      <name val="Arial"/>
      <family val="2"/>
    </font>
    <font>
      <b/>
      <sz val="16"/>
      <color rgb="FFCE181E"/>
      <name val="Arial"/>
      <family val="2"/>
    </font>
    <font>
      <b/>
      <sz val="16"/>
      <color theme="1"/>
      <name val="Calibri"/>
      <family val="2"/>
      <scheme val="minor"/>
    </font>
    <font>
      <b/>
      <sz val="12"/>
      <name val="Arial"/>
      <family val="2"/>
    </font>
    <font>
      <sz val="12"/>
      <name val="Arial"/>
      <family val="2"/>
    </font>
    <font>
      <sz val="11"/>
      <name val="Calibri"/>
      <family val="2"/>
      <scheme val="minor"/>
    </font>
    <font>
      <sz val="11"/>
      <color theme="2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</borders>
  <cellStyleXfs count="11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9" fontId="1" fillId="0" borderId="0" applyFont="0" applyFill="0" applyBorder="0" applyAlignment="0" applyProtection="0"/>
  </cellStyleXfs>
  <cellXfs count="189">
    <xf numFmtId="0" fontId="0" fillId="0" borderId="0" xfId="0"/>
    <xf numFmtId="0" fontId="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/>
    <xf numFmtId="0" fontId="3" fillId="3" borderId="0" xfId="2" applyBorder="1" applyAlignment="1">
      <alignment horizontal="center" vertical="center"/>
    </xf>
    <xf numFmtId="0" fontId="3" fillId="3" borderId="0" xfId="2" applyBorder="1" applyAlignment="1">
      <alignment horizontal="center" vertical="center" wrapText="1" readingOrder="2"/>
    </xf>
    <xf numFmtId="0" fontId="3" fillId="3" borderId="0" xfId="2" applyBorder="1" applyAlignment="1">
      <alignment vertical="center"/>
    </xf>
    <xf numFmtId="0" fontId="6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12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7" fillId="0" borderId="0" xfId="0" applyFont="1" applyAlignment="1">
      <alignment vertical="center" wrapText="1"/>
    </xf>
    <xf numFmtId="0" fontId="3" fillId="3" borderId="0" xfId="2" applyAlignment="1">
      <alignment wrapText="1"/>
    </xf>
    <xf numFmtId="0" fontId="15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20" fillId="0" borderId="0" xfId="0" applyFont="1"/>
    <xf numFmtId="0" fontId="16" fillId="0" borderId="1" xfId="0" applyFont="1" applyBorder="1"/>
    <xf numFmtId="0" fontId="16" fillId="0" borderId="1" xfId="0" applyFont="1" applyBorder="1" applyAlignment="1">
      <alignment wrapText="1"/>
    </xf>
    <xf numFmtId="0" fontId="4" fillId="4" borderId="1" xfId="3" applyBorder="1" applyAlignment="1">
      <alignment vertical="center" wrapText="1"/>
    </xf>
    <xf numFmtId="0" fontId="4" fillId="4" borderId="1" xfId="3" applyBorder="1" applyAlignment="1">
      <alignment vertical="center"/>
    </xf>
    <xf numFmtId="0" fontId="3" fillId="3" borderId="1" xfId="2" applyBorder="1" applyAlignment="1">
      <alignment horizontal="center" vertical="center"/>
    </xf>
    <xf numFmtId="0" fontId="3" fillId="3" borderId="1" xfId="2" applyBorder="1" applyAlignment="1">
      <alignment vertical="center" wrapText="1"/>
    </xf>
    <xf numFmtId="0" fontId="3" fillId="3" borderId="1" xfId="2" applyBorder="1" applyAlignment="1">
      <alignment vertical="center"/>
    </xf>
    <xf numFmtId="0" fontId="2" fillId="2" borderId="1" xfId="1" applyBorder="1" applyAlignment="1">
      <alignment horizontal="center" vertical="center"/>
    </xf>
    <xf numFmtId="0" fontId="2" fillId="2" borderId="1" xfId="1" applyBorder="1" applyAlignment="1">
      <alignment wrapText="1"/>
    </xf>
    <xf numFmtId="0" fontId="2" fillId="2" borderId="1" xfId="1" applyBorder="1"/>
    <xf numFmtId="0" fontId="1" fillId="9" borderId="1" xfId="8" applyBorder="1" applyAlignment="1">
      <alignment horizontal="center" vertical="center"/>
    </xf>
    <xf numFmtId="0" fontId="1" fillId="9" borderId="1" xfId="8" applyBorder="1" applyAlignment="1">
      <alignment horizontal="center" vertical="center" wrapText="1" readingOrder="2"/>
    </xf>
    <xf numFmtId="0" fontId="0" fillId="9" borderId="1" xfId="8" applyFont="1" applyBorder="1" applyAlignment="1">
      <alignment wrapText="1"/>
    </xf>
    <xf numFmtId="0" fontId="1" fillId="9" borderId="1" xfId="8" applyBorder="1"/>
    <xf numFmtId="0" fontId="3" fillId="3" borderId="1" xfId="2" applyBorder="1" applyAlignment="1">
      <alignment horizontal="center" vertical="center" wrapText="1" readingOrder="2"/>
    </xf>
    <xf numFmtId="0" fontId="3" fillId="3" borderId="1" xfId="2" applyBorder="1" applyAlignment="1">
      <alignment wrapText="1"/>
    </xf>
    <xf numFmtId="0" fontId="3" fillId="3" borderId="1" xfId="2" applyBorder="1"/>
    <xf numFmtId="0" fontId="2" fillId="2" borderId="1" xfId="1" applyBorder="1" applyAlignment="1">
      <alignment horizontal="center" vertical="center" wrapText="1" readingOrder="2"/>
    </xf>
    <xf numFmtId="0" fontId="2" fillId="2" borderId="1" xfId="1" applyBorder="1" applyAlignment="1">
      <alignment vertical="center" wrapText="1"/>
    </xf>
    <xf numFmtId="0" fontId="2" fillId="2" borderId="1" xfId="1" applyBorder="1" applyAlignment="1">
      <alignment vertical="center"/>
    </xf>
    <xf numFmtId="0" fontId="4" fillId="4" borderId="1" xfId="3" applyBorder="1" applyAlignment="1">
      <alignment horizontal="center" vertical="center"/>
    </xf>
    <xf numFmtId="0" fontId="4" fillId="4" borderId="1" xfId="3" applyBorder="1" applyAlignment="1">
      <alignment horizontal="center" vertical="center" wrapText="1" readingOrder="2"/>
    </xf>
    <xf numFmtId="0" fontId="1" fillId="9" borderId="1" xfId="8" applyBorder="1" applyAlignment="1">
      <alignment vertical="center"/>
    </xf>
    <xf numFmtId="0" fontId="5" fillId="9" borderId="1" xfId="8" applyFont="1" applyBorder="1" applyAlignment="1">
      <alignment vertical="center" wrapText="1"/>
    </xf>
    <xf numFmtId="0" fontId="5" fillId="9" borderId="1" xfId="8" applyFont="1" applyBorder="1" applyAlignment="1">
      <alignment vertical="center"/>
    </xf>
    <xf numFmtId="0" fontId="1" fillId="7" borderId="1" xfId="6" applyBorder="1" applyAlignment="1">
      <alignment horizontal="center" vertical="center"/>
    </xf>
    <xf numFmtId="0" fontId="1" fillId="7" borderId="1" xfId="6" applyBorder="1" applyAlignment="1">
      <alignment vertical="center"/>
    </xf>
    <xf numFmtId="0" fontId="1" fillId="7" borderId="1" xfId="6" applyBorder="1" applyAlignment="1">
      <alignment horizontal="center" vertical="center" wrapText="1" readingOrder="2"/>
    </xf>
    <xf numFmtId="0" fontId="0" fillId="7" borderId="1" xfId="6" applyFont="1" applyBorder="1" applyAlignment="1">
      <alignment vertical="center" wrapText="1"/>
    </xf>
    <xf numFmtId="0" fontId="0" fillId="5" borderId="1" xfId="4" applyFont="1" applyBorder="1" applyAlignment="1">
      <alignment vertical="center" wrapText="1"/>
    </xf>
    <xf numFmtId="0" fontId="1" fillId="5" borderId="1" xfId="4" applyBorder="1" applyAlignment="1">
      <alignment vertical="center"/>
    </xf>
    <xf numFmtId="0" fontId="1" fillId="5" borderId="1" xfId="4" applyBorder="1" applyAlignment="1">
      <alignment vertical="center" wrapText="1"/>
    </xf>
    <xf numFmtId="0" fontId="1" fillId="6" borderId="1" xfId="5" applyBorder="1" applyAlignment="1">
      <alignment vertical="center" wrapText="1"/>
    </xf>
    <xf numFmtId="0" fontId="1" fillId="6" borderId="1" xfId="5" applyBorder="1" applyAlignment="1">
      <alignment vertical="center"/>
    </xf>
    <xf numFmtId="0" fontId="1" fillId="8" borderId="1" xfId="7" applyBorder="1" applyAlignment="1">
      <alignment vertical="center" wrapText="1"/>
    </xf>
    <xf numFmtId="0" fontId="1" fillId="8" borderId="1" xfId="7" applyBorder="1" applyAlignment="1">
      <alignment vertical="center"/>
    </xf>
    <xf numFmtId="0" fontId="0" fillId="8" borderId="1" xfId="7" applyFont="1" applyBorder="1" applyAlignment="1">
      <alignment vertical="center" wrapText="1"/>
    </xf>
    <xf numFmtId="0" fontId="1" fillId="7" borderId="1" xfId="6" applyBorder="1" applyAlignment="1">
      <alignment vertical="center" wrapText="1"/>
    </xf>
    <xf numFmtId="0" fontId="17" fillId="11" borderId="1" xfId="0" applyFont="1" applyFill="1" applyBorder="1" applyAlignment="1">
      <alignment vertical="center" wrapText="1"/>
    </xf>
    <xf numFmtId="0" fontId="19" fillId="11" borderId="1" xfId="0" applyFont="1" applyFill="1" applyBorder="1"/>
    <xf numFmtId="0" fontId="18" fillId="11" borderId="1" xfId="0" applyFont="1" applyFill="1" applyBorder="1" applyAlignment="1">
      <alignment vertical="center" wrapText="1"/>
    </xf>
    <xf numFmtId="0" fontId="1" fillId="10" borderId="1" xfId="9" applyBorder="1" applyAlignment="1">
      <alignment vertical="center" wrapText="1"/>
    </xf>
    <xf numFmtId="0" fontId="1" fillId="10" borderId="1" xfId="9" applyBorder="1" applyAlignment="1">
      <alignment vertical="center"/>
    </xf>
    <xf numFmtId="0" fontId="1" fillId="9" borderId="2" xfId="8" applyBorder="1" applyAlignment="1">
      <alignment horizontal="center" vertical="center"/>
    </xf>
    <xf numFmtId="0" fontId="2" fillId="2" borderId="2" xfId="1" applyBorder="1" applyAlignment="1">
      <alignment horizontal="center" vertical="center"/>
    </xf>
    <xf numFmtId="10" fontId="16" fillId="0" borderId="1" xfId="10" applyNumberFormat="1" applyFont="1" applyBorder="1"/>
    <xf numFmtId="10" fontId="4" fillId="4" borderId="1" xfId="10" applyNumberFormat="1" applyFont="1" applyFill="1" applyBorder="1" applyAlignment="1">
      <alignment vertical="center"/>
    </xf>
    <xf numFmtId="10" fontId="3" fillId="3" borderId="1" xfId="10" applyNumberFormat="1" applyFont="1" applyFill="1" applyBorder="1" applyAlignment="1">
      <alignment vertical="center"/>
    </xf>
    <xf numFmtId="10" fontId="2" fillId="2" borderId="1" xfId="10" applyNumberFormat="1" applyFont="1" applyFill="1" applyBorder="1"/>
    <xf numFmtId="10" fontId="1" fillId="9" borderId="1" xfId="10" applyNumberFormat="1" applyFill="1" applyBorder="1"/>
    <xf numFmtId="10" fontId="3" fillId="3" borderId="1" xfId="10" applyNumberFormat="1" applyFont="1" applyFill="1" applyBorder="1"/>
    <xf numFmtId="10" fontId="2" fillId="2" borderId="1" xfId="10" applyNumberFormat="1" applyFont="1" applyFill="1" applyBorder="1" applyAlignment="1">
      <alignment vertical="center"/>
    </xf>
    <xf numFmtId="10" fontId="1" fillId="9" borderId="1" xfId="10" applyNumberFormat="1" applyFill="1" applyBorder="1" applyAlignment="1">
      <alignment vertical="center"/>
    </xf>
    <xf numFmtId="10" fontId="1" fillId="7" borderId="1" xfId="10" applyNumberFormat="1" applyFill="1" applyBorder="1" applyAlignment="1">
      <alignment vertical="center"/>
    </xf>
    <xf numFmtId="10" fontId="1" fillId="5" borderId="1" xfId="10" applyNumberFormat="1" applyFill="1" applyBorder="1" applyAlignment="1">
      <alignment vertical="center"/>
    </xf>
    <xf numFmtId="10" fontId="1" fillId="6" borderId="1" xfId="10" applyNumberFormat="1" applyFill="1" applyBorder="1" applyAlignment="1">
      <alignment vertical="center"/>
    </xf>
    <xf numFmtId="10" fontId="1" fillId="8" borderId="1" xfId="10" applyNumberFormat="1" applyFill="1" applyBorder="1" applyAlignment="1">
      <alignment vertical="center"/>
    </xf>
    <xf numFmtId="10" fontId="1" fillId="10" borderId="1" xfId="10" applyNumberFormat="1" applyFill="1" applyBorder="1" applyAlignment="1">
      <alignment vertical="center"/>
    </xf>
    <xf numFmtId="10" fontId="3" fillId="3" borderId="0" xfId="10" applyNumberFormat="1" applyFont="1" applyFill="1" applyBorder="1" applyAlignment="1">
      <alignment vertical="center"/>
    </xf>
    <xf numFmtId="10" fontId="6" fillId="0" borderId="0" xfId="10" applyNumberFormat="1" applyFont="1" applyAlignment="1">
      <alignment vertical="center"/>
    </xf>
    <xf numFmtId="10" fontId="15" fillId="0" borderId="0" xfId="10" applyNumberFormat="1" applyFont="1" applyAlignment="1">
      <alignment vertical="center"/>
    </xf>
    <xf numFmtId="10" fontId="10" fillId="0" borderId="0" xfId="10" applyNumberFormat="1" applyFont="1" applyAlignment="1">
      <alignment vertical="center"/>
    </xf>
    <xf numFmtId="10" fontId="11" fillId="0" borderId="0" xfId="10" applyNumberFormat="1" applyFont="1" applyAlignment="1">
      <alignment vertical="center"/>
    </xf>
    <xf numFmtId="10" fontId="12" fillId="0" borderId="0" xfId="10" applyNumberFormat="1" applyFont="1" applyAlignment="1">
      <alignment vertical="center"/>
    </xf>
    <xf numFmtId="10" fontId="13" fillId="0" borderId="0" xfId="10" applyNumberFormat="1" applyFont="1" applyAlignment="1">
      <alignment vertical="center"/>
    </xf>
    <xf numFmtId="10" fontId="14" fillId="0" borderId="0" xfId="10" applyNumberFormat="1" applyFont="1" applyAlignment="1">
      <alignment vertical="center"/>
    </xf>
    <xf numFmtId="10" fontId="7" fillId="0" borderId="0" xfId="10" applyNumberFormat="1" applyFont="1" applyAlignment="1">
      <alignment vertical="center"/>
    </xf>
    <xf numFmtId="10" fontId="0" fillId="0" borderId="0" xfId="10" applyNumberFormat="1" applyFont="1"/>
    <xf numFmtId="0" fontId="2" fillId="2" borderId="2" xfId="1" applyBorder="1" applyAlignment="1">
      <alignment horizontal="center" vertical="center" wrapText="1" readingOrder="2"/>
    </xf>
    <xf numFmtId="10" fontId="1" fillId="4" borderId="1" xfId="10" applyNumberFormat="1" applyFont="1" applyFill="1" applyBorder="1" applyAlignment="1">
      <alignment vertical="center"/>
    </xf>
    <xf numFmtId="0" fontId="1" fillId="4" borderId="1" xfId="3" applyFont="1" applyBorder="1" applyAlignment="1">
      <alignment vertical="center"/>
    </xf>
    <xf numFmtId="0" fontId="0" fillId="0" borderId="1" xfId="0" applyBorder="1"/>
    <xf numFmtId="0" fontId="10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0" fillId="0" borderId="1" xfId="0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wrapText="1"/>
    </xf>
    <xf numFmtId="0" fontId="0" fillId="0" borderId="4" xfId="0" applyBorder="1"/>
    <xf numFmtId="10" fontId="0" fillId="0" borderId="1" xfId="10" applyNumberFormat="1" applyFont="1" applyBorder="1"/>
    <xf numFmtId="0" fontId="15" fillId="0" borderId="5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0" fillId="0" borderId="5" xfId="0" applyBorder="1"/>
    <xf numFmtId="0" fontId="1" fillId="7" borderId="2" xfId="6" applyBorder="1" applyAlignment="1">
      <alignment horizontal="center" vertical="center"/>
    </xf>
    <xf numFmtId="0" fontId="1" fillId="7" borderId="4" xfId="6" applyBorder="1" applyAlignment="1">
      <alignment horizontal="center" vertical="center"/>
    </xf>
    <xf numFmtId="0" fontId="1" fillId="8" borderId="3" xfId="7" applyBorder="1" applyAlignment="1">
      <alignment horizontal="center" vertical="center" wrapText="1" readingOrder="2"/>
    </xf>
    <xf numFmtId="0" fontId="1" fillId="8" borderId="3" xfId="7" applyBorder="1" applyAlignment="1">
      <alignment horizontal="center" vertical="center"/>
    </xf>
    <xf numFmtId="0" fontId="3" fillId="3" borderId="4" xfId="2" applyBorder="1" applyAlignment="1">
      <alignment horizontal="center" vertical="center"/>
    </xf>
    <xf numFmtId="0" fontId="2" fillId="2" borderId="4" xfId="1" applyBorder="1" applyAlignment="1">
      <alignment horizontal="center" vertical="center"/>
    </xf>
    <xf numFmtId="0" fontId="1" fillId="5" borderId="3" xfId="4" applyBorder="1" applyAlignment="1">
      <alignment horizontal="center" vertical="center"/>
    </xf>
    <xf numFmtId="0" fontId="4" fillId="4" borderId="4" xfId="3" applyBorder="1" applyAlignment="1">
      <alignment horizontal="center" vertical="center"/>
    </xf>
    <xf numFmtId="0" fontId="3" fillId="3" borderId="3" xfId="2" applyBorder="1" applyAlignment="1">
      <alignment horizontal="center" vertical="center"/>
    </xf>
    <xf numFmtId="0" fontId="4" fillId="4" borderId="3" xfId="3" applyBorder="1" applyAlignment="1">
      <alignment horizontal="center" vertical="center"/>
    </xf>
    <xf numFmtId="0" fontId="3" fillId="3" borderId="3" xfId="2" applyBorder="1" applyAlignment="1">
      <alignment horizontal="center" vertical="center" wrapText="1" readingOrder="2"/>
    </xf>
    <xf numFmtId="0" fontId="3" fillId="3" borderId="4" xfId="2" applyBorder="1" applyAlignment="1">
      <alignment horizontal="center" vertical="center" wrapText="1" readingOrder="2"/>
    </xf>
    <xf numFmtId="0" fontId="2" fillId="2" borderId="4" xfId="1" applyBorder="1" applyAlignment="1">
      <alignment horizontal="center" vertical="center" wrapText="1" readingOrder="2"/>
    </xf>
    <xf numFmtId="0" fontId="1" fillId="5" borderId="3" xfId="4" applyBorder="1" applyAlignment="1">
      <alignment horizontal="center" vertical="center" wrapText="1" readingOrder="2"/>
    </xf>
    <xf numFmtId="0" fontId="1" fillId="7" borderId="3" xfId="6" applyBorder="1" applyAlignment="1">
      <alignment horizontal="center" vertical="center" wrapText="1"/>
    </xf>
    <xf numFmtId="0" fontId="1" fillId="7" borderId="2" xfId="6" applyBorder="1" applyAlignment="1">
      <alignment horizontal="center" vertical="center" wrapText="1" readingOrder="2"/>
    </xf>
    <xf numFmtId="0" fontId="1" fillId="7" borderId="3" xfId="6" applyBorder="1" applyAlignment="1">
      <alignment horizontal="center" vertical="center" wrapText="1" readingOrder="2"/>
    </xf>
    <xf numFmtId="0" fontId="1" fillId="7" borderId="4" xfId="6" applyBorder="1" applyAlignment="1">
      <alignment horizontal="center" vertical="center" wrapText="1" readingOrder="2"/>
    </xf>
    <xf numFmtId="0" fontId="2" fillId="2" borderId="3" xfId="1" applyBorder="1" applyAlignment="1">
      <alignment horizontal="center" vertical="center" wrapText="1" readingOrder="2"/>
    </xf>
    <xf numFmtId="0" fontId="2" fillId="2" borderId="3" xfId="1" applyBorder="1" applyAlignment="1">
      <alignment horizontal="center" vertical="center"/>
    </xf>
    <xf numFmtId="0" fontId="0" fillId="7" borderId="2" xfId="6" applyFont="1" applyBorder="1" applyAlignment="1">
      <alignment horizontal="center" vertical="center"/>
    </xf>
    <xf numFmtId="0" fontId="4" fillId="4" borderId="4" xfId="3" applyBorder="1" applyAlignment="1">
      <alignment horizontal="center" vertical="center" wrapText="1" readingOrder="2"/>
    </xf>
    <xf numFmtId="0" fontId="4" fillId="4" borderId="3" xfId="3" applyBorder="1" applyAlignment="1">
      <alignment horizontal="center" vertical="center" wrapText="1" readingOrder="2"/>
    </xf>
    <xf numFmtId="0" fontId="0" fillId="9" borderId="1" xfId="8" applyFont="1" applyBorder="1" applyAlignment="1">
      <alignment horizontal="center" vertical="center"/>
    </xf>
    <xf numFmtId="0" fontId="0" fillId="5" borderId="3" xfId="4" applyFont="1" applyBorder="1" applyAlignment="1">
      <alignment horizontal="center" vertical="center"/>
    </xf>
    <xf numFmtId="0" fontId="1" fillId="6" borderId="3" xfId="5" applyBorder="1" applyAlignment="1">
      <alignment horizontal="center" vertical="center"/>
    </xf>
    <xf numFmtId="0" fontId="1" fillId="6" borderId="3" xfId="5" applyBorder="1" applyAlignment="1">
      <alignment horizontal="center" vertical="center" wrapText="1" readingOrder="2"/>
    </xf>
    <xf numFmtId="0" fontId="0" fillId="6" borderId="3" xfId="5" applyFont="1" applyBorder="1" applyAlignment="1">
      <alignment horizontal="center" vertical="center"/>
    </xf>
    <xf numFmtId="0" fontId="0" fillId="8" borderId="3" xfId="7" applyFont="1" applyBorder="1" applyAlignment="1">
      <alignment horizontal="center" vertical="center"/>
    </xf>
    <xf numFmtId="0" fontId="0" fillId="7" borderId="3" xfId="6" applyFont="1" applyBorder="1" applyAlignment="1">
      <alignment horizontal="center" vertical="center"/>
    </xf>
    <xf numFmtId="0" fontId="0" fillId="7" borderId="4" xfId="6" applyFont="1" applyBorder="1" applyAlignment="1">
      <alignment horizontal="center" vertical="center"/>
    </xf>
    <xf numFmtId="0" fontId="1" fillId="7" borderId="2" xfId="6" applyBorder="1" applyAlignment="1">
      <alignment horizontal="center" vertical="center"/>
    </xf>
    <xf numFmtId="0" fontId="1" fillId="7" borderId="3" xfId="6" applyBorder="1" applyAlignment="1">
      <alignment horizontal="center" vertical="center"/>
    </xf>
    <xf numFmtId="0" fontId="1" fillId="7" borderId="4" xfId="6" applyBorder="1" applyAlignment="1">
      <alignment horizontal="center" vertical="center"/>
    </xf>
    <xf numFmtId="0" fontId="1" fillId="8" borderId="2" xfId="7" applyBorder="1" applyAlignment="1">
      <alignment horizontal="center" vertical="center" wrapText="1" readingOrder="2"/>
    </xf>
    <xf numFmtId="0" fontId="1" fillId="8" borderId="3" xfId="7" applyBorder="1" applyAlignment="1">
      <alignment horizontal="center" vertical="center" wrapText="1" readingOrder="2"/>
    </xf>
    <xf numFmtId="0" fontId="1" fillId="8" borderId="4" xfId="7" applyBorder="1" applyAlignment="1">
      <alignment horizontal="center" vertical="center" wrapText="1" readingOrder="2"/>
    </xf>
    <xf numFmtId="0" fontId="1" fillId="8" borderId="2" xfId="7" applyBorder="1" applyAlignment="1">
      <alignment horizontal="center" vertical="center"/>
    </xf>
    <xf numFmtId="0" fontId="1" fillId="8" borderId="3" xfId="7" applyBorder="1" applyAlignment="1">
      <alignment horizontal="center" vertical="center"/>
    </xf>
    <xf numFmtId="0" fontId="1" fillId="8" borderId="4" xfId="7" applyBorder="1" applyAlignment="1">
      <alignment horizontal="center" vertical="center"/>
    </xf>
    <xf numFmtId="0" fontId="1" fillId="6" borderId="2" xfId="5" applyBorder="1" applyAlignment="1">
      <alignment horizontal="center" vertical="center"/>
    </xf>
    <xf numFmtId="0" fontId="1" fillId="6" borderId="4" xfId="5" applyBorder="1" applyAlignment="1">
      <alignment horizontal="center" vertical="center"/>
    </xf>
    <xf numFmtId="0" fontId="3" fillId="3" borderId="2" xfId="2" applyBorder="1" applyAlignment="1">
      <alignment horizontal="center" vertical="center"/>
    </xf>
    <xf numFmtId="0" fontId="3" fillId="3" borderId="4" xfId="2" applyBorder="1" applyAlignment="1">
      <alignment horizontal="center" vertical="center"/>
    </xf>
    <xf numFmtId="0" fontId="2" fillId="2" borderId="2" xfId="1" applyBorder="1" applyAlignment="1">
      <alignment horizontal="center" vertical="center"/>
    </xf>
    <xf numFmtId="0" fontId="2" fillId="2" borderId="4" xfId="1" applyBorder="1" applyAlignment="1">
      <alignment horizontal="center" vertical="center"/>
    </xf>
    <xf numFmtId="0" fontId="0" fillId="5" borderId="2" xfId="4" applyFont="1" applyBorder="1" applyAlignment="1">
      <alignment horizontal="center" vertical="center"/>
    </xf>
    <xf numFmtId="0" fontId="1" fillId="5" borderId="3" xfId="4" applyBorder="1" applyAlignment="1">
      <alignment horizontal="center" vertical="center"/>
    </xf>
    <xf numFmtId="0" fontId="1" fillId="5" borderId="4" xfId="4" applyBorder="1" applyAlignment="1">
      <alignment horizontal="center" vertical="center"/>
    </xf>
    <xf numFmtId="0" fontId="0" fillId="6" borderId="2" xfId="5" applyFont="1" applyBorder="1" applyAlignment="1">
      <alignment horizontal="center" vertical="center"/>
    </xf>
    <xf numFmtId="0" fontId="1" fillId="7" borderId="2" xfId="6" applyBorder="1" applyAlignment="1">
      <alignment horizontal="center" vertical="center" wrapText="1"/>
    </xf>
    <xf numFmtId="0" fontId="1" fillId="7" borderId="3" xfId="6" applyBorder="1" applyAlignment="1">
      <alignment horizontal="center" vertical="center" wrapText="1"/>
    </xf>
    <xf numFmtId="0" fontId="1" fillId="7" borderId="4" xfId="6" applyBorder="1" applyAlignment="1">
      <alignment horizontal="center" vertical="center" wrapText="1"/>
    </xf>
    <xf numFmtId="0" fontId="1" fillId="7" borderId="2" xfId="6" applyBorder="1" applyAlignment="1">
      <alignment horizontal="center" vertical="center" wrapText="1" readingOrder="2"/>
    </xf>
    <xf numFmtId="0" fontId="1" fillId="7" borderId="3" xfId="6" applyBorder="1" applyAlignment="1">
      <alignment horizontal="center" vertical="center" wrapText="1" readingOrder="2"/>
    </xf>
    <xf numFmtId="0" fontId="1" fillId="7" borderId="4" xfId="6" applyBorder="1" applyAlignment="1">
      <alignment horizontal="center" vertical="center" wrapText="1" readingOrder="2"/>
    </xf>
    <xf numFmtId="0" fontId="3" fillId="3" borderId="2" xfId="2" applyBorder="1" applyAlignment="1">
      <alignment horizontal="center" vertical="center" wrapText="1" readingOrder="2"/>
    </xf>
    <xf numFmtId="0" fontId="3" fillId="3" borderId="3" xfId="2" applyBorder="1" applyAlignment="1">
      <alignment horizontal="center" vertical="center" wrapText="1" readingOrder="2"/>
    </xf>
    <xf numFmtId="0" fontId="3" fillId="3" borderId="4" xfId="2" applyBorder="1" applyAlignment="1">
      <alignment horizontal="center" vertical="center" wrapText="1" readingOrder="2"/>
    </xf>
    <xf numFmtId="0" fontId="2" fillId="2" borderId="2" xfId="1" applyBorder="1" applyAlignment="1">
      <alignment horizontal="center" vertical="center" wrapText="1" readingOrder="2"/>
    </xf>
    <xf numFmtId="0" fontId="2" fillId="2" borderId="4" xfId="1" applyBorder="1" applyAlignment="1">
      <alignment horizontal="center" vertical="center" wrapText="1" readingOrder="2"/>
    </xf>
    <xf numFmtId="0" fontId="1" fillId="5" borderId="2" xfId="4" applyBorder="1" applyAlignment="1">
      <alignment horizontal="center" vertical="center" wrapText="1" readingOrder="2"/>
    </xf>
    <xf numFmtId="0" fontId="1" fillId="5" borderId="3" xfId="4" applyBorder="1" applyAlignment="1">
      <alignment horizontal="center" vertical="center" wrapText="1" readingOrder="2"/>
    </xf>
    <xf numFmtId="0" fontId="1" fillId="5" borderId="4" xfId="4" applyBorder="1" applyAlignment="1">
      <alignment horizontal="center" vertical="center" wrapText="1" readingOrder="2"/>
    </xf>
    <xf numFmtId="0" fontId="1" fillId="6" borderId="2" xfId="5" applyBorder="1" applyAlignment="1">
      <alignment horizontal="center" vertical="center" wrapText="1" readingOrder="2"/>
    </xf>
    <xf numFmtId="0" fontId="1" fillId="6" borderId="4" xfId="5" applyBorder="1" applyAlignment="1">
      <alignment horizontal="center" vertical="center" wrapText="1" readingOrder="2"/>
    </xf>
    <xf numFmtId="0" fontId="1" fillId="5" borderId="2" xfId="4" applyBorder="1" applyAlignment="1">
      <alignment horizontal="center" vertical="center"/>
    </xf>
    <xf numFmtId="0" fontId="3" fillId="3" borderId="3" xfId="2" applyBorder="1" applyAlignment="1">
      <alignment horizontal="center" vertical="center"/>
    </xf>
    <xf numFmtId="0" fontId="2" fillId="2" borderId="3" xfId="1" applyBorder="1" applyAlignment="1">
      <alignment horizontal="center" vertical="center" wrapText="1" readingOrder="2"/>
    </xf>
    <xf numFmtId="0" fontId="2" fillId="2" borderId="3" xfId="1" applyBorder="1" applyAlignment="1">
      <alignment horizontal="center" vertical="center"/>
    </xf>
    <xf numFmtId="0" fontId="0" fillId="7" borderId="2" xfId="6" applyFont="1" applyBorder="1" applyAlignment="1">
      <alignment horizontal="center" vertical="center"/>
    </xf>
    <xf numFmtId="0" fontId="4" fillId="4" borderId="2" xfId="3" applyBorder="1" applyAlignment="1">
      <alignment horizontal="center" vertical="center" wrapText="1" readingOrder="2"/>
    </xf>
    <xf numFmtId="0" fontId="4" fillId="4" borderId="4" xfId="3" applyBorder="1" applyAlignment="1">
      <alignment horizontal="center" vertical="center" wrapText="1" readingOrder="2"/>
    </xf>
    <xf numFmtId="0" fontId="4" fillId="4" borderId="2" xfId="3" applyBorder="1" applyAlignment="1">
      <alignment horizontal="center" vertical="center"/>
    </xf>
    <xf numFmtId="0" fontId="4" fillId="4" borderId="4" xfId="3" applyBorder="1" applyAlignment="1">
      <alignment horizontal="center" vertical="center"/>
    </xf>
    <xf numFmtId="0" fontId="4" fillId="4" borderId="3" xfId="3" applyBorder="1" applyAlignment="1">
      <alignment horizontal="center" vertical="center" wrapText="1" readingOrder="2"/>
    </xf>
    <xf numFmtId="0" fontId="4" fillId="4" borderId="3" xfId="3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</cellXfs>
  <cellStyles count="11">
    <cellStyle name="20% - Accent3" xfId="6" builtinId="38"/>
    <cellStyle name="20% - Accent4" xfId="7" builtinId="42"/>
    <cellStyle name="20% - Accent5" xfId="8" builtinId="46"/>
    <cellStyle name="40% - Accent1" xfId="4" builtinId="31"/>
    <cellStyle name="40% - Accent2" xfId="5" builtinId="35"/>
    <cellStyle name="40% - Accent4" xfId="9" builtinId="43"/>
    <cellStyle name="Bad" xfId="2" builtinId="27"/>
    <cellStyle name="Good" xfId="1" builtinId="26"/>
    <cellStyle name="Neutral" xfId="3" builtinId="28"/>
    <cellStyle name="Normal" xfId="0" builtinId="0"/>
    <cellStyle name="Percent" xfId="10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[r]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Sheet1!$F$2:$F$3</c:f>
              <c:strCache>
                <c:ptCount val="2"/>
                <c:pt idx="0">
                  <c:v>[l]</c:v>
                </c:pt>
                <c:pt idx="1">
                  <c:v>[ʔ]</c:v>
                </c:pt>
              </c:strCache>
            </c:strRef>
          </c:cat>
          <c:val>
            <c:numRef>
              <c:f>Sheet1!$G$2:$G$3</c:f>
              <c:numCache>
                <c:formatCode>General</c:formatCode>
                <c:ptCount val="2"/>
                <c:pt idx="0">
                  <c:v>187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C0-479B-9734-0DE78DA37C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9513023"/>
        <c:axId val="1209510111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Sheet1!$F$2:$F$3</c:f>
              <c:strCache>
                <c:ptCount val="2"/>
                <c:pt idx="0">
                  <c:v>[l]</c:v>
                </c:pt>
                <c:pt idx="1">
                  <c:v>[ʔ]</c:v>
                </c:pt>
              </c:strCache>
            </c:strRef>
          </c:cat>
          <c:val>
            <c:numRef>
              <c:f>Sheet1!$H$2:$H$3</c:f>
              <c:numCache>
                <c:formatCode>0.00%</c:formatCode>
                <c:ptCount val="2"/>
                <c:pt idx="0">
                  <c:v>0.84615384615384615</c:v>
                </c:pt>
                <c:pt idx="1">
                  <c:v>4.5248868778280547E-3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3C0-479B-9734-0DE78DA37C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9509279"/>
        <c:axId val="1209510943"/>
      </c:lineChart>
      <c:catAx>
        <c:axId val="1209513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510111"/>
        <c:crosses val="autoZero"/>
        <c:auto val="1"/>
        <c:lblAlgn val="ctr"/>
        <c:lblOffset val="100"/>
        <c:noMultiLvlLbl val="0"/>
      </c:catAx>
      <c:valAx>
        <c:axId val="1209510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513023"/>
        <c:crosses val="autoZero"/>
        <c:crossBetween val="between"/>
      </c:valAx>
      <c:valAx>
        <c:axId val="1209510943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509279"/>
        <c:crosses val="max"/>
        <c:crossBetween val="between"/>
      </c:valAx>
      <c:catAx>
        <c:axId val="120950927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09510943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[l]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Sheet1!$F$5:$F$7</c:f>
              <c:strCache>
                <c:ptCount val="3"/>
                <c:pt idx="0">
                  <c:v>[r]</c:v>
                </c:pt>
                <c:pt idx="1">
                  <c:v>[j]</c:v>
                </c:pt>
                <c:pt idx="2">
                  <c:v>[w]</c:v>
                </c:pt>
              </c:strCache>
            </c:strRef>
          </c:cat>
          <c:val>
            <c:numRef>
              <c:f>Sheet1!$G$5:$G$7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EE-41D9-9EAD-1303BD6774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5909263"/>
        <c:axId val="1085906767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Sheet1!$F$5:$F$7</c:f>
              <c:strCache>
                <c:ptCount val="3"/>
                <c:pt idx="0">
                  <c:v>[r]</c:v>
                </c:pt>
                <c:pt idx="1">
                  <c:v>[j]</c:v>
                </c:pt>
                <c:pt idx="2">
                  <c:v>[w]</c:v>
                </c:pt>
              </c:strCache>
            </c:strRef>
          </c:cat>
          <c:val>
            <c:numRef>
              <c:f>Sheet1!$H$5:$H$7</c:f>
              <c:numCache>
                <c:formatCode>0.00%</c:formatCode>
                <c:ptCount val="3"/>
                <c:pt idx="0">
                  <c:v>3.3222591362126247E-3</c:v>
                </c:pt>
                <c:pt idx="1">
                  <c:v>3.3222591362126247E-3</c:v>
                </c:pt>
                <c:pt idx="2">
                  <c:v>3.3222591362126247E-3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BEE-41D9-9EAD-1303BD6774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5904687"/>
        <c:axId val="1085903439"/>
      </c:lineChart>
      <c:catAx>
        <c:axId val="1085909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906767"/>
        <c:crosses val="autoZero"/>
        <c:auto val="1"/>
        <c:lblAlgn val="ctr"/>
        <c:lblOffset val="100"/>
        <c:noMultiLvlLbl val="0"/>
      </c:catAx>
      <c:valAx>
        <c:axId val="108590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909263"/>
        <c:crosses val="autoZero"/>
        <c:crossBetween val="between"/>
      </c:valAx>
      <c:valAx>
        <c:axId val="1085903439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904687"/>
        <c:crosses val="max"/>
        <c:crossBetween val="between"/>
      </c:valAx>
      <c:catAx>
        <c:axId val="108590468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85903439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[s]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Sheet1!$F$9:$F$10</c:f>
              <c:strCache>
                <c:ptCount val="2"/>
                <c:pt idx="0">
                  <c:v>[sˤ]</c:v>
                </c:pt>
                <c:pt idx="1">
                  <c:v>[ʃ]</c:v>
                </c:pt>
              </c:strCache>
            </c:strRef>
          </c:cat>
          <c:val>
            <c:numRef>
              <c:f>Sheet1!$G$9:$G$10</c:f>
              <c:numCache>
                <c:formatCode>General</c:formatCode>
                <c:ptCount val="2"/>
                <c:pt idx="0">
                  <c:v>5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22-4E54-8ABF-5653479602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1606655"/>
        <c:axId val="1211609983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Sheet1!$F$9:$F$10</c:f>
              <c:strCache>
                <c:ptCount val="2"/>
                <c:pt idx="0">
                  <c:v>[sˤ]</c:v>
                </c:pt>
                <c:pt idx="1">
                  <c:v>[ʃ]</c:v>
                </c:pt>
              </c:strCache>
            </c:strRef>
          </c:cat>
          <c:val>
            <c:numRef>
              <c:f>Sheet1!$H$9:$H$10</c:f>
              <c:numCache>
                <c:formatCode>0.00%</c:formatCode>
                <c:ptCount val="2"/>
                <c:pt idx="0">
                  <c:v>4.4642857142857144E-2</c:v>
                </c:pt>
                <c:pt idx="1">
                  <c:v>8.9285714285714281E-3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22-4E54-8ABF-5653479602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5472191"/>
        <c:axId val="1085479679"/>
      </c:lineChart>
      <c:catAx>
        <c:axId val="1211606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1609983"/>
        <c:crosses val="autoZero"/>
        <c:auto val="1"/>
        <c:lblAlgn val="ctr"/>
        <c:lblOffset val="100"/>
        <c:noMultiLvlLbl val="0"/>
      </c:catAx>
      <c:valAx>
        <c:axId val="1211609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1606655"/>
        <c:crosses val="autoZero"/>
        <c:crossBetween val="between"/>
      </c:valAx>
      <c:valAx>
        <c:axId val="1085479679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472191"/>
        <c:crosses val="max"/>
        <c:crossBetween val="between"/>
      </c:valAx>
      <c:catAx>
        <c:axId val="108547219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85479679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[z]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Sheet1!$F$12</c:f>
              <c:strCache>
                <c:ptCount val="1"/>
                <c:pt idx="0">
                  <c:v>[s]</c:v>
                </c:pt>
              </c:strCache>
            </c:strRef>
          </c:cat>
          <c:val>
            <c:numRef>
              <c:f>Sheet1!$G$12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3D-444D-B5A1-D7D5823BF310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Sheet1!$F$12</c:f>
              <c:strCache>
                <c:ptCount val="1"/>
                <c:pt idx="0">
                  <c:v>[s]</c:v>
                </c:pt>
              </c:strCache>
            </c:strRef>
          </c:cat>
          <c:val>
            <c:numRef>
              <c:f>Sheet1!$H$12</c:f>
              <c:numCache>
                <c:formatCode>0.00%</c:formatCode>
                <c:ptCount val="1"/>
                <c:pt idx="0">
                  <c:v>0.11764705882352941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3D-444D-B5A1-D7D5823BF3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9514687"/>
        <c:axId val="1209507199"/>
      </c:barChart>
      <c:catAx>
        <c:axId val="1209514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507199"/>
        <c:crosses val="autoZero"/>
        <c:auto val="1"/>
        <c:lblAlgn val="ctr"/>
        <c:lblOffset val="100"/>
        <c:noMultiLvlLbl val="0"/>
      </c:catAx>
      <c:valAx>
        <c:axId val="1209507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51468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[sˤ]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Sheet1!$F$14</c:f>
              <c:strCache>
                <c:ptCount val="1"/>
                <c:pt idx="0">
                  <c:v>[s]</c:v>
                </c:pt>
              </c:strCache>
            </c:strRef>
          </c:cat>
          <c:val>
            <c:numRef>
              <c:f>Sheet1!$G$14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BE-4EBA-805D-8C2A08BDCDE5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Sheet1!$F$14</c:f>
              <c:strCache>
                <c:ptCount val="1"/>
                <c:pt idx="0">
                  <c:v>[s]</c:v>
                </c:pt>
              </c:strCache>
            </c:strRef>
          </c:cat>
          <c:val>
            <c:numRef>
              <c:f>Sheet1!$H$14</c:f>
              <c:numCache>
                <c:formatCode>0.00%</c:formatCode>
                <c:ptCount val="1"/>
                <c:pt idx="0">
                  <c:v>5.1724137931034482E-2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BE-4EBA-805D-8C2A08BDCD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9508447"/>
        <c:axId val="1209509695"/>
      </c:barChart>
      <c:catAx>
        <c:axId val="1209508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509695"/>
        <c:crosses val="autoZero"/>
        <c:auto val="1"/>
        <c:lblAlgn val="ctr"/>
        <c:lblOffset val="100"/>
        <c:noMultiLvlLbl val="0"/>
      </c:catAx>
      <c:valAx>
        <c:axId val="1209509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50844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/>
              <a:t>θ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Sheet1!$F$16</c:f>
              <c:strCache>
                <c:ptCount val="1"/>
                <c:pt idx="0">
                  <c:v>[sˤ]</c:v>
                </c:pt>
              </c:strCache>
            </c:strRef>
          </c:cat>
          <c:val>
            <c:numRef>
              <c:f>Sheet1!$G$16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6E-4DD2-B8E0-EA4D226105FC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Sheet1!$F$16</c:f>
              <c:strCache>
                <c:ptCount val="1"/>
                <c:pt idx="0">
                  <c:v>[sˤ]</c:v>
                </c:pt>
              </c:strCache>
            </c:strRef>
          </c:cat>
          <c:val>
            <c:numRef>
              <c:f>Sheet1!$H$16</c:f>
              <c:numCache>
                <c:formatCode>0.00%</c:formatCode>
                <c:ptCount val="1"/>
                <c:pt idx="0">
                  <c:v>3.0303030303030304E-2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6E-4DD2-B8E0-EA4D226105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9513855"/>
        <c:axId val="1209508863"/>
      </c:barChart>
      <c:catAx>
        <c:axId val="1209513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508863"/>
        <c:crosses val="autoZero"/>
        <c:auto val="1"/>
        <c:lblAlgn val="ctr"/>
        <c:lblOffset val="100"/>
        <c:noMultiLvlLbl val="0"/>
      </c:catAx>
      <c:valAx>
        <c:axId val="1209508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5138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[k]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Sheet1!$F$20:$F$23</c:f>
              <c:strCache>
                <c:ptCount val="4"/>
                <c:pt idx="0">
                  <c:v>[kʰ]</c:v>
                </c:pt>
                <c:pt idx="1">
                  <c:v>[χ]</c:v>
                </c:pt>
                <c:pt idx="2">
                  <c:v>[ʔ]</c:v>
                </c:pt>
                <c:pt idx="3">
                  <c:v>[q]</c:v>
                </c:pt>
              </c:strCache>
            </c:strRef>
          </c:cat>
          <c:val>
            <c:numRef>
              <c:f>Sheet1!$G$20:$G$23</c:f>
              <c:numCache>
                <c:formatCode>General</c:formatCode>
                <c:ptCount val="4"/>
                <c:pt idx="0">
                  <c:v>20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43-4EB1-A565-46E8FC7AEF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3342111"/>
        <c:axId val="1293345855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Sheet1!$F$20:$F$23</c:f>
              <c:strCache>
                <c:ptCount val="4"/>
                <c:pt idx="0">
                  <c:v>[kʰ]</c:v>
                </c:pt>
                <c:pt idx="1">
                  <c:v>[χ]</c:v>
                </c:pt>
                <c:pt idx="2">
                  <c:v>[ʔ]</c:v>
                </c:pt>
                <c:pt idx="3">
                  <c:v>[q]</c:v>
                </c:pt>
              </c:strCache>
            </c:strRef>
          </c:cat>
          <c:val>
            <c:numRef>
              <c:f>Sheet1!$H$20:$H$23</c:f>
              <c:numCache>
                <c:formatCode>0.00%</c:formatCode>
                <c:ptCount val="4"/>
                <c:pt idx="0">
                  <c:v>0.25641025641025639</c:v>
                </c:pt>
                <c:pt idx="1">
                  <c:v>2.564102564102564E-2</c:v>
                </c:pt>
                <c:pt idx="2">
                  <c:v>1.282051282051282E-2</c:v>
                </c:pt>
                <c:pt idx="3">
                  <c:v>1.282051282051282E-2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43-4EB1-A565-46E8FC7AEF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3347103"/>
        <c:axId val="1293350015"/>
      </c:lineChart>
      <c:catAx>
        <c:axId val="1293342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345855"/>
        <c:crosses val="autoZero"/>
        <c:auto val="1"/>
        <c:lblAlgn val="ctr"/>
        <c:lblOffset val="100"/>
        <c:noMultiLvlLbl val="0"/>
      </c:catAx>
      <c:valAx>
        <c:axId val="1293345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342111"/>
        <c:crosses val="autoZero"/>
        <c:crossBetween val="between"/>
      </c:valAx>
      <c:valAx>
        <c:axId val="1293350015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347103"/>
        <c:crosses val="max"/>
        <c:crossBetween val="between"/>
      </c:valAx>
      <c:catAx>
        <c:axId val="129334710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93350015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[d͡ʒ]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Sheet1!$F$25:$F$30</c:f>
              <c:strCache>
                <c:ptCount val="6"/>
                <c:pt idx="0">
                  <c:v>[t͡ʃ]</c:v>
                </c:pt>
                <c:pt idx="1">
                  <c:v>[ʒ]</c:v>
                </c:pt>
                <c:pt idx="2">
                  <c:v>[d͡ʒ̥]</c:v>
                </c:pt>
                <c:pt idx="3">
                  <c:v>[ʃ]</c:v>
                </c:pt>
                <c:pt idx="4">
                  <c:v>[f]</c:v>
                </c:pt>
                <c:pt idx="5">
                  <c:v>[k]</c:v>
                </c:pt>
              </c:strCache>
            </c:strRef>
          </c:cat>
          <c:val>
            <c:numRef>
              <c:f>Sheet1!$G$25:$G$30</c:f>
              <c:numCache>
                <c:formatCode>General</c:formatCode>
                <c:ptCount val="6"/>
                <c:pt idx="0">
                  <c:v>15</c:v>
                </c:pt>
                <c:pt idx="1">
                  <c:v>13</c:v>
                </c:pt>
                <c:pt idx="2">
                  <c:v>9</c:v>
                </c:pt>
                <c:pt idx="3">
                  <c:v>5</c:v>
                </c:pt>
                <c:pt idx="4">
                  <c:v>2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F2-4DB7-B47B-A85CCF5989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1611231"/>
        <c:axId val="1211612479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Sheet1!$F$25:$F$30</c:f>
              <c:strCache>
                <c:ptCount val="6"/>
                <c:pt idx="0">
                  <c:v>[t͡ʃ]</c:v>
                </c:pt>
                <c:pt idx="1">
                  <c:v>[ʒ]</c:v>
                </c:pt>
                <c:pt idx="2">
                  <c:v>[d͡ʒ̥]</c:v>
                </c:pt>
                <c:pt idx="3">
                  <c:v>[ʃ]</c:v>
                </c:pt>
                <c:pt idx="4">
                  <c:v>[f]</c:v>
                </c:pt>
                <c:pt idx="5">
                  <c:v>[k]</c:v>
                </c:pt>
              </c:strCache>
            </c:strRef>
          </c:cat>
          <c:val>
            <c:numRef>
              <c:f>Sheet1!$H$25:$H$30</c:f>
              <c:numCache>
                <c:formatCode>0.00%</c:formatCode>
                <c:ptCount val="6"/>
                <c:pt idx="0">
                  <c:v>0.20270270270270271</c:v>
                </c:pt>
                <c:pt idx="1">
                  <c:v>0.17567567567567569</c:v>
                </c:pt>
                <c:pt idx="2">
                  <c:v>0.12162162162162163</c:v>
                </c:pt>
                <c:pt idx="3">
                  <c:v>6.7567567567567571E-2</c:v>
                </c:pt>
                <c:pt idx="4">
                  <c:v>2.7027027027027029E-2</c:v>
                </c:pt>
                <c:pt idx="5">
                  <c:v>1.3513513513513514E-2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CF2-4DB7-B47B-A85CCF5989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1613727"/>
        <c:axId val="1211609567"/>
      </c:lineChart>
      <c:catAx>
        <c:axId val="1211611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1612479"/>
        <c:crosses val="autoZero"/>
        <c:auto val="1"/>
        <c:lblAlgn val="ctr"/>
        <c:lblOffset val="100"/>
        <c:noMultiLvlLbl val="0"/>
      </c:catAx>
      <c:valAx>
        <c:axId val="1211612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1611231"/>
        <c:crosses val="autoZero"/>
        <c:crossBetween val="between"/>
      </c:valAx>
      <c:valAx>
        <c:axId val="1211609567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1613727"/>
        <c:crosses val="max"/>
        <c:crossBetween val="between"/>
      </c:valAx>
      <c:catAx>
        <c:axId val="121161372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11609567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Sheet1!$F$32:$F$33</c:f>
              <c:strCache>
                <c:ptCount val="2"/>
                <c:pt idx="0">
                  <c:v>[g]</c:v>
                </c:pt>
                <c:pt idx="1">
                  <c:v>[k]</c:v>
                </c:pt>
              </c:strCache>
            </c:strRef>
          </c:cat>
          <c:val>
            <c:numRef>
              <c:f>Sheet1!$G$32:$G$33</c:f>
              <c:numCache>
                <c:formatCode>General</c:formatCode>
                <c:ptCount val="2"/>
                <c:pt idx="0">
                  <c:v>23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57-4CA4-8844-E45A827355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7090015"/>
        <c:axId val="1297092095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Sheet1!$F$32:$F$33</c:f>
              <c:strCache>
                <c:ptCount val="2"/>
                <c:pt idx="0">
                  <c:v>[g]</c:v>
                </c:pt>
                <c:pt idx="1">
                  <c:v>[k]</c:v>
                </c:pt>
              </c:strCache>
            </c:strRef>
          </c:cat>
          <c:val>
            <c:numRef>
              <c:f>Sheet1!$H$32:$H$33</c:f>
              <c:numCache>
                <c:formatCode>0.00%</c:formatCode>
                <c:ptCount val="2"/>
                <c:pt idx="0">
                  <c:v>0.40350877192982454</c:v>
                </c:pt>
                <c:pt idx="1">
                  <c:v>8.771929824561403E-2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57-4CA4-8844-E45A827355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7095007"/>
        <c:axId val="1297095423"/>
      </c:lineChart>
      <c:catAx>
        <c:axId val="1297090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7092095"/>
        <c:crosses val="autoZero"/>
        <c:auto val="1"/>
        <c:lblAlgn val="ctr"/>
        <c:lblOffset val="100"/>
        <c:noMultiLvlLbl val="0"/>
      </c:catAx>
      <c:valAx>
        <c:axId val="1297092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7090015"/>
        <c:crosses val="autoZero"/>
        <c:crossBetween val="between"/>
      </c:valAx>
      <c:valAx>
        <c:axId val="1297095423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7095007"/>
        <c:crosses val="max"/>
        <c:crossBetween val="between"/>
      </c:valAx>
      <c:catAx>
        <c:axId val="129709500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97095423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[ʃ]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Sheet1!$F$35</c:f>
              <c:strCache>
                <c:ptCount val="1"/>
                <c:pt idx="0">
                  <c:v>[s]</c:v>
                </c:pt>
              </c:strCache>
            </c:strRef>
          </c:cat>
          <c:val>
            <c:numRef>
              <c:f>Sheet1!$G$35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10-4EE0-BEB1-D158746D5CC8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Sheet1!$F$35</c:f>
              <c:strCache>
                <c:ptCount val="1"/>
                <c:pt idx="0">
                  <c:v>[s]</c:v>
                </c:pt>
              </c:strCache>
            </c:strRef>
          </c:cat>
          <c:val>
            <c:numRef>
              <c:f>Sheet1!$H$35</c:f>
              <c:numCache>
                <c:formatCode>0.00%</c:formatCode>
                <c:ptCount val="1"/>
                <c:pt idx="0">
                  <c:v>1.8867924528301886E-2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10-4EE0-BEB1-D158746D5C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3354175"/>
        <c:axId val="1293345023"/>
      </c:barChart>
      <c:catAx>
        <c:axId val="1293354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345023"/>
        <c:crosses val="autoZero"/>
        <c:auto val="1"/>
        <c:lblAlgn val="ctr"/>
        <c:lblOffset val="100"/>
        <c:noMultiLvlLbl val="0"/>
      </c:catAx>
      <c:valAx>
        <c:axId val="1293345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35417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/>
              <a:t>[χ]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Sheet1!$F$37:$F$38</c:f>
              <c:strCache>
                <c:ptCount val="2"/>
                <c:pt idx="0">
                  <c:v>[h]</c:v>
                </c:pt>
                <c:pt idx="1">
                  <c:v>[ħ]</c:v>
                </c:pt>
              </c:strCache>
            </c:strRef>
          </c:cat>
          <c:val>
            <c:numRef>
              <c:f>Sheet1!$G$37:$G$38</c:f>
              <c:numCache>
                <c:formatCode>General</c:formatCode>
                <c:ptCount val="2"/>
                <c:pt idx="0">
                  <c:v>7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1F-424D-BE72-3BB2E60DCC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1473519"/>
        <c:axId val="1211480175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Sheet1!$F$37:$F$38</c:f>
              <c:strCache>
                <c:ptCount val="2"/>
                <c:pt idx="0">
                  <c:v>[h]</c:v>
                </c:pt>
                <c:pt idx="1">
                  <c:v>[ħ]</c:v>
                </c:pt>
              </c:strCache>
            </c:strRef>
          </c:cat>
          <c:val>
            <c:numRef>
              <c:f>Sheet1!$H$37:$H$38</c:f>
              <c:numCache>
                <c:formatCode>0.00%</c:formatCode>
                <c:ptCount val="2"/>
                <c:pt idx="0">
                  <c:v>0.16279069767441862</c:v>
                </c:pt>
                <c:pt idx="1">
                  <c:v>0.11627906976744186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1F-424D-BE72-3BB2E60DCC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1477263"/>
        <c:axId val="1211482255"/>
      </c:lineChart>
      <c:catAx>
        <c:axId val="1211473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1480175"/>
        <c:crosses val="autoZero"/>
        <c:auto val="1"/>
        <c:lblAlgn val="ctr"/>
        <c:lblOffset val="100"/>
        <c:noMultiLvlLbl val="0"/>
      </c:catAx>
      <c:valAx>
        <c:axId val="1211480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1473519"/>
        <c:crosses val="autoZero"/>
        <c:crossBetween val="between"/>
      </c:valAx>
      <c:valAx>
        <c:axId val="1211482255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1477263"/>
        <c:crosses val="max"/>
        <c:crossBetween val="between"/>
      </c:valAx>
      <c:catAx>
        <c:axId val="121147726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11482255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[ɣ]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Sheet1!$F$40:$F$42</c:f>
              <c:strCache>
                <c:ptCount val="3"/>
                <c:pt idx="0">
                  <c:v>[ʔ]</c:v>
                </c:pt>
                <c:pt idx="1">
                  <c:v>[ʕ]</c:v>
                </c:pt>
                <c:pt idx="2">
                  <c:v>[h]</c:v>
                </c:pt>
              </c:strCache>
            </c:strRef>
          </c:cat>
          <c:val>
            <c:numRef>
              <c:f>Sheet1!$H$40:$H$42</c:f>
              <c:numCache>
                <c:formatCode>0.00%</c:formatCode>
                <c:ptCount val="3"/>
                <c:pt idx="0">
                  <c:v>0.125</c:v>
                </c:pt>
                <c:pt idx="1">
                  <c:v>0.05</c:v>
                </c:pt>
                <c:pt idx="2">
                  <c:v>2.5000000000000001E-2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E1-47B8-8A22-1A2A6F7898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3354591"/>
        <c:axId val="1293349183"/>
      </c:barChart>
      <c:lineChart>
        <c:grouping val="standard"/>
        <c:varyColors val="0"/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none"/>
          </c:marker>
          <c:cat>
            <c:strRef>
              <c:f>Sheet1!$F$40:$F$42</c:f>
              <c:strCache>
                <c:ptCount val="3"/>
                <c:pt idx="0">
                  <c:v>[ʔ]</c:v>
                </c:pt>
                <c:pt idx="1">
                  <c:v>[ʕ]</c:v>
                </c:pt>
                <c:pt idx="2">
                  <c:v>[h]</c:v>
                </c:pt>
              </c:strCache>
            </c:strRef>
          </c:cat>
          <c:val>
            <c:numRef>
              <c:f>Sheet1!$I$40:$I$42</c:f>
              <c:numCache>
                <c:formatCode>General</c:formatCode>
                <c:ptCount val="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E1-47B8-8A22-1A2A6F7898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3346687"/>
        <c:axId val="1293341279"/>
      </c:lineChart>
      <c:catAx>
        <c:axId val="1293354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349183"/>
        <c:crosses val="autoZero"/>
        <c:auto val="1"/>
        <c:lblAlgn val="ctr"/>
        <c:lblOffset val="100"/>
        <c:noMultiLvlLbl val="0"/>
      </c:catAx>
      <c:valAx>
        <c:axId val="1293349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354591"/>
        <c:crosses val="autoZero"/>
        <c:crossBetween val="between"/>
      </c:valAx>
      <c:valAx>
        <c:axId val="1293341279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346687"/>
        <c:crosses val="max"/>
        <c:crossBetween val="between"/>
      </c:valAx>
      <c:catAx>
        <c:axId val="129334668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93341279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[ʕ]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Sheet1!$F$44:$F$45</c:f>
              <c:strCache>
                <c:ptCount val="2"/>
                <c:pt idx="0">
                  <c:v>[ʔ]</c:v>
                </c:pt>
                <c:pt idx="1">
                  <c:v>[ɣ]</c:v>
                </c:pt>
              </c:strCache>
            </c:strRef>
          </c:cat>
          <c:val>
            <c:numRef>
              <c:f>Sheet1!$G$44:$G$45</c:f>
              <c:numCache>
                <c:formatCode>General</c:formatCode>
                <c:ptCount val="2"/>
                <c:pt idx="0">
                  <c:v>46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99-4FC2-B75E-30F94411BB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5905103"/>
        <c:axId val="1085903855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Sheet1!$F$44:$F$45</c:f>
              <c:strCache>
                <c:ptCount val="2"/>
                <c:pt idx="0">
                  <c:v>[ʔ]</c:v>
                </c:pt>
                <c:pt idx="1">
                  <c:v>[ɣ]</c:v>
                </c:pt>
              </c:strCache>
            </c:strRef>
          </c:cat>
          <c:val>
            <c:numRef>
              <c:f>Sheet1!$H$44:$H$45</c:f>
              <c:numCache>
                <c:formatCode>0.00%</c:formatCode>
                <c:ptCount val="2"/>
                <c:pt idx="0">
                  <c:v>0.42990654205607476</c:v>
                </c:pt>
                <c:pt idx="1">
                  <c:v>1.8691588785046728E-2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99-4FC2-B75E-30F94411BB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5909679"/>
        <c:axId val="1085908431"/>
      </c:lineChart>
      <c:catAx>
        <c:axId val="1085905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903855"/>
        <c:crosses val="autoZero"/>
        <c:auto val="1"/>
        <c:lblAlgn val="ctr"/>
        <c:lblOffset val="100"/>
        <c:noMultiLvlLbl val="0"/>
      </c:catAx>
      <c:valAx>
        <c:axId val="1085903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905103"/>
        <c:crosses val="autoZero"/>
        <c:crossBetween val="between"/>
      </c:valAx>
      <c:valAx>
        <c:axId val="1085908431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909679"/>
        <c:crosses val="max"/>
        <c:crossBetween val="between"/>
      </c:valAx>
      <c:catAx>
        <c:axId val="108590967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85908431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[ħ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Sheet1!$F$47:$F$48</c:f>
              <c:strCache>
                <c:ptCount val="2"/>
                <c:pt idx="0">
                  <c:v>[χ]</c:v>
                </c:pt>
                <c:pt idx="1">
                  <c:v>[h]</c:v>
                </c:pt>
              </c:strCache>
            </c:strRef>
          </c:cat>
          <c:val>
            <c:numRef>
              <c:f>Sheet1!$H$47:$H$48</c:f>
              <c:numCache>
                <c:formatCode>0.00%</c:formatCode>
                <c:ptCount val="2"/>
                <c:pt idx="0">
                  <c:v>0.27710843373493976</c:v>
                </c:pt>
                <c:pt idx="1">
                  <c:v>0.25301204819277107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1B-4699-B0B6-C703F8A42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8619247"/>
        <c:axId val="1298615503"/>
      </c:barChart>
      <c:lineChart>
        <c:grouping val="standard"/>
        <c:varyColors val="0"/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none"/>
          </c:marker>
          <c:cat>
            <c:strRef>
              <c:f>Sheet1!$F$47:$F$48</c:f>
              <c:strCache>
                <c:ptCount val="2"/>
                <c:pt idx="0">
                  <c:v>[χ]</c:v>
                </c:pt>
                <c:pt idx="1">
                  <c:v>[h]</c:v>
                </c:pt>
              </c:strCache>
            </c:strRef>
          </c:cat>
          <c:val>
            <c:numRef>
              <c:f>Sheet1!$I$47:$I$48</c:f>
              <c:numCache>
                <c:formatCode>General</c:formatCode>
                <c:ptCount val="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1B-4699-B0B6-C703F8A42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8614671"/>
        <c:axId val="1298620079"/>
      </c:lineChart>
      <c:catAx>
        <c:axId val="1298619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8615503"/>
        <c:crosses val="autoZero"/>
        <c:auto val="1"/>
        <c:lblAlgn val="ctr"/>
        <c:lblOffset val="100"/>
        <c:noMultiLvlLbl val="0"/>
      </c:catAx>
      <c:valAx>
        <c:axId val="1298615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8619247"/>
        <c:crosses val="autoZero"/>
        <c:crossBetween val="between"/>
      </c:valAx>
      <c:valAx>
        <c:axId val="1298620079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8614671"/>
        <c:crosses val="max"/>
        <c:crossBetween val="between"/>
      </c:valAx>
      <c:catAx>
        <c:axId val="129861467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98620079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[h]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Sheet1!$F$50:$F$53</c:f>
              <c:strCache>
                <c:ptCount val="4"/>
                <c:pt idx="0">
                  <c:v>[χ]</c:v>
                </c:pt>
                <c:pt idx="1">
                  <c:v>[ħ]</c:v>
                </c:pt>
                <c:pt idx="2">
                  <c:v>[t]</c:v>
                </c:pt>
                <c:pt idx="3">
                  <c:v>[j]</c:v>
                </c:pt>
              </c:strCache>
            </c:strRef>
          </c:cat>
          <c:val>
            <c:numRef>
              <c:f>Sheet1!$G$50:$G$53</c:f>
              <c:numCache>
                <c:formatCode>General</c:formatCode>
                <c:ptCount val="4"/>
                <c:pt idx="0">
                  <c:v>14</c:v>
                </c:pt>
                <c:pt idx="1">
                  <c:v>14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B8-4D9C-95F2-4641A8D862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7101247"/>
        <c:axId val="1297094175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Sheet1!$F$50:$F$53</c:f>
              <c:strCache>
                <c:ptCount val="4"/>
                <c:pt idx="0">
                  <c:v>[χ]</c:v>
                </c:pt>
                <c:pt idx="1">
                  <c:v>[ħ]</c:v>
                </c:pt>
                <c:pt idx="2">
                  <c:v>[t]</c:v>
                </c:pt>
                <c:pt idx="3">
                  <c:v>[j]</c:v>
                </c:pt>
              </c:strCache>
            </c:strRef>
          </c:cat>
          <c:val>
            <c:numRef>
              <c:f>Sheet1!$H$50:$H$53</c:f>
              <c:numCache>
                <c:formatCode>0.00%</c:formatCode>
                <c:ptCount val="4"/>
                <c:pt idx="0">
                  <c:v>0.17499999999999999</c:v>
                </c:pt>
                <c:pt idx="1">
                  <c:v>0.17499999999999999</c:v>
                </c:pt>
                <c:pt idx="2">
                  <c:v>1.2500000000000001E-2</c:v>
                </c:pt>
                <c:pt idx="3">
                  <c:v>1.2500000000000001E-2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B8-4D9C-95F2-4641A8D862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7097919"/>
        <c:axId val="1297097503"/>
      </c:lineChart>
      <c:catAx>
        <c:axId val="1297101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7094175"/>
        <c:crosses val="autoZero"/>
        <c:auto val="1"/>
        <c:lblAlgn val="ctr"/>
        <c:lblOffset val="100"/>
        <c:noMultiLvlLbl val="0"/>
      </c:catAx>
      <c:valAx>
        <c:axId val="1297094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7101247"/>
        <c:crosses val="autoZero"/>
        <c:crossBetween val="between"/>
      </c:valAx>
      <c:valAx>
        <c:axId val="1297097503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7097919"/>
        <c:crosses val="max"/>
        <c:crossBetween val="between"/>
      </c:valAx>
      <c:catAx>
        <c:axId val="129709791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97097503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[ʔ]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Sheet1!$F$55:$F$56</c:f>
              <c:strCache>
                <c:ptCount val="2"/>
                <c:pt idx="0">
                  <c:v>[w]</c:v>
                </c:pt>
                <c:pt idx="1">
                  <c:v>[j]</c:v>
                </c:pt>
              </c:strCache>
            </c:strRef>
          </c:cat>
          <c:val>
            <c:numRef>
              <c:f>Sheet1!$G$55:$G$56</c:f>
              <c:numCache>
                <c:formatCode>General</c:formatCode>
                <c:ptCount val="2"/>
                <c:pt idx="0">
                  <c:v>10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3E-418D-B5A1-C15A07DF1A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3343775"/>
        <c:axId val="1293352095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Sheet1!$F$55:$F$56</c:f>
              <c:strCache>
                <c:ptCount val="2"/>
                <c:pt idx="0">
                  <c:v>[w]</c:v>
                </c:pt>
                <c:pt idx="1">
                  <c:v>[j]</c:v>
                </c:pt>
              </c:strCache>
            </c:strRef>
          </c:cat>
          <c:val>
            <c:numRef>
              <c:f>Sheet1!$H$55:$H$56</c:f>
              <c:numCache>
                <c:formatCode>0.00%</c:formatCode>
                <c:ptCount val="2"/>
                <c:pt idx="0">
                  <c:v>4.7619047619047616E-2</c:v>
                </c:pt>
                <c:pt idx="1">
                  <c:v>9.5238095238095247E-3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33E-418D-B5A1-C15A07DF1A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3353343"/>
        <c:axId val="1293352511"/>
      </c:lineChart>
      <c:catAx>
        <c:axId val="1293343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352095"/>
        <c:crosses val="autoZero"/>
        <c:auto val="1"/>
        <c:lblAlgn val="ctr"/>
        <c:lblOffset val="100"/>
        <c:noMultiLvlLbl val="0"/>
      </c:catAx>
      <c:valAx>
        <c:axId val="1293352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343775"/>
        <c:crosses val="autoZero"/>
        <c:crossBetween val="between"/>
      </c:valAx>
      <c:valAx>
        <c:axId val="1293352511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353343"/>
        <c:crosses val="max"/>
        <c:crossBetween val="between"/>
      </c:valAx>
      <c:catAx>
        <c:axId val="129335334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93352511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Sheet1!$F$59:$F$64</c:f>
              <c:strCache>
                <c:ptCount val="6"/>
                <c:pt idx="0">
                  <c:v>[d]</c:v>
                </c:pt>
                <c:pt idx="1">
                  <c:v>[k]</c:v>
                </c:pt>
                <c:pt idx="2">
                  <c:v>[s]</c:v>
                </c:pt>
                <c:pt idx="3">
                  <c:v>[-]</c:v>
                </c:pt>
                <c:pt idx="4">
                  <c:v>[n]</c:v>
                </c:pt>
                <c:pt idx="5">
                  <c:v>[t]</c:v>
                </c:pt>
              </c:strCache>
            </c:strRef>
          </c:cat>
          <c:val>
            <c:numRef>
              <c:f>Sheet1!$G$59:$G$64</c:f>
              <c:numCache>
                <c:formatCode>General</c:formatCode>
                <c:ptCount val="6"/>
                <c:pt idx="0">
                  <c:v>4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11-4FBF-ACA2-A65B75C4FB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7093759"/>
        <c:axId val="1297087519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Sheet1!$F$59:$F$64</c:f>
              <c:strCache>
                <c:ptCount val="6"/>
                <c:pt idx="0">
                  <c:v>[d]</c:v>
                </c:pt>
                <c:pt idx="1">
                  <c:v>[k]</c:v>
                </c:pt>
                <c:pt idx="2">
                  <c:v>[s]</c:v>
                </c:pt>
                <c:pt idx="3">
                  <c:v>[-]</c:v>
                </c:pt>
                <c:pt idx="4">
                  <c:v>[n]</c:v>
                </c:pt>
                <c:pt idx="5">
                  <c:v>[t]</c:v>
                </c:pt>
              </c:strCache>
            </c:strRef>
          </c:cat>
          <c:val>
            <c:numRef>
              <c:f>Sheet1!$H$59:$H$64</c:f>
              <c:numCache>
                <c:formatCode>0.00%</c:formatCode>
                <c:ptCount val="6"/>
                <c:pt idx="0">
                  <c:v>2.5157232704402517E-2</c:v>
                </c:pt>
                <c:pt idx="1">
                  <c:v>1.2578616352201259E-2</c:v>
                </c:pt>
                <c:pt idx="2">
                  <c:v>1.2578616352201259E-2</c:v>
                </c:pt>
                <c:pt idx="3">
                  <c:v>1.2578616352201259E-2</c:v>
                </c:pt>
                <c:pt idx="4">
                  <c:v>6.2893081761006293E-3</c:v>
                </c:pt>
                <c:pt idx="5">
                  <c:v>6.2893081761006293E-3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711-4FBF-ACA2-A65B75C4FB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7102495"/>
        <c:axId val="1297086687"/>
      </c:lineChart>
      <c:catAx>
        <c:axId val="1297093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7087519"/>
        <c:crosses val="autoZero"/>
        <c:auto val="1"/>
        <c:lblAlgn val="ctr"/>
        <c:lblOffset val="100"/>
        <c:noMultiLvlLbl val="0"/>
      </c:catAx>
      <c:valAx>
        <c:axId val="1297087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7093759"/>
        <c:crosses val="autoZero"/>
        <c:crossBetween val="between"/>
      </c:valAx>
      <c:valAx>
        <c:axId val="1297086687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7102495"/>
        <c:crosses val="max"/>
        <c:crossBetween val="between"/>
      </c:valAx>
      <c:catAx>
        <c:axId val="12971024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97086687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[b]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Sheet1!$F$67:$F$68</c:f>
              <c:strCache>
                <c:ptCount val="2"/>
                <c:pt idx="0">
                  <c:v>[pʰ]</c:v>
                </c:pt>
                <c:pt idx="1">
                  <c:v>[p]</c:v>
                </c:pt>
              </c:strCache>
            </c:strRef>
          </c:cat>
          <c:val>
            <c:numRef>
              <c:f>Sheet1!$G$67:$G$68</c:f>
              <c:numCache>
                <c:formatCode>General</c:formatCode>
                <c:ptCount val="2"/>
                <c:pt idx="0">
                  <c:v>18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17-4561-91B8-AB0DAB82B5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5473023"/>
        <c:axId val="1085479263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Sheet1!$F$67:$F$68</c:f>
              <c:strCache>
                <c:ptCount val="2"/>
                <c:pt idx="0">
                  <c:v>[pʰ]</c:v>
                </c:pt>
                <c:pt idx="1">
                  <c:v>[p]</c:v>
                </c:pt>
              </c:strCache>
            </c:strRef>
          </c:cat>
          <c:val>
            <c:numRef>
              <c:f>Sheet1!$H$67:$H$68</c:f>
              <c:numCache>
                <c:formatCode>0.00%</c:formatCode>
                <c:ptCount val="2"/>
                <c:pt idx="0">
                  <c:v>0.10843373493975904</c:v>
                </c:pt>
                <c:pt idx="1">
                  <c:v>3.614457831325301E-2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717-4561-91B8-AB0DAB82B5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5474271"/>
        <c:axId val="1085478847"/>
      </c:lineChart>
      <c:catAx>
        <c:axId val="1085473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479263"/>
        <c:crosses val="autoZero"/>
        <c:auto val="1"/>
        <c:lblAlgn val="ctr"/>
        <c:lblOffset val="100"/>
        <c:noMultiLvlLbl val="0"/>
      </c:catAx>
      <c:valAx>
        <c:axId val="1085479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473023"/>
        <c:crosses val="autoZero"/>
        <c:crossBetween val="between"/>
      </c:valAx>
      <c:valAx>
        <c:axId val="1085478847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474271"/>
        <c:crosses val="max"/>
        <c:crossBetween val="between"/>
      </c:valAx>
      <c:catAx>
        <c:axId val="108547427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85478847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[tˤ]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Sheet1!$F$70:$F$72</c:f>
              <c:strCache>
                <c:ptCount val="3"/>
                <c:pt idx="0">
                  <c:v>[tʰ]</c:v>
                </c:pt>
                <c:pt idx="1">
                  <c:v>[t]</c:v>
                </c:pt>
                <c:pt idx="2">
                  <c:v>[tˤʰ]</c:v>
                </c:pt>
              </c:strCache>
            </c:strRef>
          </c:cat>
          <c:val>
            <c:numRef>
              <c:f>Sheet1!$G$70:$G$72</c:f>
              <c:numCache>
                <c:formatCode>General</c:formatCode>
                <c:ptCount val="3"/>
                <c:pt idx="0">
                  <c:v>2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AF-41AE-B8AB-8D7BB9790C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3347935"/>
        <c:axId val="1293343359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Sheet1!$F$70:$F$72</c:f>
              <c:strCache>
                <c:ptCount val="3"/>
                <c:pt idx="0">
                  <c:v>[tʰ]</c:v>
                </c:pt>
                <c:pt idx="1">
                  <c:v>[t]</c:v>
                </c:pt>
                <c:pt idx="2">
                  <c:v>[tˤʰ]</c:v>
                </c:pt>
              </c:strCache>
            </c:strRef>
          </c:cat>
          <c:val>
            <c:numRef>
              <c:f>Sheet1!$H$70:$H$72</c:f>
              <c:numCache>
                <c:formatCode>0.00%</c:formatCode>
                <c:ptCount val="3"/>
                <c:pt idx="0">
                  <c:v>3.5087719298245612E-2</c:v>
                </c:pt>
                <c:pt idx="1">
                  <c:v>1.7543859649122806E-2</c:v>
                </c:pt>
                <c:pt idx="2">
                  <c:v>1.7543859649122806E-2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0AF-41AE-B8AB-8D7BB9790C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3351263"/>
        <c:axId val="1293350847"/>
      </c:lineChart>
      <c:catAx>
        <c:axId val="1293347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343359"/>
        <c:crosses val="autoZero"/>
        <c:auto val="1"/>
        <c:lblAlgn val="ctr"/>
        <c:lblOffset val="100"/>
        <c:noMultiLvlLbl val="0"/>
      </c:catAx>
      <c:valAx>
        <c:axId val="1293343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347935"/>
        <c:crosses val="autoZero"/>
        <c:crossBetween val="between"/>
      </c:valAx>
      <c:valAx>
        <c:axId val="1293350847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351263"/>
        <c:crosses val="max"/>
        <c:crossBetween val="between"/>
      </c:valAx>
      <c:catAx>
        <c:axId val="129335126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93350847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[t]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Sheet1!$F$74:$F$78</c:f>
              <c:strCache>
                <c:ptCount val="5"/>
                <c:pt idx="0">
                  <c:v>[tʰ]</c:v>
                </c:pt>
                <c:pt idx="1">
                  <c:v>[n]</c:v>
                </c:pt>
                <c:pt idx="2">
                  <c:v>[tˤ]</c:v>
                </c:pt>
                <c:pt idx="3">
                  <c:v>[t͡s]</c:v>
                </c:pt>
                <c:pt idx="4">
                  <c:v>[p]</c:v>
                </c:pt>
              </c:strCache>
            </c:strRef>
          </c:cat>
          <c:val>
            <c:numRef>
              <c:f>Sheet1!$G$74:$G$78</c:f>
              <c:numCache>
                <c:formatCode>General</c:formatCode>
                <c:ptCount val="5"/>
                <c:pt idx="0">
                  <c:v>46</c:v>
                </c:pt>
                <c:pt idx="1">
                  <c:v>3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1E-4A7B-9FA0-BD28DCC660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8620911"/>
        <c:axId val="1298611343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Sheet1!$F$74:$F$78</c:f>
              <c:strCache>
                <c:ptCount val="5"/>
                <c:pt idx="0">
                  <c:v>[tʰ]</c:v>
                </c:pt>
                <c:pt idx="1">
                  <c:v>[n]</c:v>
                </c:pt>
                <c:pt idx="2">
                  <c:v>[tˤ]</c:v>
                </c:pt>
                <c:pt idx="3">
                  <c:v>[t͡s]</c:v>
                </c:pt>
                <c:pt idx="4">
                  <c:v>[p]</c:v>
                </c:pt>
              </c:strCache>
            </c:strRef>
          </c:cat>
          <c:val>
            <c:numRef>
              <c:f>Sheet1!$H$74:$H$78</c:f>
              <c:numCache>
                <c:formatCode>0.00%</c:formatCode>
                <c:ptCount val="5"/>
                <c:pt idx="0">
                  <c:v>0.3087248322147651</c:v>
                </c:pt>
                <c:pt idx="1">
                  <c:v>2.0134228187919462E-2</c:v>
                </c:pt>
                <c:pt idx="2">
                  <c:v>1.3422818791946308E-2</c:v>
                </c:pt>
                <c:pt idx="3">
                  <c:v>6.7114093959731542E-3</c:v>
                </c:pt>
                <c:pt idx="4">
                  <c:v>6.7114093959731542E-3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1E-4A7B-9FA0-BD28DCC660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1483919"/>
        <c:axId val="1298615919"/>
      </c:lineChart>
      <c:catAx>
        <c:axId val="1298620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8611343"/>
        <c:crosses val="autoZero"/>
        <c:auto val="1"/>
        <c:lblAlgn val="ctr"/>
        <c:lblOffset val="100"/>
        <c:noMultiLvlLbl val="0"/>
      </c:catAx>
      <c:valAx>
        <c:axId val="1298611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8620911"/>
        <c:crosses val="autoZero"/>
        <c:crossBetween val="between"/>
      </c:valAx>
      <c:valAx>
        <c:axId val="1298615919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1483919"/>
        <c:crosses val="max"/>
        <c:crossBetween val="between"/>
      </c:valAx>
      <c:catAx>
        <c:axId val="121148391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98615919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[d]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Sheet1!$F$80:$F$81</c:f>
              <c:strCache>
                <c:ptCount val="2"/>
                <c:pt idx="0">
                  <c:v>[t]</c:v>
                </c:pt>
                <c:pt idx="1">
                  <c:v>[d̥]</c:v>
                </c:pt>
              </c:strCache>
            </c:strRef>
          </c:cat>
          <c:val>
            <c:numRef>
              <c:f>Sheet1!$G$80:$G$81</c:f>
              <c:numCache>
                <c:formatCode>General</c:formatCode>
                <c:ptCount val="2"/>
                <c:pt idx="0">
                  <c:v>19</c:v>
                </c:pt>
                <c:pt idx="1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E8-4924-ACE5-078547E705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1476015"/>
        <c:axId val="1211474351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Sheet1!$F$80:$F$81</c:f>
              <c:strCache>
                <c:ptCount val="2"/>
                <c:pt idx="0">
                  <c:v>[t]</c:v>
                </c:pt>
                <c:pt idx="1">
                  <c:v>[d̥]</c:v>
                </c:pt>
              </c:strCache>
            </c:strRef>
          </c:cat>
          <c:val>
            <c:numRef>
              <c:f>Sheet1!$H$80:$H$81</c:f>
              <c:numCache>
                <c:formatCode>0.00%</c:formatCode>
                <c:ptCount val="2"/>
                <c:pt idx="0">
                  <c:v>0.13868613138686131</c:v>
                </c:pt>
                <c:pt idx="1">
                  <c:v>0.13138686131386862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7E8-4924-ACE5-078547E705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1483087"/>
        <c:axId val="1211474767"/>
      </c:lineChart>
      <c:catAx>
        <c:axId val="1211476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1474351"/>
        <c:crosses val="autoZero"/>
        <c:auto val="1"/>
        <c:lblAlgn val="ctr"/>
        <c:lblOffset val="100"/>
        <c:noMultiLvlLbl val="0"/>
      </c:catAx>
      <c:valAx>
        <c:axId val="1211474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1476015"/>
        <c:crosses val="autoZero"/>
        <c:crossBetween val="between"/>
      </c:valAx>
      <c:valAx>
        <c:axId val="1211474767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1483087"/>
        <c:crosses val="max"/>
        <c:crossBetween val="between"/>
      </c:valAx>
      <c:catAx>
        <c:axId val="121148308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11474767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dˤ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Sheet1!$F$83:$F$86</c:f>
              <c:strCache>
                <c:ptCount val="4"/>
                <c:pt idx="0">
                  <c:v>[tˤ]</c:v>
                </c:pt>
                <c:pt idx="1">
                  <c:v>[t]</c:v>
                </c:pt>
                <c:pt idx="2">
                  <c:v>[d]</c:v>
                </c:pt>
                <c:pt idx="3">
                  <c:v>[ʔ]</c:v>
                </c:pt>
              </c:strCache>
            </c:strRef>
          </c:cat>
          <c:val>
            <c:numRef>
              <c:f>Sheet1!$G$83:$G$86</c:f>
              <c:numCache>
                <c:formatCode>General</c:formatCode>
                <c:ptCount val="4"/>
                <c:pt idx="0">
                  <c:v>7</c:v>
                </c:pt>
                <c:pt idx="1">
                  <c:v>3</c:v>
                </c:pt>
                <c:pt idx="2">
                  <c:v>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E9-44D9-8FEC-62B2B604C9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7090847"/>
        <c:axId val="1297100831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Sheet1!$F$83:$F$86</c:f>
              <c:strCache>
                <c:ptCount val="4"/>
                <c:pt idx="0">
                  <c:v>[tˤ]</c:v>
                </c:pt>
                <c:pt idx="1">
                  <c:v>[t]</c:v>
                </c:pt>
                <c:pt idx="2">
                  <c:v>[d]</c:v>
                </c:pt>
                <c:pt idx="3">
                  <c:v>[ʔ]</c:v>
                </c:pt>
              </c:strCache>
            </c:strRef>
          </c:cat>
          <c:val>
            <c:numRef>
              <c:f>Sheet1!$H$83:$H$86</c:f>
              <c:numCache>
                <c:formatCode>0.00%</c:formatCode>
                <c:ptCount val="4"/>
                <c:pt idx="0">
                  <c:v>0.23333333333333334</c:v>
                </c:pt>
                <c:pt idx="1">
                  <c:v>0.1</c:v>
                </c:pt>
                <c:pt idx="2">
                  <c:v>6.6666666666666666E-2</c:v>
                </c:pt>
                <c:pt idx="3">
                  <c:v>3.3333333333333333E-2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E9-44D9-8FEC-62B2B604C9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7089183"/>
        <c:axId val="1297087103"/>
      </c:lineChart>
      <c:catAx>
        <c:axId val="1297090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7100831"/>
        <c:crosses val="autoZero"/>
        <c:auto val="1"/>
        <c:lblAlgn val="ctr"/>
        <c:lblOffset val="100"/>
        <c:noMultiLvlLbl val="0"/>
      </c:catAx>
      <c:valAx>
        <c:axId val="1297100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7090847"/>
        <c:crosses val="autoZero"/>
        <c:crossBetween val="between"/>
      </c:valAx>
      <c:valAx>
        <c:axId val="1297087103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7089183"/>
        <c:crosses val="max"/>
        <c:crossBetween val="between"/>
      </c:valAx>
      <c:catAx>
        <c:axId val="129708918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97087103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syllable</a:t>
            </a:r>
            <a:r>
              <a:rPr lang="en-US" baseline="0"/>
              <a:t> structure processes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Sheet2!$D$2:$D$18</c:f>
              <c:strCache>
                <c:ptCount val="16"/>
                <c:pt idx="0">
                  <c:v>degemination(reduce consonant cluster to one single consonant)</c:v>
                </c:pt>
                <c:pt idx="1">
                  <c:v>Epenthesis(insert diphthong [u:] between  consnant cluster)</c:v>
                </c:pt>
                <c:pt idx="2">
                  <c:v>Epenthesis(insert vowel [ʊ] between  consnant cluster)</c:v>
                </c:pt>
                <c:pt idx="3">
                  <c:v>Epenthesis(insertion of [ ɑ] phone between consonant cluster)</c:v>
                </c:pt>
                <c:pt idx="4">
                  <c:v>Epenthesis(insertion of [ æ] phone between consonant cluster)</c:v>
                </c:pt>
                <c:pt idx="5">
                  <c:v>Epenthesis(insertion of [ɪ] phone between consonant cluster)</c:v>
                </c:pt>
                <c:pt idx="6">
                  <c:v>Vowelization</c:v>
                </c:pt>
                <c:pt idx="7">
                  <c:v>final consonant deletion</c:v>
                </c:pt>
                <c:pt idx="8">
                  <c:v>Metathesis</c:v>
                </c:pt>
                <c:pt idx="9">
                  <c:v>syllable structure process (final syllable deletion)</c:v>
                </c:pt>
                <c:pt idx="10">
                  <c:v>Monophthongization</c:v>
                </c:pt>
                <c:pt idx="11">
                  <c:v>gemination</c:v>
                </c:pt>
                <c:pt idx="12">
                  <c:v>Nasal assimilation</c:v>
                </c:pt>
                <c:pt idx="13">
                  <c:v>syllable structure process (consonant insertion of  [l] phone)</c:v>
                </c:pt>
                <c:pt idx="14">
                  <c:v>syllable structure process (consonant insertion of  [s] phone)</c:v>
                </c:pt>
                <c:pt idx="15">
                  <c:v>syllable structure process (consonant insertion of  [n] phone)</c:v>
                </c:pt>
              </c:strCache>
            </c:strRef>
          </c:cat>
          <c:val>
            <c:numRef>
              <c:f>Sheet2!$E$2:$E$18</c:f>
              <c:numCache>
                <c:formatCode>General</c:formatCode>
                <c:ptCount val="17"/>
                <c:pt idx="0">
                  <c:v>25</c:v>
                </c:pt>
                <c:pt idx="1">
                  <c:v>1</c:v>
                </c:pt>
                <c:pt idx="2">
                  <c:v>5</c:v>
                </c:pt>
                <c:pt idx="3">
                  <c:v>14</c:v>
                </c:pt>
                <c:pt idx="4">
                  <c:v>12</c:v>
                </c:pt>
                <c:pt idx="5">
                  <c:v>1</c:v>
                </c:pt>
                <c:pt idx="6">
                  <c:v>5</c:v>
                </c:pt>
                <c:pt idx="7">
                  <c:v>4</c:v>
                </c:pt>
                <c:pt idx="8">
                  <c:v>4</c:v>
                </c:pt>
                <c:pt idx="9">
                  <c:v>3</c:v>
                </c:pt>
                <c:pt idx="10">
                  <c:v>2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09-4EF9-8AF7-6FB8355BA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1483503"/>
        <c:axId val="1211473103"/>
      </c:barChart>
      <c:lineChart>
        <c:grouping val="standard"/>
        <c:varyColors val="0"/>
        <c:ser>
          <c:idx val="1"/>
          <c:order val="1"/>
          <c:spPr>
            <a:ln w="28575" cap="rnd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BDD4-4300-85E8-8C54FDB8B5BF}"/>
              </c:ext>
            </c:extLst>
          </c:dPt>
          <c:dPt>
            <c:idx val="1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BDD4-4300-85E8-8C54FDB8B5BF}"/>
              </c:ext>
            </c:extLst>
          </c:dPt>
          <c:cat>
            <c:strRef>
              <c:f>Sheet2!$D$2:$D$18</c:f>
              <c:strCache>
                <c:ptCount val="16"/>
                <c:pt idx="0">
                  <c:v>degemination(reduce consonant cluster to one single consonant)</c:v>
                </c:pt>
                <c:pt idx="1">
                  <c:v>Epenthesis(insert diphthong [u:] between  consnant cluster)</c:v>
                </c:pt>
                <c:pt idx="2">
                  <c:v>Epenthesis(insert vowel [ʊ] between  consnant cluster)</c:v>
                </c:pt>
                <c:pt idx="3">
                  <c:v>Epenthesis(insertion of [ ɑ] phone between consonant cluster)</c:v>
                </c:pt>
                <c:pt idx="4">
                  <c:v>Epenthesis(insertion of [ æ] phone between consonant cluster)</c:v>
                </c:pt>
                <c:pt idx="5">
                  <c:v>Epenthesis(insertion of [ɪ] phone between consonant cluster)</c:v>
                </c:pt>
                <c:pt idx="6">
                  <c:v>Vowelization</c:v>
                </c:pt>
                <c:pt idx="7">
                  <c:v>final consonant deletion</c:v>
                </c:pt>
                <c:pt idx="8">
                  <c:v>Metathesis</c:v>
                </c:pt>
                <c:pt idx="9">
                  <c:v>syllable structure process (final syllable deletion)</c:v>
                </c:pt>
                <c:pt idx="10">
                  <c:v>Monophthongization</c:v>
                </c:pt>
                <c:pt idx="11">
                  <c:v>gemination</c:v>
                </c:pt>
                <c:pt idx="12">
                  <c:v>Nasal assimilation</c:v>
                </c:pt>
                <c:pt idx="13">
                  <c:v>syllable structure process (consonant insertion of  [l] phone)</c:v>
                </c:pt>
                <c:pt idx="14">
                  <c:v>syllable structure process (consonant insertion of  [s] phone)</c:v>
                </c:pt>
                <c:pt idx="15">
                  <c:v>syllable structure process (consonant insertion of  [n] phone)</c:v>
                </c:pt>
              </c:strCache>
            </c:strRef>
          </c:cat>
          <c:val>
            <c:numRef>
              <c:f>Sheet2!$F$2:$F$18</c:f>
              <c:numCache>
                <c:formatCode>0.00%</c:formatCode>
                <c:ptCount val="17"/>
                <c:pt idx="0">
                  <c:v>0.29411764705882354</c:v>
                </c:pt>
                <c:pt idx="1">
                  <c:v>4.0983606557377051E-3</c:v>
                </c:pt>
                <c:pt idx="2">
                  <c:v>2.0491803278688523E-2</c:v>
                </c:pt>
                <c:pt idx="3">
                  <c:v>5.737704918032787E-2</c:v>
                </c:pt>
                <c:pt idx="4">
                  <c:v>4.9180327868852458E-2</c:v>
                </c:pt>
                <c:pt idx="5">
                  <c:v>4.0983606557377051E-3</c:v>
                </c:pt>
                <c:pt idx="7">
                  <c:v>9.8039215686274508E-3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09-4EF9-8AF7-6FB8355BA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7093343"/>
        <c:axId val="1297096255"/>
      </c:lineChart>
      <c:catAx>
        <c:axId val="1211483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1473103"/>
        <c:crosses val="autoZero"/>
        <c:auto val="1"/>
        <c:lblAlgn val="ctr"/>
        <c:lblOffset val="100"/>
        <c:noMultiLvlLbl val="0"/>
      </c:catAx>
      <c:valAx>
        <c:axId val="1211473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1483503"/>
        <c:crosses val="autoZero"/>
        <c:crossBetween val="between"/>
      </c:valAx>
      <c:valAx>
        <c:axId val="1297096255"/>
        <c:scaling>
          <c:orientation val="minMax"/>
        </c:scaling>
        <c:delete val="1"/>
        <c:axPos val="r"/>
        <c:numFmt formatCode="0.00%" sourceLinked="1"/>
        <c:majorTickMark val="none"/>
        <c:minorTickMark val="none"/>
        <c:tickLblPos val="nextTo"/>
        <c:crossAx val="1297093343"/>
        <c:crosses val="max"/>
        <c:crossBetween val="between"/>
      </c:valAx>
      <c:catAx>
        <c:axId val="129709334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97096255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Sheet3!$C$2:$C$23</c:f>
              <c:strCache>
                <c:ptCount val="22"/>
                <c:pt idx="0">
                  <c:v>insertion of  Definite Article to the following word</c:v>
                </c:pt>
                <c:pt idx="1">
                  <c:v>replace the Modern Standard Arabic consonant [ð]with the colloquial arabic consonant [z]</c:v>
                </c:pt>
                <c:pt idx="2">
                  <c:v>replace the Modern Standard Arabic consonant [θ]with the colloquial arabic consonant [s]</c:v>
                </c:pt>
                <c:pt idx="3">
                  <c:v>replace the Modern Standard Arabic consonant [ðˤ]with the colloquial arabic consonant [zˤ]</c:v>
                </c:pt>
                <c:pt idx="4">
                  <c:v>Definite Article deletion</c:v>
                </c:pt>
                <c:pt idx="5">
                  <c:v>insertion of  Definite Article</c:v>
                </c:pt>
                <c:pt idx="6">
                  <c:v>replace the Modern Standard Arabic diphthong [æw]with the colloquial arabic vowel[o:]</c:v>
                </c:pt>
                <c:pt idx="7">
                  <c:v>Deletion of feminine marker</c:v>
                </c:pt>
                <c:pt idx="8">
                  <c:v>replace the Modern Standard Arabic diphthong [æw]with the colloquial arabic vowel[u:]</c:v>
                </c:pt>
                <c:pt idx="9">
                  <c:v>replace  trilled [r] with alveolar tap [ɾ]  " </c:v>
                </c:pt>
                <c:pt idx="10">
                  <c:v>consonant deletion  of [ʔ] phone affected by colloquial Arabic</c:v>
                </c:pt>
                <c:pt idx="11">
                  <c:v>misreading</c:v>
                </c:pt>
                <c:pt idx="12">
                  <c:v>replace the Modern Standard Arabic diphthong [æj]with the colloquial arabic vowel[e:]</c:v>
                </c:pt>
                <c:pt idx="13">
                  <c:v>replace the Modern Standard Arabic diphthong [ɑw]with the colloquial arabic vowel[o:]</c:v>
                </c:pt>
                <c:pt idx="14">
                  <c:v>replace the Modern Standard Arabic diphthong [ ɑj]with the colloquial arabic vowel[e:]</c:v>
                </c:pt>
                <c:pt idx="15">
                  <c:v>replace  [ʔ]with  [j] affected by colloquial arabic</c:v>
                </c:pt>
                <c:pt idx="16">
                  <c:v>replace  [j]with  [i:] affected by colloquial Arabic</c:v>
                </c:pt>
                <c:pt idx="17">
                  <c:v>replace feminine with masculine</c:v>
                </c:pt>
                <c:pt idx="18">
                  <c:v>replace masculine  with feminine</c:v>
                </c:pt>
                <c:pt idx="19">
                  <c:v>replace  [ʔ]with  [ɑ] affected by colloquial arabic</c:v>
                </c:pt>
                <c:pt idx="20">
                  <c:v>replace  [ʔ]with  [æj] affected by colloquial arabic</c:v>
                </c:pt>
                <c:pt idx="21">
                  <c:v>replace the Modern Standard Arabic consonant [dˤ]with the colloquial arabic consonant [zˤ]</c:v>
                </c:pt>
              </c:strCache>
            </c:strRef>
          </c:cat>
          <c:val>
            <c:numRef>
              <c:f>Sheet3!$D$2:$D$23</c:f>
              <c:numCache>
                <c:formatCode>General</c:formatCode>
                <c:ptCount val="22"/>
                <c:pt idx="0">
                  <c:v>34</c:v>
                </c:pt>
                <c:pt idx="1">
                  <c:v>32</c:v>
                </c:pt>
                <c:pt idx="2">
                  <c:v>22</c:v>
                </c:pt>
                <c:pt idx="3">
                  <c:v>18</c:v>
                </c:pt>
                <c:pt idx="4">
                  <c:v>15</c:v>
                </c:pt>
                <c:pt idx="5">
                  <c:v>14</c:v>
                </c:pt>
                <c:pt idx="6">
                  <c:v>10</c:v>
                </c:pt>
                <c:pt idx="7">
                  <c:v>9</c:v>
                </c:pt>
                <c:pt idx="8">
                  <c:v>6</c:v>
                </c:pt>
                <c:pt idx="9">
                  <c:v>6</c:v>
                </c:pt>
                <c:pt idx="10">
                  <c:v>5</c:v>
                </c:pt>
                <c:pt idx="11">
                  <c:v>4</c:v>
                </c:pt>
                <c:pt idx="12">
                  <c:v>3</c:v>
                </c:pt>
                <c:pt idx="13">
                  <c:v>3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1E-4F70-8689-B79C834E2F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8613007"/>
        <c:axId val="1298621743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Sheet3!$C$2:$C$23</c:f>
              <c:strCache>
                <c:ptCount val="22"/>
                <c:pt idx="0">
                  <c:v>insertion of  Definite Article to the following word</c:v>
                </c:pt>
                <c:pt idx="1">
                  <c:v>replace the Modern Standard Arabic consonant [ð]with the colloquial arabic consonant [z]</c:v>
                </c:pt>
                <c:pt idx="2">
                  <c:v>replace the Modern Standard Arabic consonant [θ]with the colloquial arabic consonant [s]</c:v>
                </c:pt>
                <c:pt idx="3">
                  <c:v>replace the Modern Standard Arabic consonant [ðˤ]with the colloquial arabic consonant [zˤ]</c:v>
                </c:pt>
                <c:pt idx="4">
                  <c:v>Definite Article deletion</c:v>
                </c:pt>
                <c:pt idx="5">
                  <c:v>insertion of  Definite Article</c:v>
                </c:pt>
                <c:pt idx="6">
                  <c:v>replace the Modern Standard Arabic diphthong [æw]with the colloquial arabic vowel[o:]</c:v>
                </c:pt>
                <c:pt idx="7">
                  <c:v>Deletion of feminine marker</c:v>
                </c:pt>
                <c:pt idx="8">
                  <c:v>replace the Modern Standard Arabic diphthong [æw]with the colloquial arabic vowel[u:]</c:v>
                </c:pt>
                <c:pt idx="9">
                  <c:v>replace  trilled [r] with alveolar tap [ɾ]  " </c:v>
                </c:pt>
                <c:pt idx="10">
                  <c:v>consonant deletion  of [ʔ] phone affected by colloquial Arabic</c:v>
                </c:pt>
                <c:pt idx="11">
                  <c:v>misreading</c:v>
                </c:pt>
                <c:pt idx="12">
                  <c:v>replace the Modern Standard Arabic diphthong [æj]with the colloquial arabic vowel[e:]</c:v>
                </c:pt>
                <c:pt idx="13">
                  <c:v>replace the Modern Standard Arabic diphthong [ɑw]with the colloquial arabic vowel[o:]</c:v>
                </c:pt>
                <c:pt idx="14">
                  <c:v>replace the Modern Standard Arabic diphthong [ ɑj]with the colloquial arabic vowel[e:]</c:v>
                </c:pt>
                <c:pt idx="15">
                  <c:v>replace  [ʔ]with  [j] affected by colloquial arabic</c:v>
                </c:pt>
                <c:pt idx="16">
                  <c:v>replace  [j]with  [i:] affected by colloquial Arabic</c:v>
                </c:pt>
                <c:pt idx="17">
                  <c:v>replace feminine with masculine</c:v>
                </c:pt>
                <c:pt idx="18">
                  <c:v>replace masculine  with feminine</c:v>
                </c:pt>
                <c:pt idx="19">
                  <c:v>replace  [ʔ]with  [ɑ] affected by colloquial arabic</c:v>
                </c:pt>
                <c:pt idx="20">
                  <c:v>replace  [ʔ]with  [æj] affected by colloquial arabic</c:v>
                </c:pt>
                <c:pt idx="21">
                  <c:v>replace the Modern Standard Arabic consonant [dˤ]with the colloquial arabic consonant [zˤ]</c:v>
                </c:pt>
              </c:strCache>
            </c:strRef>
          </c:cat>
          <c:val>
            <c:numRef>
              <c:f>Sheet3!$E$2:$E$23</c:f>
              <c:numCache>
                <c:formatCode>0.00%</c:formatCode>
                <c:ptCount val="22"/>
                <c:pt idx="4">
                  <c:v>0.1048951048951049</c:v>
                </c:pt>
                <c:pt idx="6">
                  <c:v>0.29411764705882354</c:v>
                </c:pt>
                <c:pt idx="12">
                  <c:v>0.14285714285714285</c:v>
                </c:pt>
                <c:pt idx="13">
                  <c:v>0.33333333333333331</c:v>
                </c:pt>
                <c:pt idx="14">
                  <c:v>0.14285714285714285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A1E-4F70-8689-B79C834E2F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8613423"/>
        <c:axId val="1298616751"/>
      </c:lineChart>
      <c:catAx>
        <c:axId val="1298613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8621743"/>
        <c:crosses val="autoZero"/>
        <c:auto val="1"/>
        <c:lblAlgn val="ctr"/>
        <c:lblOffset val="100"/>
        <c:noMultiLvlLbl val="0"/>
      </c:catAx>
      <c:valAx>
        <c:axId val="1298621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8613007"/>
        <c:crosses val="autoZero"/>
        <c:crossBetween val="between"/>
      </c:valAx>
      <c:valAx>
        <c:axId val="1298616751"/>
        <c:scaling>
          <c:orientation val="minMax"/>
        </c:scaling>
        <c:delete val="1"/>
        <c:axPos val="r"/>
        <c:numFmt formatCode="0.00%" sourceLinked="1"/>
        <c:majorTickMark val="none"/>
        <c:minorTickMark val="none"/>
        <c:tickLblPos val="nextTo"/>
        <c:crossAx val="1298613423"/>
        <c:crosses val="max"/>
        <c:crossBetween val="between"/>
      </c:valAx>
      <c:catAx>
        <c:axId val="129861342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98616751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13251</xdr:colOff>
      <xdr:row>1</xdr:row>
      <xdr:rowOff>3313</xdr:rowOff>
    </xdr:from>
    <xdr:to>
      <xdr:col>15</xdr:col>
      <xdr:colOff>318051</xdr:colOff>
      <xdr:row>2</xdr:row>
      <xdr:rowOff>1073426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19877</xdr:colOff>
      <xdr:row>4</xdr:row>
      <xdr:rowOff>26504</xdr:rowOff>
    </xdr:from>
    <xdr:to>
      <xdr:col>15</xdr:col>
      <xdr:colOff>324677</xdr:colOff>
      <xdr:row>6</xdr:row>
      <xdr:rowOff>695739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92765</xdr:colOff>
      <xdr:row>8</xdr:row>
      <xdr:rowOff>33131</xdr:rowOff>
    </xdr:from>
    <xdr:to>
      <xdr:col>15</xdr:col>
      <xdr:colOff>291547</xdr:colOff>
      <xdr:row>9</xdr:row>
      <xdr:rowOff>728871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576469</xdr:colOff>
      <xdr:row>11</xdr:row>
      <xdr:rowOff>3313</xdr:rowOff>
    </xdr:from>
    <xdr:to>
      <xdr:col>15</xdr:col>
      <xdr:colOff>304799</xdr:colOff>
      <xdr:row>11</xdr:row>
      <xdr:rowOff>1550504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19878</xdr:colOff>
      <xdr:row>13</xdr:row>
      <xdr:rowOff>72887</xdr:rowOff>
    </xdr:from>
    <xdr:to>
      <xdr:col>15</xdr:col>
      <xdr:colOff>324678</xdr:colOff>
      <xdr:row>14</xdr:row>
      <xdr:rowOff>6626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66260</xdr:colOff>
      <xdr:row>15</xdr:row>
      <xdr:rowOff>33131</xdr:rowOff>
    </xdr:from>
    <xdr:to>
      <xdr:col>15</xdr:col>
      <xdr:colOff>371060</xdr:colOff>
      <xdr:row>15</xdr:row>
      <xdr:rowOff>1504123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13252</xdr:colOff>
      <xdr:row>19</xdr:row>
      <xdr:rowOff>46382</xdr:rowOff>
    </xdr:from>
    <xdr:to>
      <xdr:col>15</xdr:col>
      <xdr:colOff>318052</xdr:colOff>
      <xdr:row>22</xdr:row>
      <xdr:rowOff>728869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576469</xdr:colOff>
      <xdr:row>24</xdr:row>
      <xdr:rowOff>72887</xdr:rowOff>
    </xdr:from>
    <xdr:to>
      <xdr:col>15</xdr:col>
      <xdr:colOff>304799</xdr:colOff>
      <xdr:row>29</xdr:row>
      <xdr:rowOff>735494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13253</xdr:colOff>
      <xdr:row>31</xdr:row>
      <xdr:rowOff>26504</xdr:rowOff>
    </xdr:from>
    <xdr:to>
      <xdr:col>15</xdr:col>
      <xdr:colOff>318053</xdr:colOff>
      <xdr:row>32</xdr:row>
      <xdr:rowOff>755373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19878</xdr:colOff>
      <xdr:row>33</xdr:row>
      <xdr:rowOff>357810</xdr:rowOff>
    </xdr:from>
    <xdr:to>
      <xdr:col>15</xdr:col>
      <xdr:colOff>324678</xdr:colOff>
      <xdr:row>35</xdr:row>
      <xdr:rowOff>33132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8</xdr:col>
      <xdr:colOff>26504</xdr:colOff>
      <xdr:row>36</xdr:row>
      <xdr:rowOff>46382</xdr:rowOff>
    </xdr:from>
    <xdr:to>
      <xdr:col>15</xdr:col>
      <xdr:colOff>331304</xdr:colOff>
      <xdr:row>37</xdr:row>
      <xdr:rowOff>848139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8</xdr:col>
      <xdr:colOff>66259</xdr:colOff>
      <xdr:row>39</xdr:row>
      <xdr:rowOff>79513</xdr:rowOff>
    </xdr:from>
    <xdr:to>
      <xdr:col>15</xdr:col>
      <xdr:colOff>284920</xdr:colOff>
      <xdr:row>41</xdr:row>
      <xdr:rowOff>755374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8</xdr:col>
      <xdr:colOff>26503</xdr:colOff>
      <xdr:row>43</xdr:row>
      <xdr:rowOff>66260</xdr:rowOff>
    </xdr:from>
    <xdr:to>
      <xdr:col>15</xdr:col>
      <xdr:colOff>278294</xdr:colOff>
      <xdr:row>44</xdr:row>
      <xdr:rowOff>1225826</xdr:rowOff>
    </xdr:to>
    <xdr:graphicFrame macro="">
      <xdr:nvGraphicFramePr>
        <xdr:cNvPr id="15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8</xdr:col>
      <xdr:colOff>86139</xdr:colOff>
      <xdr:row>46</xdr:row>
      <xdr:rowOff>66261</xdr:rowOff>
    </xdr:from>
    <xdr:to>
      <xdr:col>15</xdr:col>
      <xdr:colOff>288235</xdr:colOff>
      <xdr:row>47</xdr:row>
      <xdr:rowOff>1179445</xdr:rowOff>
    </xdr:to>
    <xdr:graphicFrame macro="">
      <xdr:nvGraphicFramePr>
        <xdr:cNvPr id="16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8</xdr:col>
      <xdr:colOff>69573</xdr:colOff>
      <xdr:row>49</xdr:row>
      <xdr:rowOff>86140</xdr:rowOff>
    </xdr:from>
    <xdr:to>
      <xdr:col>15</xdr:col>
      <xdr:colOff>374373</xdr:colOff>
      <xdr:row>52</xdr:row>
      <xdr:rowOff>715618</xdr:rowOff>
    </xdr:to>
    <xdr:graphicFrame macro="">
      <xdr:nvGraphicFramePr>
        <xdr:cNvPr id="17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8</xdr:col>
      <xdr:colOff>16565</xdr:colOff>
      <xdr:row>54</xdr:row>
      <xdr:rowOff>59635</xdr:rowOff>
    </xdr:from>
    <xdr:to>
      <xdr:col>15</xdr:col>
      <xdr:colOff>321365</xdr:colOff>
      <xdr:row>55</xdr:row>
      <xdr:rowOff>1285461</xdr:rowOff>
    </xdr:to>
    <xdr:graphicFrame macro="">
      <xdr:nvGraphicFramePr>
        <xdr:cNvPr id="18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8</xdr:col>
      <xdr:colOff>16565</xdr:colOff>
      <xdr:row>58</xdr:row>
      <xdr:rowOff>9938</xdr:rowOff>
    </xdr:from>
    <xdr:to>
      <xdr:col>15</xdr:col>
      <xdr:colOff>321365</xdr:colOff>
      <xdr:row>63</xdr:row>
      <xdr:rowOff>722243</xdr:rowOff>
    </xdr:to>
    <xdr:graphicFrame macro="">
      <xdr:nvGraphicFramePr>
        <xdr:cNvPr id="19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8</xdr:col>
      <xdr:colOff>9939</xdr:colOff>
      <xdr:row>65</xdr:row>
      <xdr:rowOff>241852</xdr:rowOff>
    </xdr:from>
    <xdr:to>
      <xdr:col>15</xdr:col>
      <xdr:colOff>314739</xdr:colOff>
      <xdr:row>67</xdr:row>
      <xdr:rowOff>702366</xdr:rowOff>
    </xdr:to>
    <xdr:graphicFrame macro="">
      <xdr:nvGraphicFramePr>
        <xdr:cNvPr id="20" name="Chart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8</xdr:col>
      <xdr:colOff>9939</xdr:colOff>
      <xdr:row>69</xdr:row>
      <xdr:rowOff>106018</xdr:rowOff>
    </xdr:from>
    <xdr:to>
      <xdr:col>15</xdr:col>
      <xdr:colOff>314739</xdr:colOff>
      <xdr:row>71</xdr:row>
      <xdr:rowOff>728869</xdr:rowOff>
    </xdr:to>
    <xdr:graphicFrame macro="">
      <xdr:nvGraphicFramePr>
        <xdr:cNvPr id="21" name="Chart 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8</xdr:col>
      <xdr:colOff>9940</xdr:colOff>
      <xdr:row>73</xdr:row>
      <xdr:rowOff>46381</xdr:rowOff>
    </xdr:from>
    <xdr:to>
      <xdr:col>15</xdr:col>
      <xdr:colOff>314740</xdr:colOff>
      <xdr:row>77</xdr:row>
      <xdr:rowOff>742120</xdr:rowOff>
    </xdr:to>
    <xdr:graphicFrame macro="">
      <xdr:nvGraphicFramePr>
        <xdr:cNvPr id="22" name="Chart 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8</xdr:col>
      <xdr:colOff>16566</xdr:colOff>
      <xdr:row>79</xdr:row>
      <xdr:rowOff>33130</xdr:rowOff>
    </xdr:from>
    <xdr:to>
      <xdr:col>15</xdr:col>
      <xdr:colOff>321366</xdr:colOff>
      <xdr:row>80</xdr:row>
      <xdr:rowOff>722243</xdr:rowOff>
    </xdr:to>
    <xdr:graphicFrame macro="">
      <xdr:nvGraphicFramePr>
        <xdr:cNvPr id="23" name="Chart 2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8</xdr:col>
      <xdr:colOff>9939</xdr:colOff>
      <xdr:row>82</xdr:row>
      <xdr:rowOff>53008</xdr:rowOff>
    </xdr:from>
    <xdr:to>
      <xdr:col>15</xdr:col>
      <xdr:colOff>314739</xdr:colOff>
      <xdr:row>85</xdr:row>
      <xdr:rowOff>748746</xdr:rowOff>
    </xdr:to>
    <xdr:graphicFrame macro="">
      <xdr:nvGraphicFramePr>
        <xdr:cNvPr id="24" name="Chart 2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45720</xdr:colOff>
      <xdr:row>0</xdr:row>
      <xdr:rowOff>190500</xdr:rowOff>
    </xdr:from>
    <xdr:to>
      <xdr:col>19</xdr:col>
      <xdr:colOff>396240</xdr:colOff>
      <xdr:row>17</xdr:row>
      <xdr:rowOff>601980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60960</xdr:colOff>
      <xdr:row>0</xdr:row>
      <xdr:rowOff>289560</xdr:rowOff>
    </xdr:from>
    <xdr:to>
      <xdr:col>21</xdr:col>
      <xdr:colOff>99060</xdr:colOff>
      <xdr:row>24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355"/>
  <sheetViews>
    <sheetView zoomScale="115" zoomScaleNormal="115" workbookViewId="0">
      <selection activeCell="G87" sqref="G87"/>
    </sheetView>
  </sheetViews>
  <sheetFormatPr defaultRowHeight="14.4" x14ac:dyDescent="0.3"/>
  <cols>
    <col min="2" max="3" width="7.21875" customWidth="1"/>
    <col min="4" max="4" width="4.77734375" customWidth="1"/>
    <col min="5" max="5" width="36.21875" style="18" customWidth="1"/>
    <col min="6" max="7" width="8.44140625" customWidth="1"/>
    <col min="8" max="8" width="8.44140625" style="91" customWidth="1"/>
  </cols>
  <sheetData>
    <row r="1" spans="2:12" s="9" customFormat="1" ht="60" customHeight="1" thickTop="1" thickBot="1" x14ac:dyDescent="0.45">
      <c r="B1" s="24" t="s">
        <v>114</v>
      </c>
      <c r="C1" s="24"/>
      <c r="D1" s="24" t="s">
        <v>115</v>
      </c>
      <c r="E1" s="25" t="s">
        <v>116</v>
      </c>
      <c r="F1" s="24"/>
      <c r="G1" s="24" t="s">
        <v>125</v>
      </c>
      <c r="H1" s="69" t="s">
        <v>188</v>
      </c>
    </row>
    <row r="2" spans="2:12" ht="82.8" customHeight="1" thickTop="1" thickBot="1" x14ac:dyDescent="0.35">
      <c r="B2" s="184" t="s">
        <v>87</v>
      </c>
      <c r="C2" s="184">
        <v>221</v>
      </c>
      <c r="D2" s="182" t="s">
        <v>85</v>
      </c>
      <c r="E2" s="26" t="s">
        <v>126</v>
      </c>
      <c r="F2" s="27" t="s">
        <v>157</v>
      </c>
      <c r="G2" s="27">
        <v>187</v>
      </c>
      <c r="H2" s="70">
        <f>G2/221</f>
        <v>0.84615384615384615</v>
      </c>
    </row>
    <row r="3" spans="2:12" ht="85.2" customHeight="1" thickTop="1" thickBot="1" x14ac:dyDescent="0.35">
      <c r="B3" s="185"/>
      <c r="C3" s="185"/>
      <c r="D3" s="183"/>
      <c r="E3" s="26" t="s">
        <v>154</v>
      </c>
      <c r="F3" s="27" t="s">
        <v>158</v>
      </c>
      <c r="G3" s="27">
        <v>1</v>
      </c>
      <c r="H3" s="70">
        <f>G3/221</f>
        <v>4.5248868778280547E-3</v>
      </c>
    </row>
    <row r="4" spans="2:12" ht="29.4" customHeight="1" thickTop="1" thickBot="1" x14ac:dyDescent="0.35">
      <c r="B4" s="120" t="s">
        <v>192</v>
      </c>
      <c r="C4" s="120">
        <v>221</v>
      </c>
      <c r="D4" s="133"/>
      <c r="E4" s="26"/>
      <c r="F4" s="27"/>
      <c r="G4" s="27">
        <f>SUM(G2:G3)</f>
        <v>188</v>
      </c>
      <c r="H4" s="70">
        <f>G4/221</f>
        <v>0.85067873303167418</v>
      </c>
    </row>
    <row r="5" spans="2:12" ht="60" customHeight="1" thickTop="1" thickBot="1" x14ac:dyDescent="0.35">
      <c r="B5" s="153" t="s">
        <v>88</v>
      </c>
      <c r="C5" s="153">
        <v>301</v>
      </c>
      <c r="D5" s="167" t="s">
        <v>86</v>
      </c>
      <c r="E5" s="29" t="s">
        <v>5</v>
      </c>
      <c r="F5" s="30" t="s">
        <v>159</v>
      </c>
      <c r="G5" s="30">
        <v>1</v>
      </c>
      <c r="H5" s="71">
        <f>G5/301</f>
        <v>3.3222591362126247E-3</v>
      </c>
    </row>
    <row r="6" spans="2:12" ht="60" customHeight="1" thickTop="1" thickBot="1" x14ac:dyDescent="0.35">
      <c r="B6" s="178"/>
      <c r="C6" s="178"/>
      <c r="D6" s="168"/>
      <c r="E6" s="29" t="s">
        <v>149</v>
      </c>
      <c r="F6" s="30" t="s">
        <v>160</v>
      </c>
      <c r="G6" s="30">
        <v>1</v>
      </c>
      <c r="H6" s="71">
        <f>G6/301</f>
        <v>3.3222591362126247E-3</v>
      </c>
    </row>
    <row r="7" spans="2:12" ht="60" customHeight="1" thickTop="1" thickBot="1" x14ac:dyDescent="0.35">
      <c r="B7" s="178"/>
      <c r="C7" s="178"/>
      <c r="D7" s="168"/>
      <c r="E7" s="29" t="s">
        <v>150</v>
      </c>
      <c r="F7" s="30" t="s">
        <v>161</v>
      </c>
      <c r="G7" s="30">
        <v>1</v>
      </c>
      <c r="H7" s="71">
        <f>G7/301</f>
        <v>3.3222591362126247E-3</v>
      </c>
    </row>
    <row r="8" spans="2:12" ht="39" customHeight="1" thickTop="1" thickBot="1" x14ac:dyDescent="0.35">
      <c r="B8" s="119" t="s">
        <v>192</v>
      </c>
      <c r="C8" s="119">
        <v>301</v>
      </c>
      <c r="D8" s="121"/>
      <c r="E8" s="29"/>
      <c r="F8" s="30"/>
      <c r="G8" s="30">
        <f>SUM(G5:G7)</f>
        <v>3</v>
      </c>
      <c r="H8" s="71">
        <f>G8/301</f>
        <v>9.9667774086378731E-3</v>
      </c>
    </row>
    <row r="9" spans="2:12" ht="60" customHeight="1" thickTop="1" thickBot="1" x14ac:dyDescent="0.35">
      <c r="B9" s="155" t="s">
        <v>89</v>
      </c>
      <c r="C9" s="155">
        <v>112</v>
      </c>
      <c r="D9" s="170" t="s">
        <v>60</v>
      </c>
      <c r="E9" s="32" t="s">
        <v>118</v>
      </c>
      <c r="F9" s="33" t="s">
        <v>162</v>
      </c>
      <c r="G9" s="33">
        <v>5</v>
      </c>
      <c r="H9" s="72">
        <f>G9/112</f>
        <v>4.4642857142857144E-2</v>
      </c>
      <c r="K9" s="23"/>
      <c r="L9" s="23"/>
    </row>
    <row r="10" spans="2:12" ht="60" customHeight="1" thickTop="1" thickBot="1" x14ac:dyDescent="0.35">
      <c r="B10" s="156"/>
      <c r="C10" s="156"/>
      <c r="D10" s="171"/>
      <c r="E10" s="42" t="s">
        <v>134</v>
      </c>
      <c r="F10" s="33" t="s">
        <v>163</v>
      </c>
      <c r="G10" s="33">
        <v>1</v>
      </c>
      <c r="H10" s="72">
        <f>G10/112</f>
        <v>8.9285714285714281E-3</v>
      </c>
    </row>
    <row r="11" spans="2:12" ht="34.200000000000003" customHeight="1" thickTop="1" thickBot="1" x14ac:dyDescent="0.35">
      <c r="B11" s="116" t="s">
        <v>192</v>
      </c>
      <c r="C11" s="116">
        <v>112</v>
      </c>
      <c r="D11" s="123"/>
      <c r="E11" s="42"/>
      <c r="F11" s="33"/>
      <c r="G11" s="33">
        <f>SUM(G9:G10)</f>
        <v>6</v>
      </c>
      <c r="H11" s="72">
        <f>G11/112</f>
        <v>5.3571428571428568E-2</v>
      </c>
    </row>
    <row r="12" spans="2:12" ht="127.8" customHeight="1" thickTop="1" thickBot="1" x14ac:dyDescent="0.35">
      <c r="B12" s="34" t="s">
        <v>90</v>
      </c>
      <c r="C12" s="34">
        <v>34</v>
      </c>
      <c r="D12" s="35" t="s">
        <v>61</v>
      </c>
      <c r="E12" s="36" t="s">
        <v>122</v>
      </c>
      <c r="F12" s="37" t="s">
        <v>164</v>
      </c>
      <c r="G12" s="37">
        <v>4</v>
      </c>
      <c r="H12" s="73">
        <f t="shared" ref="H12:H17" si="0">G12/C12</f>
        <v>0.11764705882352941</v>
      </c>
    </row>
    <row r="13" spans="2:12" ht="18" customHeight="1" thickTop="1" thickBot="1" x14ac:dyDescent="0.35">
      <c r="B13" s="134" t="s">
        <v>192</v>
      </c>
      <c r="C13" s="34">
        <v>34</v>
      </c>
      <c r="D13" s="35"/>
      <c r="E13" s="36"/>
      <c r="F13" s="37"/>
      <c r="G13" s="37">
        <v>4</v>
      </c>
      <c r="H13" s="73">
        <f t="shared" si="0"/>
        <v>0.11764705882352941</v>
      </c>
    </row>
    <row r="14" spans="2:12" ht="129.6" customHeight="1" thickTop="1" thickBot="1" x14ac:dyDescent="0.35">
      <c r="B14" s="28" t="s">
        <v>155</v>
      </c>
      <c r="C14" s="28">
        <v>58</v>
      </c>
      <c r="D14" s="38" t="s">
        <v>190</v>
      </c>
      <c r="E14" s="39" t="s">
        <v>17</v>
      </c>
      <c r="F14" s="40" t="s">
        <v>164</v>
      </c>
      <c r="G14" s="40">
        <v>3</v>
      </c>
      <c r="H14" s="74">
        <f t="shared" si="0"/>
        <v>5.1724137931034482E-2</v>
      </c>
    </row>
    <row r="15" spans="2:12" ht="26.4" customHeight="1" thickTop="1" thickBot="1" x14ac:dyDescent="0.35">
      <c r="B15" s="28" t="s">
        <v>192</v>
      </c>
      <c r="C15" s="28">
        <v>58</v>
      </c>
      <c r="D15" s="38"/>
      <c r="E15" s="39"/>
      <c r="F15" s="40"/>
      <c r="G15" s="40">
        <v>3</v>
      </c>
      <c r="H15" s="74">
        <f t="shared" si="0"/>
        <v>5.1724137931034482E-2</v>
      </c>
    </row>
    <row r="16" spans="2:12" ht="163.19999999999999" customHeight="1" thickTop="1" thickBot="1" x14ac:dyDescent="0.35">
      <c r="B16" s="31" t="s">
        <v>91</v>
      </c>
      <c r="C16" s="31">
        <v>33</v>
      </c>
      <c r="D16" s="41" t="s">
        <v>62</v>
      </c>
      <c r="E16" s="42" t="s">
        <v>141</v>
      </c>
      <c r="F16" s="43" t="s">
        <v>162</v>
      </c>
      <c r="G16" s="43">
        <v>1</v>
      </c>
      <c r="H16" s="75">
        <f t="shared" si="0"/>
        <v>3.0303030303030304E-2</v>
      </c>
    </row>
    <row r="17" spans="2:8" ht="27" customHeight="1" thickTop="1" thickBot="1" x14ac:dyDescent="0.35">
      <c r="B17" s="31" t="s">
        <v>192</v>
      </c>
      <c r="C17" s="31">
        <v>33</v>
      </c>
      <c r="D17" s="41"/>
      <c r="E17" s="42"/>
      <c r="F17" s="43"/>
      <c r="G17" s="43">
        <v>1</v>
      </c>
      <c r="H17" s="75">
        <f t="shared" si="0"/>
        <v>3.0303030303030304E-2</v>
      </c>
    </row>
    <row r="18" spans="2:8" ht="22.8" customHeight="1" thickTop="1" thickBot="1" x14ac:dyDescent="0.35">
      <c r="B18" s="44" t="s">
        <v>92</v>
      </c>
      <c r="C18" s="44">
        <v>18</v>
      </c>
      <c r="D18" s="45" t="s">
        <v>63</v>
      </c>
      <c r="E18" s="26">
        <v>0</v>
      </c>
      <c r="F18" s="27">
        <v>0</v>
      </c>
      <c r="G18" s="27">
        <v>0</v>
      </c>
      <c r="H18" s="70">
        <v>0</v>
      </c>
    </row>
    <row r="19" spans="2:8" ht="16.2" customHeight="1" thickTop="1" thickBot="1" x14ac:dyDescent="0.35">
      <c r="B19" s="67" t="s">
        <v>93</v>
      </c>
      <c r="C19" s="67">
        <v>37</v>
      </c>
      <c r="D19" s="67" t="s">
        <v>64</v>
      </c>
      <c r="E19" s="47">
        <v>0</v>
      </c>
      <c r="F19" s="48">
        <v>0</v>
      </c>
      <c r="G19" s="46">
        <v>0</v>
      </c>
      <c r="H19" s="76">
        <v>0</v>
      </c>
    </row>
    <row r="20" spans="2:8" ht="60" customHeight="1" thickTop="1" thickBot="1" x14ac:dyDescent="0.35">
      <c r="B20" s="153" t="s">
        <v>94</v>
      </c>
      <c r="C20" s="153">
        <v>78</v>
      </c>
      <c r="D20" s="167" t="s">
        <v>65</v>
      </c>
      <c r="E20" s="29" t="s">
        <v>14</v>
      </c>
      <c r="F20" s="30" t="s">
        <v>165</v>
      </c>
      <c r="G20" s="30">
        <v>20</v>
      </c>
      <c r="H20" s="71">
        <f>G20/78</f>
        <v>0.25641025641025639</v>
      </c>
    </row>
    <row r="21" spans="2:8" ht="60" customHeight="1" thickTop="1" thickBot="1" x14ac:dyDescent="0.35">
      <c r="B21" s="178"/>
      <c r="C21" s="178"/>
      <c r="D21" s="168"/>
      <c r="E21" s="39" t="s">
        <v>130</v>
      </c>
      <c r="F21" s="40" t="s">
        <v>166</v>
      </c>
      <c r="G21" s="40">
        <v>2</v>
      </c>
      <c r="H21" s="71">
        <f>G21/78</f>
        <v>2.564102564102564E-2</v>
      </c>
    </row>
    <row r="22" spans="2:8" ht="60" customHeight="1" thickTop="1" thickBot="1" x14ac:dyDescent="0.35">
      <c r="B22" s="178"/>
      <c r="C22" s="178"/>
      <c r="D22" s="168"/>
      <c r="E22" s="39" t="s">
        <v>133</v>
      </c>
      <c r="F22" s="40" t="s">
        <v>158</v>
      </c>
      <c r="G22" s="40">
        <v>1</v>
      </c>
      <c r="H22" s="71">
        <f>G22/78</f>
        <v>1.282051282051282E-2</v>
      </c>
    </row>
    <row r="23" spans="2:8" ht="60" customHeight="1" thickTop="1" thickBot="1" x14ac:dyDescent="0.35">
      <c r="B23" s="154"/>
      <c r="C23" s="154"/>
      <c r="D23" s="169"/>
      <c r="E23" s="39" t="s">
        <v>140</v>
      </c>
      <c r="F23" s="40" t="s">
        <v>167</v>
      </c>
      <c r="G23" s="40">
        <v>1</v>
      </c>
      <c r="H23" s="71">
        <f>G23/78</f>
        <v>1.282051282051282E-2</v>
      </c>
    </row>
    <row r="24" spans="2:8" ht="34.200000000000003" customHeight="1" thickTop="1" thickBot="1" x14ac:dyDescent="0.35">
      <c r="B24" s="119" t="s">
        <v>192</v>
      </c>
      <c r="C24" s="119">
        <v>78</v>
      </c>
      <c r="D24" s="121"/>
      <c r="E24" s="39"/>
      <c r="F24" s="40"/>
      <c r="G24" s="40">
        <f>SUM(G20:G23)</f>
        <v>24</v>
      </c>
      <c r="H24" s="71">
        <f>G24/78</f>
        <v>0.30769230769230771</v>
      </c>
    </row>
    <row r="25" spans="2:8" ht="60" customHeight="1" thickTop="1" thickBot="1" x14ac:dyDescent="0.35">
      <c r="B25" s="155" t="s">
        <v>95</v>
      </c>
      <c r="C25" s="155">
        <v>74</v>
      </c>
      <c r="D25" s="170" t="s">
        <v>66</v>
      </c>
      <c r="E25" s="42" t="s">
        <v>22</v>
      </c>
      <c r="F25" s="43" t="s">
        <v>172</v>
      </c>
      <c r="G25" s="43">
        <v>15</v>
      </c>
      <c r="H25" s="72">
        <f t="shared" ref="H25:H31" si="1">G25/74</f>
        <v>0.20270270270270271</v>
      </c>
    </row>
    <row r="26" spans="2:8" ht="60" customHeight="1" thickTop="1" thickBot="1" x14ac:dyDescent="0.35">
      <c r="B26" s="180"/>
      <c r="C26" s="180"/>
      <c r="D26" s="179"/>
      <c r="E26" s="42" t="s">
        <v>25</v>
      </c>
      <c r="F26" s="43" t="s">
        <v>171</v>
      </c>
      <c r="G26" s="43">
        <v>13</v>
      </c>
      <c r="H26" s="72">
        <f t="shared" si="1"/>
        <v>0.17567567567567569</v>
      </c>
    </row>
    <row r="27" spans="2:8" ht="60" customHeight="1" thickTop="1" thickBot="1" x14ac:dyDescent="0.35">
      <c r="B27" s="180"/>
      <c r="C27" s="180"/>
      <c r="D27" s="179"/>
      <c r="E27" s="42" t="s">
        <v>127</v>
      </c>
      <c r="F27" s="43" t="s">
        <v>170</v>
      </c>
      <c r="G27" s="43">
        <v>9</v>
      </c>
      <c r="H27" s="72">
        <f t="shared" si="1"/>
        <v>0.12162162162162163</v>
      </c>
    </row>
    <row r="28" spans="2:8" ht="60" customHeight="1" thickTop="1" thickBot="1" x14ac:dyDescent="0.35">
      <c r="B28" s="180"/>
      <c r="C28" s="180"/>
      <c r="D28" s="179"/>
      <c r="E28" s="42" t="s">
        <v>32</v>
      </c>
      <c r="F28" s="43" t="s">
        <v>163</v>
      </c>
      <c r="G28" s="43">
        <v>5</v>
      </c>
      <c r="H28" s="72">
        <f t="shared" si="1"/>
        <v>6.7567567567567571E-2</v>
      </c>
    </row>
    <row r="29" spans="2:8" ht="60" customHeight="1" thickTop="1" thickBot="1" x14ac:dyDescent="0.35">
      <c r="B29" s="180"/>
      <c r="C29" s="180"/>
      <c r="D29" s="179"/>
      <c r="E29" s="32" t="s">
        <v>135</v>
      </c>
      <c r="F29" s="33" t="s">
        <v>168</v>
      </c>
      <c r="G29" s="33">
        <v>2</v>
      </c>
      <c r="H29" s="72">
        <f t="shared" si="1"/>
        <v>2.7027027027027029E-2</v>
      </c>
    </row>
    <row r="30" spans="2:8" ht="60" customHeight="1" thickTop="1" thickBot="1" x14ac:dyDescent="0.35">
      <c r="B30" s="156"/>
      <c r="C30" s="156"/>
      <c r="D30" s="171"/>
      <c r="E30" s="42" t="s">
        <v>31</v>
      </c>
      <c r="F30" s="43" t="s">
        <v>169</v>
      </c>
      <c r="G30" s="43">
        <v>1</v>
      </c>
      <c r="H30" s="72">
        <f t="shared" si="1"/>
        <v>1.3513513513513514E-2</v>
      </c>
    </row>
    <row r="31" spans="2:8" ht="28.8" customHeight="1" thickTop="1" thickBot="1" x14ac:dyDescent="0.35">
      <c r="B31" s="130" t="s">
        <v>192</v>
      </c>
      <c r="C31" s="130">
        <v>74</v>
      </c>
      <c r="D31" s="129"/>
      <c r="E31" s="42"/>
      <c r="F31" s="43"/>
      <c r="G31" s="43">
        <f>SUM(G25:G30)</f>
        <v>45</v>
      </c>
      <c r="H31" s="72">
        <f t="shared" si="1"/>
        <v>0.60810810810810811</v>
      </c>
    </row>
    <row r="32" spans="2:8" ht="60" customHeight="1" thickTop="1" thickBot="1" x14ac:dyDescent="0.35">
      <c r="B32" s="184" t="s">
        <v>96</v>
      </c>
      <c r="C32" s="184">
        <v>57</v>
      </c>
      <c r="D32" s="182" t="s">
        <v>67</v>
      </c>
      <c r="E32" s="26" t="s">
        <v>6</v>
      </c>
      <c r="F32" s="27" t="s">
        <v>173</v>
      </c>
      <c r="G32" s="27">
        <v>23</v>
      </c>
      <c r="H32" s="70">
        <f>G32/57</f>
        <v>0.40350877192982454</v>
      </c>
    </row>
    <row r="33" spans="2:8" ht="60" customHeight="1" thickTop="1" thickBot="1" x14ac:dyDescent="0.35">
      <c r="B33" s="185"/>
      <c r="C33" s="185"/>
      <c r="D33" s="183"/>
      <c r="E33" s="26" t="s">
        <v>7</v>
      </c>
      <c r="F33" s="27" t="s">
        <v>169</v>
      </c>
      <c r="G33" s="27">
        <v>5</v>
      </c>
      <c r="H33" s="70">
        <f>G33/57</f>
        <v>8.771929824561403E-2</v>
      </c>
    </row>
    <row r="34" spans="2:8" ht="30" customHeight="1" thickTop="1" thickBot="1" x14ac:dyDescent="0.35">
      <c r="B34" s="118" t="s">
        <v>192</v>
      </c>
      <c r="C34" s="118">
        <v>57</v>
      </c>
      <c r="D34" s="132"/>
      <c r="E34" s="26"/>
      <c r="F34" s="27"/>
      <c r="G34" s="27">
        <f>SUM(G32:G33)</f>
        <v>28</v>
      </c>
      <c r="H34" s="70">
        <f>G34/57</f>
        <v>0.49122807017543857</v>
      </c>
    </row>
    <row r="35" spans="2:8" ht="102" customHeight="1" thickTop="1" thickBot="1" x14ac:dyDescent="0.35">
      <c r="B35" s="49" t="s">
        <v>97</v>
      </c>
      <c r="C35" s="49">
        <v>53</v>
      </c>
      <c r="D35" s="51" t="s">
        <v>68</v>
      </c>
      <c r="E35" s="52" t="s">
        <v>18</v>
      </c>
      <c r="F35" s="50" t="s">
        <v>164</v>
      </c>
      <c r="G35" s="50">
        <v>1</v>
      </c>
      <c r="H35" s="77">
        <f>G35/C35</f>
        <v>1.8867924528301886E-2</v>
      </c>
    </row>
    <row r="36" spans="2:8" ht="22.8" customHeight="1" thickTop="1" thickBot="1" x14ac:dyDescent="0.35">
      <c r="B36" s="131" t="s">
        <v>192</v>
      </c>
      <c r="C36" s="111">
        <v>53</v>
      </c>
      <c r="D36" s="126"/>
      <c r="E36" s="52"/>
      <c r="F36" s="50"/>
      <c r="G36" s="50">
        <v>1</v>
      </c>
      <c r="H36" s="77">
        <f>G36/C36</f>
        <v>1.8867924528301886E-2</v>
      </c>
    </row>
    <row r="37" spans="2:8" ht="73.2" customHeight="1" thickTop="1" thickBot="1" x14ac:dyDescent="0.35">
      <c r="B37" s="153" t="s">
        <v>98</v>
      </c>
      <c r="C37" s="153">
        <v>43</v>
      </c>
      <c r="D37" s="167" t="s">
        <v>69</v>
      </c>
      <c r="E37" s="29" t="s">
        <v>120</v>
      </c>
      <c r="F37" s="30" t="s">
        <v>174</v>
      </c>
      <c r="G37" s="30">
        <v>7</v>
      </c>
      <c r="H37" s="71">
        <f>G37/43</f>
        <v>0.16279069767441862</v>
      </c>
    </row>
    <row r="38" spans="2:8" ht="68.400000000000006" customHeight="1" thickTop="1" thickBot="1" x14ac:dyDescent="0.35">
      <c r="B38" s="154"/>
      <c r="C38" s="154"/>
      <c r="D38" s="169"/>
      <c r="E38" s="29" t="s">
        <v>13</v>
      </c>
      <c r="F38" s="30" t="s">
        <v>175</v>
      </c>
      <c r="G38" s="30">
        <v>5</v>
      </c>
      <c r="H38" s="71">
        <f>G38/43</f>
        <v>0.11627906976744186</v>
      </c>
    </row>
    <row r="39" spans="2:8" ht="33.6" customHeight="1" thickTop="1" thickBot="1" x14ac:dyDescent="0.35">
      <c r="B39" s="119" t="s">
        <v>192</v>
      </c>
      <c r="C39" s="119">
        <v>43</v>
      </c>
      <c r="D39" s="121"/>
      <c r="E39" s="29"/>
      <c r="F39" s="30"/>
      <c r="G39" s="30">
        <f>SUM(G37:G38)</f>
        <v>12</v>
      </c>
      <c r="H39" s="71">
        <f>G39/43</f>
        <v>0.27906976744186046</v>
      </c>
    </row>
    <row r="40" spans="2:8" ht="60" customHeight="1" thickTop="1" thickBot="1" x14ac:dyDescent="0.35">
      <c r="B40" s="157" t="s">
        <v>99</v>
      </c>
      <c r="C40" s="177">
        <v>40</v>
      </c>
      <c r="D40" s="172" t="s">
        <v>70</v>
      </c>
      <c r="E40" s="53" t="s">
        <v>3</v>
      </c>
      <c r="F40" s="54" t="s">
        <v>158</v>
      </c>
      <c r="G40" s="54">
        <v>5</v>
      </c>
      <c r="H40" s="78">
        <f>G40/40</f>
        <v>0.125</v>
      </c>
    </row>
    <row r="41" spans="2:8" ht="60" customHeight="1" thickTop="1" thickBot="1" x14ac:dyDescent="0.35">
      <c r="B41" s="158"/>
      <c r="C41" s="158"/>
      <c r="D41" s="173"/>
      <c r="E41" s="53" t="s">
        <v>11</v>
      </c>
      <c r="F41" s="54" t="s">
        <v>176</v>
      </c>
      <c r="G41" s="54">
        <v>2</v>
      </c>
      <c r="H41" s="78">
        <f t="shared" ref="H41" si="2">G41/40</f>
        <v>0.05</v>
      </c>
    </row>
    <row r="42" spans="2:8" ht="60" customHeight="1" thickTop="1" thickBot="1" x14ac:dyDescent="0.35">
      <c r="B42" s="159"/>
      <c r="C42" s="159"/>
      <c r="D42" s="174"/>
      <c r="E42" s="55" t="s">
        <v>12</v>
      </c>
      <c r="F42" s="54" t="s">
        <v>174</v>
      </c>
      <c r="G42" s="54">
        <v>1</v>
      </c>
      <c r="H42" s="78">
        <f>G42/40</f>
        <v>2.5000000000000001E-2</v>
      </c>
    </row>
    <row r="43" spans="2:8" ht="63" customHeight="1" thickTop="1" thickBot="1" x14ac:dyDescent="0.35">
      <c r="B43" s="135" t="s">
        <v>192</v>
      </c>
      <c r="C43" s="117">
        <v>40</v>
      </c>
      <c r="D43" s="124"/>
      <c r="E43" s="55"/>
      <c r="F43" s="54"/>
      <c r="G43" s="54">
        <f>SUM(G40:G42)</f>
        <v>8</v>
      </c>
      <c r="H43" s="78">
        <f>G43/40</f>
        <v>0.2</v>
      </c>
    </row>
    <row r="44" spans="2:8" ht="102.6" customHeight="1" thickTop="1" thickBot="1" x14ac:dyDescent="0.35">
      <c r="B44" s="160" t="s">
        <v>100</v>
      </c>
      <c r="C44" s="151">
        <v>107</v>
      </c>
      <c r="D44" s="175" t="s">
        <v>71</v>
      </c>
      <c r="E44" s="56" t="s">
        <v>2</v>
      </c>
      <c r="F44" s="57" t="s">
        <v>158</v>
      </c>
      <c r="G44" s="57">
        <v>46</v>
      </c>
      <c r="H44" s="79">
        <f>G44/107</f>
        <v>0.42990654205607476</v>
      </c>
    </row>
    <row r="45" spans="2:8" ht="101.4" customHeight="1" thickTop="1" thickBot="1" x14ac:dyDescent="0.35">
      <c r="B45" s="152"/>
      <c r="C45" s="152"/>
      <c r="D45" s="176"/>
      <c r="E45" s="56" t="s">
        <v>34</v>
      </c>
      <c r="F45" s="57" t="s">
        <v>177</v>
      </c>
      <c r="G45" s="57">
        <v>2</v>
      </c>
      <c r="H45" s="79">
        <f>G45/107</f>
        <v>1.8691588785046728E-2</v>
      </c>
    </row>
    <row r="46" spans="2:8" ht="31.2" customHeight="1" thickTop="1" thickBot="1" x14ac:dyDescent="0.35">
      <c r="B46" s="138" t="s">
        <v>192</v>
      </c>
      <c r="C46" s="136">
        <v>107</v>
      </c>
      <c r="D46" s="137"/>
      <c r="E46" s="56"/>
      <c r="F46" s="57"/>
      <c r="G46" s="57">
        <f>SUM(G44:G45)</f>
        <v>48</v>
      </c>
      <c r="H46" s="79">
        <f>G46/107</f>
        <v>0.44859813084112149</v>
      </c>
    </row>
    <row r="47" spans="2:8" ht="79.2" customHeight="1" thickTop="1" thickBot="1" x14ac:dyDescent="0.35">
      <c r="B47" s="155" t="s">
        <v>101</v>
      </c>
      <c r="C47" s="155">
        <v>83</v>
      </c>
      <c r="D47" s="170" t="s">
        <v>72</v>
      </c>
      <c r="E47" s="42" t="s">
        <v>26</v>
      </c>
      <c r="F47" s="43" t="s">
        <v>166</v>
      </c>
      <c r="G47" s="43">
        <v>23</v>
      </c>
      <c r="H47" s="75">
        <f>G47/83</f>
        <v>0.27710843373493976</v>
      </c>
    </row>
    <row r="48" spans="2:8" ht="93.6" customHeight="1" thickTop="1" thickBot="1" x14ac:dyDescent="0.35">
      <c r="B48" s="156"/>
      <c r="C48" s="156"/>
      <c r="D48" s="171"/>
      <c r="E48" s="42" t="s">
        <v>28</v>
      </c>
      <c r="F48" s="43" t="s">
        <v>174</v>
      </c>
      <c r="G48" s="43">
        <v>21</v>
      </c>
      <c r="H48" s="75">
        <f>G48/83</f>
        <v>0.25301204819277107</v>
      </c>
    </row>
    <row r="49" spans="2:8" ht="27.6" customHeight="1" thickTop="1" thickBot="1" x14ac:dyDescent="0.35">
      <c r="B49" s="130" t="s">
        <v>192</v>
      </c>
      <c r="C49" s="130">
        <v>83</v>
      </c>
      <c r="D49" s="129"/>
      <c r="E49" s="42"/>
      <c r="F49" s="43"/>
      <c r="G49" s="43">
        <f>SUM(G47:G48)</f>
        <v>44</v>
      </c>
      <c r="H49" s="75">
        <f>G49/83</f>
        <v>0.53012048192771088</v>
      </c>
    </row>
    <row r="50" spans="2:8" ht="60" customHeight="1" thickTop="1" thickBot="1" x14ac:dyDescent="0.35">
      <c r="B50" s="148" t="s">
        <v>102</v>
      </c>
      <c r="C50" s="148">
        <v>80</v>
      </c>
      <c r="D50" s="145" t="s">
        <v>73</v>
      </c>
      <c r="E50" s="58" t="s">
        <v>27</v>
      </c>
      <c r="F50" s="59" t="s">
        <v>166</v>
      </c>
      <c r="G50" s="59">
        <v>14</v>
      </c>
      <c r="H50" s="80">
        <f>G50/80</f>
        <v>0.17499999999999999</v>
      </c>
    </row>
    <row r="51" spans="2:8" ht="60" customHeight="1" thickTop="1" thickBot="1" x14ac:dyDescent="0.35">
      <c r="B51" s="149"/>
      <c r="C51" s="149"/>
      <c r="D51" s="146"/>
      <c r="E51" s="58" t="s">
        <v>29</v>
      </c>
      <c r="F51" s="59" t="s">
        <v>175</v>
      </c>
      <c r="G51" s="59">
        <v>14</v>
      </c>
      <c r="H51" s="80">
        <f t="shared" ref="H51:H54" si="3">G51/80</f>
        <v>0.17499999999999999</v>
      </c>
    </row>
    <row r="52" spans="2:8" ht="60" customHeight="1" thickTop="1" thickBot="1" x14ac:dyDescent="0.35">
      <c r="B52" s="149"/>
      <c r="C52" s="149"/>
      <c r="D52" s="146"/>
      <c r="E52" s="60" t="s">
        <v>139</v>
      </c>
      <c r="F52" s="59" t="s">
        <v>178</v>
      </c>
      <c r="G52" s="59">
        <v>1</v>
      </c>
      <c r="H52" s="80">
        <f t="shared" si="3"/>
        <v>1.2500000000000001E-2</v>
      </c>
    </row>
    <row r="53" spans="2:8" ht="60" customHeight="1" thickTop="1" thickBot="1" x14ac:dyDescent="0.35">
      <c r="B53" s="150"/>
      <c r="C53" s="150"/>
      <c r="D53" s="147"/>
      <c r="E53" s="60" t="s">
        <v>151</v>
      </c>
      <c r="F53" s="59" t="s">
        <v>160</v>
      </c>
      <c r="G53" s="59">
        <v>1</v>
      </c>
      <c r="H53" s="80">
        <f t="shared" si="3"/>
        <v>1.2500000000000001E-2</v>
      </c>
    </row>
    <row r="54" spans="2:8" ht="30" customHeight="1" thickTop="1" thickBot="1" x14ac:dyDescent="0.35">
      <c r="B54" s="139" t="s">
        <v>192</v>
      </c>
      <c r="C54" s="114">
        <v>80</v>
      </c>
      <c r="D54" s="113"/>
      <c r="E54" s="60"/>
      <c r="F54" s="59"/>
      <c r="G54" s="59">
        <f>SUM(G50:G53)</f>
        <v>30</v>
      </c>
      <c r="H54" s="80">
        <f t="shared" si="3"/>
        <v>0.375</v>
      </c>
    </row>
    <row r="55" spans="2:8" ht="60" customHeight="1" thickTop="1" thickBot="1" x14ac:dyDescent="0.35">
      <c r="B55" s="153" t="s">
        <v>103</v>
      </c>
      <c r="C55" s="153">
        <v>210</v>
      </c>
      <c r="D55" s="167" t="s">
        <v>74</v>
      </c>
      <c r="E55" s="29" t="s">
        <v>148</v>
      </c>
      <c r="F55" s="30" t="s">
        <v>161</v>
      </c>
      <c r="G55" s="30">
        <v>10</v>
      </c>
      <c r="H55" s="71">
        <f>G55/210</f>
        <v>4.7619047619047616E-2</v>
      </c>
    </row>
    <row r="56" spans="2:8" ht="102" customHeight="1" thickTop="1" thickBot="1" x14ac:dyDescent="0.35">
      <c r="B56" s="154"/>
      <c r="C56" s="154"/>
      <c r="D56" s="169"/>
      <c r="E56" s="29" t="s">
        <v>152</v>
      </c>
      <c r="F56" s="30" t="s">
        <v>160</v>
      </c>
      <c r="G56" s="30">
        <v>2</v>
      </c>
      <c r="H56" s="71">
        <f>G56/210</f>
        <v>9.5238095238095247E-3</v>
      </c>
    </row>
    <row r="57" spans="2:8" ht="22.8" customHeight="1" thickTop="1" thickBot="1" x14ac:dyDescent="0.35">
      <c r="B57" s="115" t="s">
        <v>192</v>
      </c>
      <c r="C57" s="115">
        <v>210</v>
      </c>
      <c r="D57" s="122"/>
      <c r="E57" s="29"/>
      <c r="F57" s="30"/>
      <c r="G57" s="30">
        <f>SUM(G55:G56)</f>
        <v>12</v>
      </c>
      <c r="H57" s="71">
        <f>G57/210</f>
        <v>5.7142857142857141E-2</v>
      </c>
    </row>
    <row r="58" spans="2:8" ht="20.399999999999999" customHeight="1" thickTop="1" thickBot="1" x14ac:dyDescent="0.35">
      <c r="B58" s="44" t="s">
        <v>104</v>
      </c>
      <c r="C58" s="44">
        <v>125</v>
      </c>
      <c r="D58" s="45" t="s">
        <v>75</v>
      </c>
      <c r="E58" s="26">
        <v>0</v>
      </c>
      <c r="F58" s="27">
        <v>0</v>
      </c>
      <c r="G58" s="27">
        <v>0</v>
      </c>
      <c r="H58" s="70">
        <v>0</v>
      </c>
    </row>
    <row r="59" spans="2:8" ht="60" customHeight="1" thickTop="1" thickBot="1" x14ac:dyDescent="0.35">
      <c r="B59" s="142" t="s">
        <v>105</v>
      </c>
      <c r="C59" s="161">
        <v>159</v>
      </c>
      <c r="D59" s="164" t="s">
        <v>76</v>
      </c>
      <c r="E59" s="62" t="s">
        <v>129</v>
      </c>
      <c r="F59" s="63" t="s">
        <v>180</v>
      </c>
      <c r="G59" s="63">
        <v>4</v>
      </c>
      <c r="H59" s="77">
        <f>G59/159</f>
        <v>2.5157232704402517E-2</v>
      </c>
    </row>
    <row r="60" spans="2:8" ht="60" customHeight="1" thickTop="1" thickBot="1" x14ac:dyDescent="0.35">
      <c r="B60" s="143"/>
      <c r="C60" s="162"/>
      <c r="D60" s="165"/>
      <c r="E60" s="62" t="s">
        <v>131</v>
      </c>
      <c r="F60" s="63" t="s">
        <v>169</v>
      </c>
      <c r="G60" s="63">
        <v>2</v>
      </c>
      <c r="H60" s="77">
        <f>G60/159</f>
        <v>1.2578616352201259E-2</v>
      </c>
    </row>
    <row r="61" spans="2:8" ht="60" customHeight="1" thickTop="1" thickBot="1" x14ac:dyDescent="0.35">
      <c r="B61" s="143"/>
      <c r="C61" s="162"/>
      <c r="D61" s="165"/>
      <c r="E61" s="64" t="s">
        <v>136</v>
      </c>
      <c r="F61" s="63" t="s">
        <v>164</v>
      </c>
      <c r="G61" s="63">
        <v>2</v>
      </c>
      <c r="H61" s="77">
        <f t="shared" ref="H61:H63" si="4">G61/159</f>
        <v>1.2578616352201259E-2</v>
      </c>
    </row>
    <row r="62" spans="2:8" ht="60" customHeight="1" thickTop="1" thickBot="1" x14ac:dyDescent="0.35">
      <c r="B62" s="143"/>
      <c r="C62" s="162"/>
      <c r="D62" s="165"/>
      <c r="E62" s="52" t="s">
        <v>39</v>
      </c>
      <c r="F62" s="50" t="s">
        <v>156</v>
      </c>
      <c r="G62" s="50">
        <v>2</v>
      </c>
      <c r="H62" s="77">
        <f t="shared" si="4"/>
        <v>1.2578616352201259E-2</v>
      </c>
    </row>
    <row r="63" spans="2:8" ht="60" customHeight="1" thickTop="1" thickBot="1" x14ac:dyDescent="0.35">
      <c r="B63" s="143"/>
      <c r="C63" s="162"/>
      <c r="D63" s="165"/>
      <c r="E63" s="61" t="s">
        <v>124</v>
      </c>
      <c r="F63" s="50" t="s">
        <v>179</v>
      </c>
      <c r="G63" s="50">
        <v>1</v>
      </c>
      <c r="H63" s="77">
        <f t="shared" si="4"/>
        <v>6.2893081761006293E-3</v>
      </c>
    </row>
    <row r="64" spans="2:8" ht="60" customHeight="1" thickTop="1" thickBot="1" x14ac:dyDescent="0.35">
      <c r="B64" s="144"/>
      <c r="C64" s="163"/>
      <c r="D64" s="166"/>
      <c r="E64" s="62" t="s">
        <v>132</v>
      </c>
      <c r="F64" s="63" t="s">
        <v>178</v>
      </c>
      <c r="G64" s="63">
        <v>1</v>
      </c>
      <c r="H64" s="77">
        <f>G64/159</f>
        <v>6.2893081761006293E-3</v>
      </c>
    </row>
    <row r="65" spans="2:8" ht="20.399999999999999" customHeight="1" thickTop="1" thickBot="1" x14ac:dyDescent="0.35">
      <c r="B65" s="140" t="s">
        <v>192</v>
      </c>
      <c r="C65" s="125">
        <v>159</v>
      </c>
      <c r="D65" s="127"/>
      <c r="E65" s="62"/>
      <c r="F65" s="63"/>
      <c r="G65" s="63">
        <f>SUM(G59:G64)</f>
        <v>12</v>
      </c>
      <c r="H65" s="77">
        <f>G65/159</f>
        <v>7.5471698113207544E-2</v>
      </c>
    </row>
    <row r="66" spans="2:8" ht="19.8" customHeight="1" thickTop="1" thickBot="1" x14ac:dyDescent="0.35">
      <c r="B66" s="68" t="s">
        <v>106</v>
      </c>
      <c r="C66" s="68">
        <v>216</v>
      </c>
      <c r="D66" s="92" t="s">
        <v>77</v>
      </c>
      <c r="E66" s="42">
        <v>0</v>
      </c>
      <c r="F66" s="43">
        <v>0</v>
      </c>
      <c r="G66" s="43">
        <v>0</v>
      </c>
      <c r="H66" s="75">
        <v>0</v>
      </c>
    </row>
    <row r="67" spans="2:8" ht="60" customHeight="1" thickTop="1" thickBot="1" x14ac:dyDescent="0.35">
      <c r="B67" s="184" t="s">
        <v>107</v>
      </c>
      <c r="C67" s="184">
        <v>166</v>
      </c>
      <c r="D67" s="182" t="s">
        <v>78</v>
      </c>
      <c r="E67" s="26" t="s">
        <v>35</v>
      </c>
      <c r="F67" s="27" t="s">
        <v>182</v>
      </c>
      <c r="G67" s="27">
        <v>18</v>
      </c>
      <c r="H67" s="70">
        <f>G67/166</f>
        <v>0.10843373493975904</v>
      </c>
    </row>
    <row r="68" spans="2:8" ht="60" customHeight="1" thickTop="1" thickBot="1" x14ac:dyDescent="0.35">
      <c r="B68" s="185"/>
      <c r="C68" s="185"/>
      <c r="D68" s="183"/>
      <c r="E68" s="26" t="s">
        <v>36</v>
      </c>
      <c r="F68" s="27" t="s">
        <v>181</v>
      </c>
      <c r="G68" s="27">
        <v>6</v>
      </c>
      <c r="H68" s="70">
        <f>G68/166</f>
        <v>3.614457831325301E-2</v>
      </c>
    </row>
    <row r="69" spans="2:8" ht="30.6" customHeight="1" thickTop="1" thickBot="1" x14ac:dyDescent="0.35">
      <c r="B69" s="120" t="s">
        <v>192</v>
      </c>
      <c r="C69" s="120">
        <v>166</v>
      </c>
      <c r="D69" s="133"/>
      <c r="E69" s="26"/>
      <c r="F69" s="27"/>
      <c r="G69" s="27">
        <f>SUM(G67:G68)</f>
        <v>24</v>
      </c>
      <c r="H69" s="70">
        <f>G69/166</f>
        <v>0.14457831325301204</v>
      </c>
    </row>
    <row r="70" spans="2:8" ht="60" customHeight="1" thickTop="1" thickBot="1" x14ac:dyDescent="0.35">
      <c r="B70" s="153" t="s">
        <v>108</v>
      </c>
      <c r="C70" s="153">
        <v>57</v>
      </c>
      <c r="D70" s="167" t="s">
        <v>79</v>
      </c>
      <c r="E70" s="29" t="s">
        <v>21</v>
      </c>
      <c r="F70" s="30" t="s">
        <v>183</v>
      </c>
      <c r="G70" s="30">
        <v>2</v>
      </c>
      <c r="H70" s="71">
        <f>G70/57</f>
        <v>3.5087719298245612E-2</v>
      </c>
    </row>
    <row r="71" spans="2:8" ht="60" customHeight="1" thickTop="1" thickBot="1" x14ac:dyDescent="0.35">
      <c r="B71" s="178"/>
      <c r="C71" s="178"/>
      <c r="D71" s="168"/>
      <c r="E71" s="29" t="s">
        <v>119</v>
      </c>
      <c r="F71" s="30" t="s">
        <v>178</v>
      </c>
      <c r="G71" s="30">
        <v>1</v>
      </c>
      <c r="H71" s="71">
        <f>G71/57</f>
        <v>1.7543859649122806E-2</v>
      </c>
    </row>
    <row r="72" spans="2:8" ht="60" customHeight="1" thickTop="1" thickBot="1" x14ac:dyDescent="0.35">
      <c r="B72" s="154"/>
      <c r="C72" s="154"/>
      <c r="D72" s="169"/>
      <c r="E72" s="29" t="s">
        <v>16</v>
      </c>
      <c r="F72" s="30" t="s">
        <v>184</v>
      </c>
      <c r="G72" s="30">
        <v>1</v>
      </c>
      <c r="H72" s="71">
        <f>G72/57</f>
        <v>1.7543859649122806E-2</v>
      </c>
    </row>
    <row r="73" spans="2:8" ht="24.6" customHeight="1" thickTop="1" thickBot="1" x14ac:dyDescent="0.35">
      <c r="B73" s="119" t="s">
        <v>192</v>
      </c>
      <c r="C73" s="119">
        <v>57</v>
      </c>
      <c r="D73" s="121"/>
      <c r="E73" s="29"/>
      <c r="F73" s="30"/>
      <c r="G73" s="30">
        <f>SUM(G70:G72)</f>
        <v>4</v>
      </c>
      <c r="H73" s="71">
        <f>G73/57</f>
        <v>7.0175438596491224E-2</v>
      </c>
    </row>
    <row r="74" spans="2:8" ht="60" customHeight="1" thickTop="1" thickBot="1" x14ac:dyDescent="0.35">
      <c r="B74" s="184" t="s">
        <v>109</v>
      </c>
      <c r="C74" s="184">
        <v>149</v>
      </c>
      <c r="D74" s="182" t="s">
        <v>80</v>
      </c>
      <c r="E74" s="26" t="s">
        <v>15</v>
      </c>
      <c r="F74" s="27" t="s">
        <v>183</v>
      </c>
      <c r="G74" s="27">
        <v>46</v>
      </c>
      <c r="H74" s="93">
        <f t="shared" ref="H74:H79" si="5">G74/149</f>
        <v>0.3087248322147651</v>
      </c>
    </row>
    <row r="75" spans="2:8" ht="60" customHeight="1" thickTop="1" thickBot="1" x14ac:dyDescent="0.35">
      <c r="B75" s="187"/>
      <c r="C75" s="187"/>
      <c r="D75" s="186"/>
      <c r="E75" s="26" t="s">
        <v>137</v>
      </c>
      <c r="F75" s="27" t="s">
        <v>179</v>
      </c>
      <c r="G75" s="27">
        <v>3</v>
      </c>
      <c r="H75" s="93">
        <f t="shared" si="5"/>
        <v>2.0134228187919462E-2</v>
      </c>
    </row>
    <row r="76" spans="2:8" ht="60" customHeight="1" thickTop="1" thickBot="1" x14ac:dyDescent="0.35">
      <c r="B76" s="187"/>
      <c r="C76" s="187"/>
      <c r="D76" s="186"/>
      <c r="E76" s="26" t="s">
        <v>19</v>
      </c>
      <c r="F76" s="94" t="s">
        <v>185</v>
      </c>
      <c r="G76" s="94">
        <v>2</v>
      </c>
      <c r="H76" s="93">
        <f t="shared" si="5"/>
        <v>1.3422818791946308E-2</v>
      </c>
    </row>
    <row r="77" spans="2:8" ht="60" customHeight="1" thickTop="1" thickBot="1" x14ac:dyDescent="0.35">
      <c r="B77" s="187"/>
      <c r="C77" s="187"/>
      <c r="D77" s="186"/>
      <c r="E77" s="26" t="s">
        <v>117</v>
      </c>
      <c r="F77" s="27" t="s">
        <v>186</v>
      </c>
      <c r="G77" s="27">
        <v>1</v>
      </c>
      <c r="H77" s="93">
        <f t="shared" si="5"/>
        <v>6.7114093959731542E-3</v>
      </c>
    </row>
    <row r="78" spans="2:8" ht="60" customHeight="1" thickTop="1" thickBot="1" x14ac:dyDescent="0.35">
      <c r="B78" s="185"/>
      <c r="C78" s="185"/>
      <c r="D78" s="183"/>
      <c r="E78" s="26" t="s">
        <v>147</v>
      </c>
      <c r="F78" s="27" t="s">
        <v>181</v>
      </c>
      <c r="G78" s="27">
        <v>1</v>
      </c>
      <c r="H78" s="93">
        <f t="shared" si="5"/>
        <v>6.7114093959731542E-3</v>
      </c>
    </row>
    <row r="79" spans="2:8" ht="60" customHeight="1" thickTop="1" thickBot="1" x14ac:dyDescent="0.35">
      <c r="B79" s="120" t="s">
        <v>192</v>
      </c>
      <c r="C79" s="120">
        <v>149</v>
      </c>
      <c r="D79" s="133"/>
      <c r="E79" s="26"/>
      <c r="F79" s="27"/>
      <c r="G79" s="27">
        <f>SUM(G74:G78)</f>
        <v>53</v>
      </c>
      <c r="H79" s="93">
        <f t="shared" si="5"/>
        <v>0.35570469798657717</v>
      </c>
    </row>
    <row r="80" spans="2:8" ht="60" customHeight="1" thickTop="1" thickBot="1" x14ac:dyDescent="0.35">
      <c r="B80" s="155" t="s">
        <v>110</v>
      </c>
      <c r="C80" s="155">
        <v>137</v>
      </c>
      <c r="D80" s="170" t="s">
        <v>81</v>
      </c>
      <c r="E80" s="42" t="s">
        <v>33</v>
      </c>
      <c r="F80" s="43" t="s">
        <v>178</v>
      </c>
      <c r="G80" s="43">
        <v>19</v>
      </c>
      <c r="H80" s="75">
        <f>G80/137</f>
        <v>0.13868613138686131</v>
      </c>
    </row>
    <row r="81" spans="2:8" ht="60" customHeight="1" thickTop="1" thickBot="1" x14ac:dyDescent="0.35">
      <c r="B81" s="156"/>
      <c r="C81" s="156"/>
      <c r="D81" s="171"/>
      <c r="E81" s="42" t="s">
        <v>121</v>
      </c>
      <c r="F81" s="43" t="s">
        <v>187</v>
      </c>
      <c r="G81" s="43">
        <v>18</v>
      </c>
      <c r="H81" s="75">
        <f>G81/137</f>
        <v>0.13138686131386862</v>
      </c>
    </row>
    <row r="82" spans="2:8" ht="25.8" customHeight="1" thickTop="1" thickBot="1" x14ac:dyDescent="0.35">
      <c r="B82" s="130" t="s">
        <v>192</v>
      </c>
      <c r="C82" s="130">
        <v>137</v>
      </c>
      <c r="D82" s="129"/>
      <c r="E82" s="42"/>
      <c r="F82" s="43"/>
      <c r="G82" s="43">
        <f>SUM(G80:G81)</f>
        <v>37</v>
      </c>
      <c r="H82" s="75">
        <f>G82/137</f>
        <v>0.27007299270072993</v>
      </c>
    </row>
    <row r="83" spans="2:8" ht="60" customHeight="1" thickTop="1" thickBot="1" x14ac:dyDescent="0.35">
      <c r="B83" s="181" t="s">
        <v>111</v>
      </c>
      <c r="C83" s="142">
        <v>30</v>
      </c>
      <c r="D83" s="164" t="s">
        <v>82</v>
      </c>
      <c r="E83" s="61" t="s">
        <v>123</v>
      </c>
      <c r="F83" s="50" t="s">
        <v>185</v>
      </c>
      <c r="G83" s="50">
        <v>7</v>
      </c>
      <c r="H83" s="77">
        <f>G83/30</f>
        <v>0.23333333333333334</v>
      </c>
    </row>
    <row r="84" spans="2:8" ht="60" customHeight="1" thickTop="1" thickBot="1" x14ac:dyDescent="0.35">
      <c r="B84" s="143"/>
      <c r="C84" s="143"/>
      <c r="D84" s="165"/>
      <c r="E84" s="61" t="s">
        <v>23</v>
      </c>
      <c r="F84" s="50" t="s">
        <v>178</v>
      </c>
      <c r="G84" s="50">
        <v>3</v>
      </c>
      <c r="H84" s="77">
        <f>G84/30</f>
        <v>0.1</v>
      </c>
    </row>
    <row r="85" spans="2:8" ht="60" customHeight="1" thickTop="1" thickBot="1" x14ac:dyDescent="0.35">
      <c r="B85" s="143"/>
      <c r="C85" s="143"/>
      <c r="D85" s="165"/>
      <c r="E85" s="61" t="s">
        <v>20</v>
      </c>
      <c r="F85" s="50" t="s">
        <v>180</v>
      </c>
      <c r="G85" s="50">
        <v>2</v>
      </c>
      <c r="H85" s="77">
        <f>G85/30</f>
        <v>6.6666666666666666E-2</v>
      </c>
    </row>
    <row r="86" spans="2:8" ht="60" customHeight="1" thickTop="1" thickBot="1" x14ac:dyDescent="0.35">
      <c r="B86" s="144"/>
      <c r="C86" s="144"/>
      <c r="D86" s="166"/>
      <c r="E86" s="61" t="s">
        <v>4</v>
      </c>
      <c r="F86" s="50" t="s">
        <v>158</v>
      </c>
      <c r="G86" s="50">
        <v>1</v>
      </c>
      <c r="H86" s="77">
        <f>G86/30</f>
        <v>3.3333333333333333E-2</v>
      </c>
    </row>
    <row r="87" spans="2:8" ht="32.4" customHeight="1" thickTop="1" thickBot="1" x14ac:dyDescent="0.35">
      <c r="B87" s="141" t="s">
        <v>192</v>
      </c>
      <c r="C87" s="112">
        <v>30</v>
      </c>
      <c r="D87" s="128"/>
      <c r="E87" s="61"/>
      <c r="F87" s="50"/>
      <c r="G87" s="50">
        <f>SUM(G83:G86)</f>
        <v>13</v>
      </c>
      <c r="H87" s="77">
        <f>G87/30</f>
        <v>0.43333333333333335</v>
      </c>
    </row>
    <row r="88" spans="2:8" ht="28.2" customHeight="1" thickTop="1" thickBot="1" x14ac:dyDescent="0.35">
      <c r="B88" s="44" t="s">
        <v>112</v>
      </c>
      <c r="C88" s="44">
        <v>100</v>
      </c>
      <c r="D88" s="45" t="s">
        <v>83</v>
      </c>
      <c r="E88" s="65">
        <v>0</v>
      </c>
      <c r="F88" s="66">
        <v>0</v>
      </c>
      <c r="G88" s="66">
        <v>0</v>
      </c>
      <c r="H88" s="81">
        <v>0</v>
      </c>
    </row>
    <row r="89" spans="2:8" ht="18.600000000000001" customHeight="1" thickTop="1" thickBot="1" x14ac:dyDescent="0.35">
      <c r="B89" s="28" t="s">
        <v>113</v>
      </c>
      <c r="C89" s="28">
        <v>101</v>
      </c>
      <c r="D89" s="38" t="s">
        <v>84</v>
      </c>
      <c r="E89" s="29">
        <v>0</v>
      </c>
      <c r="F89" s="30">
        <v>0</v>
      </c>
      <c r="G89" s="30">
        <v>0</v>
      </c>
      <c r="H89" s="71"/>
    </row>
    <row r="90" spans="2:8" ht="15.6" thickTop="1" thickBot="1" x14ac:dyDescent="0.35">
      <c r="B90" s="28" t="s">
        <v>189</v>
      </c>
      <c r="C90" s="28"/>
      <c r="D90" s="38"/>
      <c r="E90" s="39"/>
      <c r="F90" s="30"/>
      <c r="G90" s="30">
        <f>SUM(G2:G89)</f>
        <v>1200</v>
      </c>
      <c r="H90" s="71"/>
    </row>
    <row r="91" spans="2:8" ht="15" thickTop="1" x14ac:dyDescent="0.3">
      <c r="B91" s="10"/>
      <c r="C91" s="10"/>
      <c r="D91" s="11"/>
      <c r="E91" s="20"/>
      <c r="F91" s="12"/>
      <c r="G91" s="12"/>
      <c r="H91" s="82"/>
    </row>
    <row r="92" spans="2:8" x14ac:dyDescent="0.3">
      <c r="B92" s="10"/>
      <c r="C92" s="10"/>
      <c r="D92" s="11"/>
      <c r="E92" s="20"/>
      <c r="F92" s="12"/>
      <c r="G92" s="12"/>
      <c r="H92" s="82"/>
    </row>
    <row r="93" spans="2:8" x14ac:dyDescent="0.3">
      <c r="B93" s="10"/>
      <c r="C93" s="10"/>
      <c r="D93" s="11"/>
      <c r="E93" s="20"/>
      <c r="F93" s="12"/>
      <c r="G93" s="12"/>
      <c r="H93" s="82"/>
    </row>
    <row r="94" spans="2:8" x14ac:dyDescent="0.3">
      <c r="B94" s="10"/>
      <c r="C94" s="10"/>
      <c r="D94" s="11"/>
      <c r="E94" s="20"/>
      <c r="F94" s="12"/>
      <c r="G94" s="12"/>
      <c r="H94" s="82"/>
    </row>
    <row r="95" spans="2:8" ht="15" x14ac:dyDescent="0.3">
      <c r="E95" s="13"/>
      <c r="F95" s="1"/>
      <c r="G95" s="1"/>
      <c r="H95" s="83"/>
    </row>
    <row r="96" spans="2:8" ht="15" x14ac:dyDescent="0.3">
      <c r="H96" s="83"/>
    </row>
    <row r="97" spans="8:8" ht="21" x14ac:dyDescent="0.3">
      <c r="H97" s="84"/>
    </row>
    <row r="98" spans="8:8" ht="15.6" x14ac:dyDescent="0.3">
      <c r="H98" s="85"/>
    </row>
    <row r="99" spans="8:8" ht="15.6" x14ac:dyDescent="0.3">
      <c r="H99" s="85"/>
    </row>
    <row r="100" spans="8:8" ht="15.6" x14ac:dyDescent="0.3">
      <c r="H100" s="85"/>
    </row>
    <row r="101" spans="8:8" ht="15.6" x14ac:dyDescent="0.3">
      <c r="H101" s="85"/>
    </row>
    <row r="102" spans="8:8" ht="15.6" x14ac:dyDescent="0.3">
      <c r="H102" s="85"/>
    </row>
    <row r="103" spans="8:8" ht="15.6" x14ac:dyDescent="0.3">
      <c r="H103" s="85"/>
    </row>
    <row r="104" spans="8:8" ht="15.6" x14ac:dyDescent="0.3">
      <c r="H104" s="85"/>
    </row>
    <row r="105" spans="8:8" ht="15.6" x14ac:dyDescent="0.3">
      <c r="H105" s="85"/>
    </row>
    <row r="106" spans="8:8" ht="15" x14ac:dyDescent="0.3">
      <c r="H106" s="83"/>
    </row>
    <row r="107" spans="8:8" ht="15.6" x14ac:dyDescent="0.3">
      <c r="H107" s="85"/>
    </row>
    <row r="108" spans="8:8" ht="15" x14ac:dyDescent="0.3">
      <c r="H108" s="83"/>
    </row>
    <row r="109" spans="8:8" ht="15" x14ac:dyDescent="0.3">
      <c r="H109" s="83"/>
    </row>
    <row r="110" spans="8:8" ht="15.6" x14ac:dyDescent="0.3">
      <c r="H110" s="85"/>
    </row>
    <row r="111" spans="8:8" ht="15.6" x14ac:dyDescent="0.3">
      <c r="H111" s="85"/>
    </row>
    <row r="112" spans="8:8" ht="15.6" x14ac:dyDescent="0.3">
      <c r="H112" s="85"/>
    </row>
    <row r="113" spans="8:8" ht="15.6" x14ac:dyDescent="0.3">
      <c r="H113" s="85"/>
    </row>
    <row r="114" spans="8:8" ht="15.6" x14ac:dyDescent="0.3">
      <c r="H114" s="85"/>
    </row>
    <row r="115" spans="8:8" ht="15.6" x14ac:dyDescent="0.3">
      <c r="H115" s="85"/>
    </row>
    <row r="116" spans="8:8" ht="15.6" x14ac:dyDescent="0.3">
      <c r="H116" s="85"/>
    </row>
    <row r="117" spans="8:8" ht="15.6" x14ac:dyDescent="0.3">
      <c r="H117" s="85"/>
    </row>
    <row r="118" spans="8:8" ht="15.6" x14ac:dyDescent="0.3">
      <c r="H118" s="85"/>
    </row>
    <row r="119" spans="8:8" ht="15.6" x14ac:dyDescent="0.3">
      <c r="H119" s="85"/>
    </row>
    <row r="120" spans="8:8" ht="15" x14ac:dyDescent="0.3">
      <c r="H120" s="83"/>
    </row>
    <row r="121" spans="8:8" ht="15.6" x14ac:dyDescent="0.3">
      <c r="H121" s="85"/>
    </row>
    <row r="122" spans="8:8" ht="15.6" x14ac:dyDescent="0.3">
      <c r="H122" s="85"/>
    </row>
    <row r="123" spans="8:8" ht="15.6" x14ac:dyDescent="0.3">
      <c r="H123" s="85"/>
    </row>
    <row r="124" spans="8:8" ht="15.6" x14ac:dyDescent="0.3">
      <c r="H124" s="85"/>
    </row>
    <row r="125" spans="8:8" ht="15.6" x14ac:dyDescent="0.3">
      <c r="H125" s="85"/>
    </row>
    <row r="126" spans="8:8" ht="15" x14ac:dyDescent="0.3">
      <c r="H126" s="83"/>
    </row>
    <row r="127" spans="8:8" ht="15.6" x14ac:dyDescent="0.3">
      <c r="H127" s="85"/>
    </row>
    <row r="128" spans="8:8" ht="15.6" x14ac:dyDescent="0.3">
      <c r="H128" s="85"/>
    </row>
    <row r="129" spans="5:8" ht="15.6" x14ac:dyDescent="0.3">
      <c r="H129" s="85"/>
    </row>
    <row r="130" spans="5:8" ht="15" x14ac:dyDescent="0.3">
      <c r="H130" s="83"/>
    </row>
    <row r="131" spans="5:8" ht="15.6" x14ac:dyDescent="0.3">
      <c r="H131" s="85"/>
    </row>
    <row r="132" spans="5:8" ht="15" x14ac:dyDescent="0.3">
      <c r="H132" s="83"/>
    </row>
    <row r="133" spans="5:8" ht="15" x14ac:dyDescent="0.3">
      <c r="H133" s="83"/>
    </row>
    <row r="134" spans="5:8" ht="15" x14ac:dyDescent="0.3">
      <c r="H134" s="83"/>
    </row>
    <row r="135" spans="5:8" ht="15" x14ac:dyDescent="0.3">
      <c r="H135" s="83"/>
    </row>
    <row r="136" spans="5:8" ht="15" x14ac:dyDescent="0.3">
      <c r="H136" s="83"/>
    </row>
    <row r="137" spans="5:8" ht="15" x14ac:dyDescent="0.3">
      <c r="H137" s="83"/>
    </row>
    <row r="138" spans="5:8" ht="15" x14ac:dyDescent="0.3">
      <c r="H138" s="83"/>
    </row>
    <row r="139" spans="5:8" ht="15" x14ac:dyDescent="0.3">
      <c r="H139" s="83"/>
    </row>
    <row r="140" spans="5:8" ht="15" x14ac:dyDescent="0.3">
      <c r="H140" s="83"/>
    </row>
    <row r="141" spans="5:8" ht="15" x14ac:dyDescent="0.3">
      <c r="H141" s="83"/>
    </row>
    <row r="142" spans="5:8" ht="15" x14ac:dyDescent="0.3">
      <c r="E142" s="13"/>
      <c r="F142" s="1"/>
      <c r="G142" s="1"/>
      <c r="H142" s="83"/>
    </row>
    <row r="143" spans="5:8" ht="15" x14ac:dyDescent="0.3">
      <c r="E143" s="13"/>
      <c r="F143" s="1"/>
      <c r="G143" s="1"/>
      <c r="H143" s="83"/>
    </row>
    <row r="144" spans="5:8" ht="15" x14ac:dyDescent="0.3">
      <c r="E144" s="13"/>
      <c r="F144" s="1"/>
      <c r="G144" s="1"/>
      <c r="H144" s="83"/>
    </row>
    <row r="145" spans="5:8" ht="15" x14ac:dyDescent="0.3">
      <c r="E145" s="13"/>
      <c r="F145" s="1"/>
      <c r="G145" s="1"/>
      <c r="H145" s="83"/>
    </row>
    <row r="146" spans="5:8" ht="15" x14ac:dyDescent="0.3">
      <c r="E146" s="13"/>
      <c r="F146" s="1"/>
      <c r="G146" s="1"/>
      <c r="H146" s="83"/>
    </row>
    <row r="147" spans="5:8" ht="15" x14ac:dyDescent="0.3">
      <c r="E147" s="13"/>
      <c r="F147" s="1"/>
      <c r="G147" s="1"/>
      <c r="H147" s="83"/>
    </row>
    <row r="148" spans="5:8" ht="15.6" x14ac:dyDescent="0.3">
      <c r="E148" s="14"/>
      <c r="F148" s="1"/>
      <c r="G148" s="1"/>
      <c r="H148" s="83"/>
    </row>
    <row r="149" spans="5:8" ht="15.6" x14ac:dyDescent="0.3">
      <c r="E149" s="14"/>
      <c r="F149" s="3"/>
      <c r="G149" s="3"/>
      <c r="H149" s="85"/>
    </row>
    <row r="150" spans="5:8" ht="15.6" x14ac:dyDescent="0.3">
      <c r="E150" s="14"/>
      <c r="F150" s="3"/>
      <c r="G150" s="3"/>
      <c r="H150" s="85"/>
    </row>
    <row r="151" spans="5:8" ht="15.6" x14ac:dyDescent="0.3">
      <c r="E151" s="14"/>
      <c r="F151" s="3"/>
      <c r="G151" s="3"/>
      <c r="H151" s="85"/>
    </row>
    <row r="152" spans="5:8" ht="15.6" x14ac:dyDescent="0.3">
      <c r="E152" s="14"/>
      <c r="F152" s="3"/>
      <c r="G152" s="3"/>
      <c r="H152" s="85"/>
    </row>
    <row r="153" spans="5:8" ht="15.6" x14ac:dyDescent="0.3">
      <c r="E153" s="13"/>
      <c r="F153" s="3"/>
      <c r="G153" s="3"/>
      <c r="H153" s="85"/>
    </row>
    <row r="154" spans="5:8" ht="15" x14ac:dyDescent="0.3">
      <c r="E154" s="13"/>
      <c r="F154" s="1"/>
      <c r="G154" s="1"/>
      <c r="H154" s="83"/>
    </row>
    <row r="155" spans="5:8" ht="15" x14ac:dyDescent="0.3">
      <c r="E155" s="13"/>
      <c r="F155" s="1"/>
      <c r="G155" s="1"/>
      <c r="H155" s="83"/>
    </row>
    <row r="156" spans="5:8" ht="15" x14ac:dyDescent="0.3">
      <c r="E156" s="13"/>
      <c r="F156" s="1"/>
      <c r="G156" s="1"/>
      <c r="H156" s="83"/>
    </row>
    <row r="157" spans="5:8" ht="15.6" x14ac:dyDescent="0.3">
      <c r="E157" s="14"/>
      <c r="F157" s="1"/>
      <c r="G157" s="1"/>
      <c r="H157" s="83"/>
    </row>
    <row r="158" spans="5:8" ht="15.6" x14ac:dyDescent="0.3">
      <c r="E158" s="14"/>
      <c r="F158" s="3"/>
      <c r="G158" s="3"/>
      <c r="H158" s="85"/>
    </row>
    <row r="159" spans="5:8" ht="15.6" x14ac:dyDescent="0.3">
      <c r="E159" s="13"/>
      <c r="F159" s="3"/>
      <c r="G159" s="3"/>
      <c r="H159" s="85"/>
    </row>
    <row r="160" spans="5:8" ht="15.6" x14ac:dyDescent="0.3">
      <c r="E160" s="14"/>
      <c r="F160" s="1"/>
      <c r="G160" s="1"/>
      <c r="H160" s="83"/>
    </row>
    <row r="161" spans="5:8" ht="15.6" x14ac:dyDescent="0.3">
      <c r="E161" s="17"/>
      <c r="F161" s="3"/>
      <c r="G161" s="3"/>
      <c r="H161" s="85"/>
    </row>
    <row r="162" spans="5:8" ht="15.6" x14ac:dyDescent="0.3">
      <c r="E162" s="14"/>
      <c r="F162" s="2"/>
      <c r="G162" s="2"/>
      <c r="H162" s="86"/>
    </row>
    <row r="163" spans="5:8" ht="15.6" x14ac:dyDescent="0.3">
      <c r="E163" s="14"/>
      <c r="F163" s="3"/>
      <c r="G163" s="3"/>
      <c r="H163" s="85"/>
    </row>
    <row r="164" spans="5:8" ht="15.6" x14ac:dyDescent="0.3">
      <c r="E164" s="14"/>
      <c r="F164" s="3"/>
      <c r="G164" s="3"/>
      <c r="H164" s="85"/>
    </row>
    <row r="165" spans="5:8" ht="15.6" x14ac:dyDescent="0.3">
      <c r="E165" s="13"/>
      <c r="F165" s="3"/>
      <c r="G165" s="3"/>
      <c r="H165" s="85"/>
    </row>
    <row r="166" spans="5:8" ht="15" x14ac:dyDescent="0.3">
      <c r="E166" s="13"/>
      <c r="F166" s="1"/>
      <c r="G166" s="1"/>
      <c r="H166" s="83"/>
    </row>
    <row r="167" spans="5:8" ht="15" x14ac:dyDescent="0.3">
      <c r="E167" s="13"/>
      <c r="F167" s="1"/>
      <c r="G167" s="1"/>
      <c r="H167" s="83"/>
    </row>
    <row r="168" spans="5:8" ht="15" x14ac:dyDescent="0.3">
      <c r="E168" s="13"/>
      <c r="F168" s="1"/>
      <c r="G168" s="1"/>
      <c r="H168" s="83"/>
    </row>
    <row r="169" spans="5:8" ht="15" x14ac:dyDescent="0.3">
      <c r="E169" s="13"/>
      <c r="F169" s="1"/>
      <c r="G169" s="1"/>
      <c r="H169" s="83"/>
    </row>
    <row r="170" spans="5:8" ht="15.6" x14ac:dyDescent="0.3">
      <c r="E170" s="17"/>
      <c r="F170" s="1"/>
      <c r="G170" s="1"/>
      <c r="H170" s="83"/>
    </row>
    <row r="171" spans="5:8" ht="15.6" x14ac:dyDescent="0.3">
      <c r="E171" s="17"/>
      <c r="F171" s="2"/>
      <c r="G171" s="2"/>
      <c r="H171" s="86"/>
    </row>
    <row r="172" spans="5:8" ht="15.6" x14ac:dyDescent="0.3">
      <c r="E172" s="13"/>
      <c r="F172" s="2"/>
      <c r="G172" s="2"/>
      <c r="H172" s="86"/>
    </row>
    <row r="173" spans="5:8" ht="15.6" x14ac:dyDescent="0.3">
      <c r="E173" s="14"/>
      <c r="F173" s="1"/>
      <c r="G173" s="1"/>
      <c r="H173" s="83"/>
    </row>
    <row r="174" spans="5:8" ht="15.6" x14ac:dyDescent="0.3">
      <c r="E174" s="14"/>
      <c r="F174" s="3"/>
      <c r="G174" s="3"/>
      <c r="H174" s="85"/>
    </row>
    <row r="175" spans="5:8" ht="15.6" x14ac:dyDescent="0.3">
      <c r="E175" s="13"/>
      <c r="F175" s="3"/>
      <c r="G175" s="3"/>
      <c r="H175" s="85"/>
    </row>
    <row r="176" spans="5:8" ht="15" x14ac:dyDescent="0.3">
      <c r="E176" s="13"/>
      <c r="F176" s="1"/>
      <c r="G176" s="1"/>
      <c r="H176" s="83"/>
    </row>
    <row r="177" spans="5:8" ht="15" x14ac:dyDescent="0.3">
      <c r="E177" s="13"/>
      <c r="F177" s="1"/>
      <c r="G177" s="1"/>
      <c r="H177" s="83"/>
    </row>
    <row r="178" spans="5:8" ht="15" x14ac:dyDescent="0.3">
      <c r="E178" s="13"/>
      <c r="F178" s="1"/>
      <c r="G178" s="1"/>
      <c r="H178" s="83"/>
    </row>
    <row r="179" spans="5:8" ht="15.6" x14ac:dyDescent="0.3">
      <c r="E179" s="14"/>
      <c r="F179" s="1"/>
      <c r="G179" s="1"/>
      <c r="H179" s="83"/>
    </row>
    <row r="180" spans="5:8" ht="15.6" x14ac:dyDescent="0.3">
      <c r="E180" s="13"/>
      <c r="F180" s="3"/>
      <c r="G180" s="3"/>
      <c r="H180" s="85"/>
    </row>
    <row r="181" spans="5:8" ht="15.6" x14ac:dyDescent="0.3">
      <c r="E181" s="14"/>
      <c r="F181" s="1"/>
      <c r="G181" s="1"/>
      <c r="H181" s="83"/>
    </row>
    <row r="182" spans="5:8" ht="15.6" x14ac:dyDescent="0.3">
      <c r="E182" s="14"/>
      <c r="F182" s="3"/>
      <c r="G182" s="3"/>
      <c r="H182" s="85"/>
    </row>
    <row r="183" spans="5:8" ht="15.6" x14ac:dyDescent="0.3">
      <c r="E183" s="14"/>
      <c r="F183" s="3"/>
      <c r="G183" s="3"/>
      <c r="H183" s="85"/>
    </row>
    <row r="184" spans="5:8" ht="15.6" x14ac:dyDescent="0.3">
      <c r="E184" s="13"/>
      <c r="F184" s="3"/>
      <c r="G184" s="3"/>
      <c r="H184" s="85"/>
    </row>
    <row r="185" spans="5:8" ht="15.6" x14ac:dyDescent="0.3">
      <c r="E185" s="14"/>
      <c r="F185" s="1"/>
      <c r="G185" s="1"/>
      <c r="H185" s="83"/>
    </row>
    <row r="186" spans="5:8" ht="15.6" x14ac:dyDescent="0.3">
      <c r="E186" s="13"/>
      <c r="F186" s="3"/>
      <c r="G186" s="3"/>
      <c r="H186" s="85"/>
    </row>
    <row r="187" spans="5:8" ht="15.6" x14ac:dyDescent="0.3">
      <c r="E187" s="14"/>
      <c r="F187" s="1"/>
      <c r="G187" s="1"/>
      <c r="H187" s="83"/>
    </row>
    <row r="188" spans="5:8" ht="15.6" x14ac:dyDescent="0.3">
      <c r="E188" s="14"/>
      <c r="F188" s="3"/>
      <c r="G188" s="3"/>
      <c r="H188" s="85"/>
    </row>
    <row r="189" spans="5:8" ht="15.6" x14ac:dyDescent="0.3">
      <c r="E189" s="13"/>
      <c r="F189" s="3"/>
      <c r="G189" s="3"/>
      <c r="H189" s="85"/>
    </row>
    <row r="190" spans="5:8" ht="15" x14ac:dyDescent="0.3">
      <c r="E190" s="13"/>
      <c r="F190" s="1"/>
      <c r="G190" s="1"/>
      <c r="H190" s="83"/>
    </row>
    <row r="191" spans="5:8" ht="15" x14ac:dyDescent="0.3">
      <c r="E191" s="13"/>
      <c r="F191" s="1"/>
      <c r="G191" s="1"/>
      <c r="H191" s="83"/>
    </row>
    <row r="192" spans="5:8" ht="15" x14ac:dyDescent="0.3">
      <c r="E192" s="13"/>
      <c r="F192" s="1"/>
      <c r="G192" s="1"/>
      <c r="H192" s="83"/>
    </row>
    <row r="193" spans="5:8" ht="15.6" x14ac:dyDescent="0.3">
      <c r="E193" s="14"/>
      <c r="F193" s="1"/>
      <c r="G193" s="1"/>
      <c r="H193" s="83"/>
    </row>
    <row r="194" spans="5:8" ht="15.6" x14ac:dyDescent="0.3">
      <c r="E194" s="14"/>
      <c r="F194" s="3"/>
      <c r="G194" s="3"/>
      <c r="H194" s="85"/>
    </row>
    <row r="195" spans="5:8" ht="15.6" x14ac:dyDescent="0.3">
      <c r="E195" s="14"/>
      <c r="F195" s="3"/>
      <c r="G195" s="3"/>
      <c r="H195" s="85"/>
    </row>
    <row r="196" spans="5:8" ht="15.6" x14ac:dyDescent="0.3">
      <c r="E196" s="14"/>
      <c r="F196" s="3"/>
      <c r="G196" s="3"/>
      <c r="H196" s="85"/>
    </row>
    <row r="197" spans="5:8" ht="15.6" x14ac:dyDescent="0.3">
      <c r="E197" s="13"/>
      <c r="F197" s="3"/>
      <c r="G197" s="3"/>
      <c r="H197" s="85"/>
    </row>
    <row r="198" spans="5:8" ht="15.6" x14ac:dyDescent="0.3">
      <c r="E198" s="14"/>
      <c r="F198" s="1"/>
      <c r="G198" s="1"/>
      <c r="H198" s="83"/>
    </row>
    <row r="199" spans="5:8" ht="15.6" x14ac:dyDescent="0.3">
      <c r="E199" s="14"/>
      <c r="F199" s="3"/>
      <c r="G199" s="3"/>
      <c r="H199" s="85"/>
    </row>
    <row r="200" spans="5:8" ht="15.6" x14ac:dyDescent="0.3">
      <c r="E200" s="14"/>
      <c r="F200" s="3"/>
      <c r="G200" s="3"/>
      <c r="H200" s="85"/>
    </row>
    <row r="201" spans="5:8" ht="15.6" x14ac:dyDescent="0.3">
      <c r="E201" s="14"/>
      <c r="F201" s="3"/>
      <c r="G201" s="3"/>
      <c r="H201" s="85"/>
    </row>
    <row r="202" spans="5:8" ht="15.6" x14ac:dyDescent="0.3">
      <c r="E202" s="14"/>
      <c r="F202" s="3"/>
      <c r="G202" s="3"/>
      <c r="H202" s="85"/>
    </row>
    <row r="203" spans="5:8" ht="15.6" x14ac:dyDescent="0.3">
      <c r="E203" s="13"/>
      <c r="F203" s="3"/>
      <c r="G203" s="3"/>
      <c r="H203" s="85"/>
    </row>
    <row r="204" spans="5:8" ht="15.6" x14ac:dyDescent="0.3">
      <c r="E204" s="14"/>
      <c r="F204" s="1"/>
      <c r="G204" s="1"/>
      <c r="H204" s="83"/>
    </row>
    <row r="205" spans="5:8" ht="15.6" x14ac:dyDescent="0.3">
      <c r="E205" s="14"/>
      <c r="F205" s="3"/>
      <c r="G205" s="3"/>
      <c r="H205" s="85"/>
    </row>
    <row r="206" spans="5:8" ht="15.6" x14ac:dyDescent="0.3">
      <c r="E206" s="14"/>
      <c r="F206" s="3"/>
      <c r="G206" s="3"/>
      <c r="H206" s="85"/>
    </row>
    <row r="207" spans="5:8" ht="15.6" x14ac:dyDescent="0.3">
      <c r="E207" s="14"/>
      <c r="F207" s="3"/>
      <c r="G207" s="3"/>
      <c r="H207" s="85"/>
    </row>
    <row r="208" spans="5:8" ht="15.6" x14ac:dyDescent="0.3">
      <c r="E208" s="14"/>
      <c r="F208" s="3"/>
      <c r="G208" s="3"/>
      <c r="H208" s="85"/>
    </row>
    <row r="209" spans="5:8" ht="15.6" x14ac:dyDescent="0.3">
      <c r="E209" s="13"/>
      <c r="F209" s="3"/>
      <c r="G209" s="3"/>
      <c r="H209" s="85"/>
    </row>
    <row r="210" spans="5:8" ht="15.6" x14ac:dyDescent="0.3">
      <c r="E210" s="14"/>
      <c r="F210" s="1"/>
      <c r="G210" s="1"/>
      <c r="H210" s="83"/>
    </row>
    <row r="211" spans="5:8" ht="15.6" x14ac:dyDescent="0.3">
      <c r="E211" s="13"/>
      <c r="F211" s="3"/>
      <c r="G211" s="3"/>
      <c r="H211" s="85"/>
    </row>
    <row r="212" spans="5:8" ht="15" x14ac:dyDescent="0.3">
      <c r="E212" s="13"/>
      <c r="F212" s="1"/>
      <c r="G212" s="1"/>
      <c r="H212" s="83"/>
    </row>
    <row r="213" spans="5:8" ht="15" x14ac:dyDescent="0.3">
      <c r="E213" s="13"/>
      <c r="F213" s="1"/>
      <c r="G213" s="1"/>
      <c r="H213" s="83"/>
    </row>
    <row r="214" spans="5:8" ht="15" x14ac:dyDescent="0.3">
      <c r="E214" s="13"/>
      <c r="F214" s="1"/>
      <c r="G214" s="1"/>
      <c r="H214" s="83"/>
    </row>
    <row r="215" spans="5:8" ht="15" x14ac:dyDescent="0.3">
      <c r="E215" s="13"/>
      <c r="F215" s="1"/>
      <c r="G215" s="1"/>
      <c r="H215" s="83"/>
    </row>
    <row r="216" spans="5:8" ht="15" x14ac:dyDescent="0.3">
      <c r="E216" s="13"/>
      <c r="F216" s="1"/>
      <c r="G216" s="1"/>
      <c r="H216" s="83"/>
    </row>
    <row r="217" spans="5:8" ht="15" x14ac:dyDescent="0.3">
      <c r="E217" s="13"/>
      <c r="F217" s="1"/>
      <c r="G217" s="1"/>
      <c r="H217" s="83"/>
    </row>
    <row r="218" spans="5:8" ht="15.6" x14ac:dyDescent="0.3">
      <c r="E218" s="14"/>
      <c r="F218" s="1"/>
      <c r="G218" s="1"/>
      <c r="H218" s="83"/>
    </row>
    <row r="219" spans="5:8" ht="15.6" x14ac:dyDescent="0.3">
      <c r="E219" s="14"/>
      <c r="F219" s="3"/>
      <c r="G219" s="3"/>
      <c r="H219" s="85"/>
    </row>
    <row r="220" spans="5:8" ht="15.6" x14ac:dyDescent="0.3">
      <c r="E220" s="14"/>
      <c r="F220" s="3"/>
      <c r="G220" s="3"/>
      <c r="H220" s="85"/>
    </row>
    <row r="221" spans="5:8" ht="15.6" x14ac:dyDescent="0.3">
      <c r="E221" s="13"/>
      <c r="F221" s="3"/>
      <c r="G221" s="3"/>
      <c r="H221" s="85"/>
    </row>
    <row r="222" spans="5:8" ht="15.6" x14ac:dyDescent="0.3">
      <c r="E222" s="14"/>
      <c r="F222" s="1"/>
      <c r="G222" s="1"/>
      <c r="H222" s="83"/>
    </row>
    <row r="223" spans="5:8" ht="23.4" x14ac:dyDescent="0.3">
      <c r="E223" s="16"/>
      <c r="F223" s="3"/>
      <c r="G223" s="3"/>
      <c r="H223" s="85"/>
    </row>
    <row r="224" spans="5:8" ht="23.4" x14ac:dyDescent="0.3">
      <c r="E224" s="16"/>
      <c r="F224" s="4"/>
      <c r="G224" s="4"/>
      <c r="H224" s="87"/>
    </row>
    <row r="225" spans="5:8" ht="23.4" x14ac:dyDescent="0.3">
      <c r="E225" s="16"/>
      <c r="F225" s="4"/>
      <c r="G225" s="4"/>
      <c r="H225" s="87"/>
    </row>
    <row r="226" spans="5:8" ht="23.4" x14ac:dyDescent="0.3">
      <c r="E226" s="16"/>
      <c r="F226" s="4"/>
      <c r="G226" s="4"/>
      <c r="H226" s="87"/>
    </row>
    <row r="227" spans="5:8" ht="23.4" x14ac:dyDescent="0.3">
      <c r="E227" s="16"/>
      <c r="F227" s="4"/>
      <c r="G227" s="4"/>
      <c r="H227" s="87"/>
    </row>
    <row r="228" spans="5:8" ht="23.4" x14ac:dyDescent="0.3">
      <c r="E228" s="16"/>
      <c r="F228" s="4"/>
      <c r="G228" s="4"/>
      <c r="H228" s="87"/>
    </row>
    <row r="229" spans="5:8" ht="23.4" x14ac:dyDescent="0.3">
      <c r="E229" s="16"/>
      <c r="F229" s="4"/>
      <c r="G229" s="4"/>
      <c r="H229" s="87"/>
    </row>
    <row r="230" spans="5:8" ht="23.4" x14ac:dyDescent="0.3">
      <c r="E230" s="16"/>
      <c r="F230" s="4"/>
      <c r="G230" s="4"/>
      <c r="H230" s="87"/>
    </row>
    <row r="231" spans="5:8" ht="23.4" x14ac:dyDescent="0.3">
      <c r="E231" s="16"/>
      <c r="F231" s="4"/>
      <c r="G231" s="4"/>
      <c r="H231" s="87"/>
    </row>
    <row r="232" spans="5:8" ht="23.4" x14ac:dyDescent="0.3">
      <c r="E232" s="16"/>
      <c r="F232" s="4"/>
      <c r="G232" s="4"/>
      <c r="H232" s="87"/>
    </row>
    <row r="233" spans="5:8" ht="23.4" x14ac:dyDescent="0.3">
      <c r="E233" s="14"/>
      <c r="F233" s="4"/>
      <c r="G233" s="4"/>
      <c r="H233" s="87"/>
    </row>
    <row r="234" spans="5:8" ht="15.6" x14ac:dyDescent="0.3">
      <c r="E234" s="14"/>
      <c r="F234" s="3"/>
      <c r="G234" s="3"/>
      <c r="H234" s="85"/>
    </row>
    <row r="235" spans="5:8" ht="15.6" x14ac:dyDescent="0.3">
      <c r="E235" s="13"/>
      <c r="F235" s="3"/>
      <c r="G235" s="3"/>
      <c r="H235" s="85"/>
    </row>
    <row r="236" spans="5:8" ht="15.6" x14ac:dyDescent="0.3">
      <c r="E236" s="14"/>
      <c r="F236" s="1"/>
      <c r="G236" s="1"/>
      <c r="H236" s="83"/>
    </row>
    <row r="237" spans="5:8" ht="15.6" x14ac:dyDescent="0.3">
      <c r="E237" s="14"/>
      <c r="F237" s="3"/>
      <c r="G237" s="3"/>
      <c r="H237" s="85"/>
    </row>
    <row r="238" spans="5:8" ht="15.6" x14ac:dyDescent="0.3">
      <c r="E238" s="14"/>
      <c r="F238" s="3"/>
      <c r="G238" s="3"/>
      <c r="H238" s="85"/>
    </row>
    <row r="239" spans="5:8" ht="15.6" x14ac:dyDescent="0.3">
      <c r="E239" s="14"/>
      <c r="F239" s="3"/>
      <c r="G239" s="3"/>
      <c r="H239" s="85"/>
    </row>
    <row r="240" spans="5:8" ht="15.6" x14ac:dyDescent="0.3">
      <c r="E240" s="14"/>
      <c r="F240" s="3"/>
      <c r="G240" s="3"/>
      <c r="H240" s="85"/>
    </row>
    <row r="241" spans="5:8" ht="15.6" x14ac:dyDescent="0.3">
      <c r="E241" s="14"/>
      <c r="F241" s="3"/>
      <c r="G241" s="3"/>
      <c r="H241" s="85"/>
    </row>
    <row r="242" spans="5:8" ht="15.6" x14ac:dyDescent="0.3">
      <c r="E242" s="14"/>
      <c r="F242" s="3"/>
      <c r="G242" s="3"/>
      <c r="H242" s="85"/>
    </row>
    <row r="243" spans="5:8" ht="15.6" x14ac:dyDescent="0.3">
      <c r="E243" s="14"/>
      <c r="F243" s="3"/>
      <c r="G243" s="3"/>
      <c r="H243" s="85"/>
    </row>
    <row r="244" spans="5:8" ht="15.6" x14ac:dyDescent="0.3">
      <c r="E244" s="14"/>
      <c r="F244" s="3"/>
      <c r="G244" s="3"/>
      <c r="H244" s="85"/>
    </row>
    <row r="245" spans="5:8" ht="15.6" x14ac:dyDescent="0.3">
      <c r="E245" s="14"/>
      <c r="F245" s="3"/>
      <c r="G245" s="3"/>
      <c r="H245" s="85"/>
    </row>
    <row r="246" spans="5:8" ht="15.6" x14ac:dyDescent="0.3">
      <c r="E246" s="13"/>
      <c r="F246" s="3"/>
      <c r="G246" s="3"/>
      <c r="H246" s="85"/>
    </row>
    <row r="247" spans="5:8" ht="15" x14ac:dyDescent="0.3">
      <c r="E247" s="13"/>
      <c r="F247" s="1"/>
      <c r="G247" s="1"/>
      <c r="H247" s="83"/>
    </row>
    <row r="248" spans="5:8" ht="15" x14ac:dyDescent="0.3">
      <c r="E248" s="13"/>
      <c r="F248" s="1"/>
      <c r="G248" s="1"/>
      <c r="H248" s="83"/>
    </row>
    <row r="249" spans="5:8" ht="15.6" x14ac:dyDescent="0.3">
      <c r="E249" s="14"/>
      <c r="F249" s="1"/>
      <c r="G249" s="1"/>
      <c r="H249" s="83"/>
    </row>
    <row r="250" spans="5:8" ht="15.6" x14ac:dyDescent="0.3">
      <c r="E250" s="14"/>
      <c r="F250" s="3"/>
      <c r="G250" s="3"/>
      <c r="H250" s="85"/>
    </row>
    <row r="251" spans="5:8" ht="15.6" x14ac:dyDescent="0.3">
      <c r="E251" s="22"/>
      <c r="F251" s="3"/>
      <c r="G251" s="3"/>
      <c r="H251" s="85"/>
    </row>
    <row r="252" spans="5:8" ht="15.6" x14ac:dyDescent="0.3">
      <c r="E252" s="14"/>
      <c r="F252" s="5"/>
      <c r="G252" s="5"/>
      <c r="H252" s="88"/>
    </row>
    <row r="253" spans="5:8" ht="15.6" x14ac:dyDescent="0.3">
      <c r="E253" s="14"/>
      <c r="F253" s="3"/>
      <c r="G253" s="3"/>
      <c r="H253" s="85"/>
    </row>
    <row r="254" spans="5:8" ht="15.6" x14ac:dyDescent="0.3">
      <c r="E254" s="13"/>
      <c r="F254" s="3"/>
      <c r="G254" s="3"/>
      <c r="H254" s="85"/>
    </row>
    <row r="255" spans="5:8" ht="15.6" x14ac:dyDescent="0.3">
      <c r="E255" s="14"/>
      <c r="F255" s="1"/>
      <c r="G255" s="1"/>
      <c r="H255" s="83"/>
    </row>
    <row r="256" spans="5:8" ht="15.6" x14ac:dyDescent="0.3">
      <c r="E256" s="14"/>
      <c r="F256" s="3"/>
      <c r="G256" s="3"/>
      <c r="H256" s="85"/>
    </row>
    <row r="257" spans="5:8" ht="15.6" x14ac:dyDescent="0.3">
      <c r="E257" s="13"/>
      <c r="F257" s="3"/>
      <c r="G257" s="3"/>
      <c r="H257" s="85"/>
    </row>
    <row r="258" spans="5:8" ht="15" x14ac:dyDescent="0.3">
      <c r="E258" s="13"/>
      <c r="F258" s="1"/>
      <c r="G258" s="1"/>
      <c r="H258" s="83"/>
    </row>
    <row r="259" spans="5:8" ht="15" x14ac:dyDescent="0.3">
      <c r="E259" s="15"/>
      <c r="F259" s="1"/>
      <c r="G259" s="1"/>
      <c r="H259" s="83"/>
    </row>
    <row r="260" spans="5:8" ht="15" x14ac:dyDescent="0.3">
      <c r="E260" s="15"/>
      <c r="F260" s="6"/>
      <c r="G260" s="6"/>
      <c r="H260" s="89"/>
    </row>
    <row r="261" spans="5:8" ht="15.6" x14ac:dyDescent="0.3">
      <c r="E261" s="14"/>
      <c r="F261" s="6"/>
      <c r="G261" s="6"/>
      <c r="H261" s="89"/>
    </row>
    <row r="262" spans="5:8" ht="15.6" x14ac:dyDescent="0.3">
      <c r="E262" s="14"/>
      <c r="F262" s="3"/>
      <c r="G262" s="3"/>
      <c r="H262" s="85"/>
    </row>
    <row r="263" spans="5:8" ht="15.6" x14ac:dyDescent="0.3">
      <c r="E263" s="14"/>
      <c r="F263" s="3"/>
      <c r="G263" s="3"/>
      <c r="H263" s="85"/>
    </row>
    <row r="264" spans="5:8" ht="15.6" x14ac:dyDescent="0.3">
      <c r="E264" s="14"/>
      <c r="F264" s="3"/>
      <c r="G264" s="3"/>
      <c r="H264" s="85"/>
    </row>
    <row r="265" spans="5:8" ht="15.6" x14ac:dyDescent="0.3">
      <c r="E265" s="14"/>
      <c r="F265" s="3"/>
      <c r="G265" s="3"/>
      <c r="H265" s="85"/>
    </row>
    <row r="266" spans="5:8" ht="15.6" x14ac:dyDescent="0.3">
      <c r="E266" s="14"/>
      <c r="F266" s="3"/>
      <c r="G266" s="3"/>
      <c r="H266" s="85"/>
    </row>
    <row r="267" spans="5:8" ht="15.6" x14ac:dyDescent="0.3">
      <c r="E267" s="14"/>
      <c r="F267" s="3"/>
      <c r="G267" s="3"/>
      <c r="H267" s="85"/>
    </row>
    <row r="268" spans="5:8" ht="15.6" x14ac:dyDescent="0.3">
      <c r="E268" s="14"/>
      <c r="F268" s="3"/>
      <c r="G268" s="3"/>
      <c r="H268" s="85"/>
    </row>
    <row r="269" spans="5:8" ht="15.6" x14ac:dyDescent="0.3">
      <c r="E269" s="14"/>
      <c r="F269" s="3"/>
      <c r="G269" s="3"/>
      <c r="H269" s="85"/>
    </row>
    <row r="270" spans="5:8" ht="15.6" x14ac:dyDescent="0.3">
      <c r="E270" s="14"/>
      <c r="F270" s="3"/>
      <c r="G270" s="3"/>
      <c r="H270" s="85"/>
    </row>
    <row r="271" spans="5:8" ht="15.6" x14ac:dyDescent="0.3">
      <c r="E271" s="14"/>
      <c r="F271" s="3"/>
      <c r="G271" s="3"/>
      <c r="H271" s="85"/>
    </row>
    <row r="272" spans="5:8" ht="15.6" x14ac:dyDescent="0.3">
      <c r="E272" s="13"/>
      <c r="F272" s="3"/>
      <c r="G272" s="3"/>
      <c r="H272" s="85"/>
    </row>
    <row r="273" spans="5:8" ht="15" x14ac:dyDescent="0.3">
      <c r="E273" s="13"/>
      <c r="F273" s="1"/>
      <c r="G273" s="1"/>
      <c r="H273" s="83"/>
    </row>
    <row r="274" spans="5:8" ht="15" x14ac:dyDescent="0.3">
      <c r="E274" s="13"/>
      <c r="F274" s="1"/>
      <c r="G274" s="1"/>
      <c r="H274" s="83"/>
    </row>
    <row r="275" spans="5:8" ht="15" x14ac:dyDescent="0.3">
      <c r="E275" s="19"/>
      <c r="F275" s="1"/>
      <c r="G275" s="1"/>
      <c r="H275" s="83"/>
    </row>
    <row r="276" spans="5:8" ht="15" x14ac:dyDescent="0.3">
      <c r="E276" s="13"/>
      <c r="F276" s="7"/>
      <c r="G276" s="7"/>
      <c r="H276" s="90"/>
    </row>
    <row r="277" spans="5:8" ht="15" x14ac:dyDescent="0.3">
      <c r="E277" s="13"/>
      <c r="F277" s="1"/>
      <c r="G277" s="1"/>
      <c r="H277" s="83"/>
    </row>
    <row r="278" spans="5:8" ht="15" x14ac:dyDescent="0.3">
      <c r="E278" s="13"/>
      <c r="F278" s="1"/>
      <c r="G278" s="1"/>
      <c r="H278" s="83"/>
    </row>
    <row r="279" spans="5:8" ht="15" x14ac:dyDescent="0.3">
      <c r="E279" s="13"/>
      <c r="F279" s="1"/>
      <c r="G279" s="1"/>
      <c r="H279" s="83"/>
    </row>
    <row r="280" spans="5:8" ht="15" x14ac:dyDescent="0.3">
      <c r="E280" s="13"/>
      <c r="F280" s="1"/>
      <c r="G280" s="1"/>
      <c r="H280" s="83"/>
    </row>
    <row r="281" spans="5:8" ht="15.6" x14ac:dyDescent="0.3">
      <c r="E281" s="14"/>
      <c r="F281" s="1"/>
      <c r="G281" s="1"/>
      <c r="H281" s="83"/>
    </row>
    <row r="282" spans="5:8" ht="15.6" x14ac:dyDescent="0.3">
      <c r="E282" s="14"/>
      <c r="F282" s="3"/>
      <c r="G282" s="3"/>
      <c r="H282" s="85"/>
    </row>
    <row r="283" spans="5:8" ht="15.6" x14ac:dyDescent="0.3">
      <c r="E283" s="14"/>
      <c r="F283" s="3"/>
      <c r="G283" s="3"/>
      <c r="H283" s="85"/>
    </row>
    <row r="284" spans="5:8" ht="15.6" x14ac:dyDescent="0.3">
      <c r="E284" s="14"/>
      <c r="F284" s="3"/>
      <c r="G284" s="3"/>
      <c r="H284" s="85"/>
    </row>
    <row r="285" spans="5:8" ht="15.6" x14ac:dyDescent="0.3">
      <c r="E285" s="14"/>
      <c r="F285" s="3"/>
      <c r="G285" s="3"/>
      <c r="H285" s="85"/>
    </row>
    <row r="286" spans="5:8" ht="15.6" x14ac:dyDescent="0.3">
      <c r="E286" s="14"/>
      <c r="F286" s="3"/>
      <c r="G286" s="3"/>
      <c r="H286" s="85"/>
    </row>
    <row r="287" spans="5:8" ht="15.6" x14ac:dyDescent="0.3">
      <c r="E287" s="14"/>
      <c r="F287" s="3"/>
      <c r="G287" s="3"/>
      <c r="H287" s="85"/>
    </row>
    <row r="288" spans="5:8" ht="15.6" x14ac:dyDescent="0.3">
      <c r="E288" s="13"/>
      <c r="F288" s="3"/>
      <c r="G288" s="3"/>
      <c r="H288" s="85"/>
    </row>
    <row r="289" spans="5:8" ht="15.6" x14ac:dyDescent="0.3">
      <c r="E289" s="14"/>
      <c r="F289" s="1"/>
      <c r="G289" s="1"/>
      <c r="H289" s="83"/>
    </row>
    <row r="290" spans="5:8" ht="15.6" x14ac:dyDescent="0.3">
      <c r="E290" s="14"/>
      <c r="F290" s="3"/>
      <c r="G290" s="3"/>
      <c r="H290" s="85"/>
    </row>
    <row r="291" spans="5:8" ht="15.6" x14ac:dyDescent="0.3">
      <c r="E291" s="14"/>
      <c r="F291" s="3"/>
      <c r="G291" s="3"/>
      <c r="H291" s="85"/>
    </row>
    <row r="292" spans="5:8" ht="15.6" x14ac:dyDescent="0.3">
      <c r="E292" s="14"/>
      <c r="F292" s="3"/>
      <c r="G292" s="3"/>
      <c r="H292" s="85"/>
    </row>
    <row r="293" spans="5:8" ht="15.6" x14ac:dyDescent="0.3">
      <c r="E293" s="14"/>
      <c r="F293" s="3"/>
      <c r="G293" s="3"/>
      <c r="H293" s="85"/>
    </row>
    <row r="294" spans="5:8" ht="15.6" x14ac:dyDescent="0.3">
      <c r="E294" s="14"/>
      <c r="F294" s="3"/>
      <c r="G294" s="3"/>
      <c r="H294" s="85"/>
    </row>
    <row r="295" spans="5:8" ht="15.6" x14ac:dyDescent="0.3">
      <c r="E295" s="14"/>
      <c r="F295" s="3"/>
      <c r="G295" s="3"/>
      <c r="H295" s="85"/>
    </row>
    <row r="296" spans="5:8" ht="15.6" x14ac:dyDescent="0.3">
      <c r="E296" s="14"/>
      <c r="F296" s="3"/>
      <c r="G296" s="3"/>
      <c r="H296" s="85"/>
    </row>
    <row r="297" spans="5:8" ht="15.6" x14ac:dyDescent="0.3">
      <c r="E297" s="14"/>
      <c r="F297" s="3"/>
      <c r="G297" s="3"/>
      <c r="H297" s="85"/>
    </row>
    <row r="298" spans="5:8" ht="15.6" x14ac:dyDescent="0.3">
      <c r="E298" s="14"/>
      <c r="F298" s="3"/>
      <c r="G298" s="3"/>
      <c r="H298" s="85"/>
    </row>
    <row r="299" spans="5:8" ht="15.6" x14ac:dyDescent="0.3">
      <c r="E299" s="13"/>
      <c r="F299" s="3"/>
      <c r="G299" s="3"/>
      <c r="H299" s="85"/>
    </row>
    <row r="300" spans="5:8" ht="15.6" x14ac:dyDescent="0.3">
      <c r="E300" s="14"/>
      <c r="F300" s="1"/>
      <c r="G300" s="1"/>
      <c r="H300" s="83"/>
    </row>
    <row r="301" spans="5:8" ht="15.6" x14ac:dyDescent="0.3">
      <c r="E301" s="14"/>
      <c r="F301" s="3"/>
      <c r="G301" s="3"/>
      <c r="H301" s="85"/>
    </row>
    <row r="302" spans="5:8" ht="15.6" x14ac:dyDescent="0.3">
      <c r="E302" s="14"/>
      <c r="F302" s="3"/>
      <c r="G302" s="3"/>
      <c r="H302" s="85"/>
    </row>
    <row r="303" spans="5:8" ht="15.6" x14ac:dyDescent="0.3">
      <c r="E303" s="14"/>
      <c r="F303" s="3"/>
      <c r="G303" s="3"/>
      <c r="H303" s="85"/>
    </row>
    <row r="304" spans="5:8" ht="15.6" x14ac:dyDescent="0.3">
      <c r="E304" s="14"/>
      <c r="F304" s="3"/>
      <c r="G304" s="3"/>
      <c r="H304" s="85"/>
    </row>
    <row r="305" spans="5:8" ht="15.6" x14ac:dyDescent="0.3">
      <c r="E305" s="14"/>
      <c r="F305" s="3"/>
      <c r="G305" s="3"/>
      <c r="H305" s="85"/>
    </row>
    <row r="306" spans="5:8" ht="15.6" x14ac:dyDescent="0.3">
      <c r="E306" s="14"/>
      <c r="F306" s="3"/>
      <c r="G306" s="3"/>
      <c r="H306" s="85"/>
    </row>
    <row r="307" spans="5:8" ht="15.6" x14ac:dyDescent="0.3">
      <c r="E307" s="14"/>
      <c r="F307" s="3"/>
      <c r="G307" s="3"/>
      <c r="H307" s="85"/>
    </row>
    <row r="308" spans="5:8" ht="15.6" x14ac:dyDescent="0.3">
      <c r="E308" s="13"/>
      <c r="F308" s="3"/>
      <c r="G308" s="3"/>
      <c r="H308" s="85"/>
    </row>
    <row r="309" spans="5:8" ht="15" x14ac:dyDescent="0.3">
      <c r="E309" s="13"/>
      <c r="F309" s="1"/>
      <c r="G309" s="1"/>
      <c r="H309" s="83"/>
    </row>
    <row r="310" spans="5:8" ht="15" x14ac:dyDescent="0.3">
      <c r="E310" s="13"/>
      <c r="F310" s="1"/>
      <c r="G310" s="1"/>
      <c r="H310" s="83"/>
    </row>
    <row r="311" spans="5:8" ht="15" x14ac:dyDescent="0.3">
      <c r="E311" s="13"/>
      <c r="F311" s="1"/>
      <c r="G311" s="1"/>
      <c r="H311" s="83"/>
    </row>
    <row r="312" spans="5:8" ht="15" x14ac:dyDescent="0.3">
      <c r="E312" s="13"/>
      <c r="F312" s="1"/>
      <c r="G312" s="1"/>
      <c r="H312" s="83"/>
    </row>
    <row r="313" spans="5:8" ht="15.6" x14ac:dyDescent="0.3">
      <c r="E313" s="14"/>
      <c r="F313" s="1"/>
      <c r="G313" s="1"/>
      <c r="H313" s="83"/>
    </row>
    <row r="314" spans="5:8" ht="15.6" x14ac:dyDescent="0.3">
      <c r="E314" s="14"/>
      <c r="F314" s="3"/>
      <c r="G314" s="3"/>
      <c r="H314" s="85"/>
    </row>
    <row r="315" spans="5:8" ht="21" x14ac:dyDescent="0.3">
      <c r="E315" s="21"/>
      <c r="F315" s="3"/>
      <c r="G315" s="3"/>
      <c r="H315" s="85"/>
    </row>
    <row r="316" spans="5:8" ht="21" x14ac:dyDescent="0.3">
      <c r="E316" s="14"/>
      <c r="F316" s="8"/>
      <c r="G316" s="8"/>
      <c r="H316" s="84"/>
    </row>
    <row r="317" spans="5:8" ht="15.6" x14ac:dyDescent="0.3">
      <c r="E317" s="14"/>
      <c r="F317" s="3"/>
      <c r="G317" s="3"/>
      <c r="H317" s="85"/>
    </row>
    <row r="318" spans="5:8" ht="15.6" x14ac:dyDescent="0.3">
      <c r="E318" s="14"/>
      <c r="F318" s="3"/>
      <c r="G318" s="3"/>
      <c r="H318" s="85"/>
    </row>
    <row r="319" spans="5:8" ht="15.6" x14ac:dyDescent="0.3">
      <c r="E319" s="14"/>
      <c r="F319" s="3"/>
      <c r="G319" s="3"/>
      <c r="H319" s="85"/>
    </row>
    <row r="320" spans="5:8" ht="15.6" x14ac:dyDescent="0.3">
      <c r="E320" s="14"/>
      <c r="F320" s="3"/>
      <c r="G320" s="3"/>
      <c r="H320" s="85"/>
    </row>
    <row r="321" spans="5:8" ht="15.6" x14ac:dyDescent="0.3">
      <c r="E321" s="14"/>
      <c r="F321" s="3"/>
      <c r="G321" s="3"/>
      <c r="H321" s="85"/>
    </row>
    <row r="322" spans="5:8" ht="15.6" x14ac:dyDescent="0.3">
      <c r="E322" s="14"/>
      <c r="F322" s="3"/>
      <c r="G322" s="3"/>
      <c r="H322" s="85"/>
    </row>
    <row r="323" spans="5:8" ht="15.6" x14ac:dyDescent="0.3">
      <c r="E323" s="14"/>
      <c r="F323" s="3"/>
      <c r="G323" s="3"/>
      <c r="H323" s="85"/>
    </row>
    <row r="324" spans="5:8" ht="15.6" x14ac:dyDescent="0.3">
      <c r="E324" s="13"/>
      <c r="F324" s="3"/>
      <c r="G324" s="3"/>
      <c r="H324" s="85"/>
    </row>
    <row r="325" spans="5:8" ht="15.6" x14ac:dyDescent="0.3">
      <c r="E325" s="14"/>
      <c r="F325" s="1"/>
      <c r="G325" s="1"/>
      <c r="H325" s="83"/>
    </row>
    <row r="326" spans="5:8" ht="15.6" x14ac:dyDescent="0.3">
      <c r="E326" s="13"/>
      <c r="F326" s="3"/>
      <c r="G326" s="3"/>
      <c r="H326" s="85"/>
    </row>
    <row r="327" spans="5:8" ht="15" x14ac:dyDescent="0.3">
      <c r="E327" s="13"/>
      <c r="F327" s="1"/>
      <c r="G327" s="1"/>
      <c r="H327" s="83"/>
    </row>
    <row r="328" spans="5:8" ht="15.6" x14ac:dyDescent="0.3">
      <c r="E328" s="14"/>
      <c r="F328" s="1"/>
      <c r="G328" s="1"/>
      <c r="H328" s="83"/>
    </row>
    <row r="329" spans="5:8" ht="15.6" x14ac:dyDescent="0.3">
      <c r="E329" s="14"/>
      <c r="F329" s="3"/>
      <c r="G329" s="3"/>
      <c r="H329" s="85"/>
    </row>
    <row r="330" spans="5:8" ht="15.6" x14ac:dyDescent="0.3">
      <c r="E330" s="14"/>
      <c r="F330" s="3"/>
      <c r="G330" s="3"/>
      <c r="H330" s="85"/>
    </row>
    <row r="331" spans="5:8" ht="15.6" x14ac:dyDescent="0.3">
      <c r="E331" s="14"/>
      <c r="F331" s="3"/>
      <c r="G331" s="3"/>
      <c r="H331" s="85"/>
    </row>
    <row r="332" spans="5:8" ht="15.6" x14ac:dyDescent="0.3">
      <c r="E332" s="14"/>
      <c r="F332" s="3"/>
      <c r="G332" s="3"/>
      <c r="H332" s="85"/>
    </row>
    <row r="333" spans="5:8" ht="15.6" x14ac:dyDescent="0.3">
      <c r="E333" s="14"/>
      <c r="F333" s="3"/>
      <c r="G333" s="3"/>
      <c r="H333" s="85"/>
    </row>
    <row r="334" spans="5:8" ht="15.6" x14ac:dyDescent="0.3">
      <c r="E334" s="14"/>
      <c r="F334" s="3"/>
      <c r="G334" s="3"/>
      <c r="H334" s="85"/>
    </row>
    <row r="335" spans="5:8" ht="15.6" x14ac:dyDescent="0.3">
      <c r="E335" s="14"/>
      <c r="F335" s="3"/>
      <c r="G335" s="3"/>
      <c r="H335" s="85"/>
    </row>
    <row r="336" spans="5:8" ht="15.6" x14ac:dyDescent="0.3">
      <c r="E336" s="14"/>
      <c r="F336" s="3"/>
      <c r="G336" s="3"/>
      <c r="H336" s="85"/>
    </row>
    <row r="337" spans="5:8" ht="15.6" x14ac:dyDescent="0.3">
      <c r="E337" s="14"/>
      <c r="F337" s="3"/>
      <c r="G337" s="3"/>
      <c r="H337" s="85"/>
    </row>
    <row r="338" spans="5:8" ht="15.6" x14ac:dyDescent="0.3">
      <c r="E338" s="13"/>
      <c r="F338" s="3"/>
      <c r="G338" s="3"/>
      <c r="H338" s="85"/>
    </row>
    <row r="339" spans="5:8" ht="15.6" x14ac:dyDescent="0.3">
      <c r="E339" s="14"/>
      <c r="F339" s="1"/>
      <c r="G339" s="1"/>
      <c r="H339" s="83"/>
    </row>
    <row r="340" spans="5:8" ht="15.6" x14ac:dyDescent="0.3">
      <c r="E340" s="14"/>
      <c r="F340" s="3"/>
      <c r="G340" s="3"/>
      <c r="H340" s="85"/>
    </row>
    <row r="341" spans="5:8" ht="15.6" x14ac:dyDescent="0.3">
      <c r="E341" s="14"/>
      <c r="F341" s="3"/>
      <c r="G341" s="3"/>
      <c r="H341" s="85"/>
    </row>
    <row r="342" spans="5:8" ht="15.6" x14ac:dyDescent="0.3">
      <c r="E342" s="14"/>
      <c r="F342" s="3"/>
      <c r="G342" s="3"/>
      <c r="H342" s="85"/>
    </row>
    <row r="343" spans="5:8" ht="15.6" x14ac:dyDescent="0.3">
      <c r="E343" s="14"/>
      <c r="F343" s="3"/>
      <c r="G343" s="3"/>
      <c r="H343" s="85"/>
    </row>
    <row r="344" spans="5:8" ht="15.6" x14ac:dyDescent="0.3">
      <c r="E344" s="13"/>
      <c r="F344" s="3"/>
      <c r="G344" s="3"/>
      <c r="H344" s="85"/>
    </row>
    <row r="345" spans="5:8" ht="15.6" x14ac:dyDescent="0.3">
      <c r="E345" s="14"/>
      <c r="F345" s="1"/>
      <c r="G345" s="1"/>
      <c r="H345" s="83"/>
    </row>
    <row r="346" spans="5:8" ht="15.6" x14ac:dyDescent="0.3">
      <c r="E346" s="14"/>
      <c r="F346" s="3"/>
      <c r="G346" s="3"/>
      <c r="H346" s="85"/>
    </row>
    <row r="347" spans="5:8" ht="15.6" x14ac:dyDescent="0.3">
      <c r="E347" s="14"/>
      <c r="F347" s="3"/>
      <c r="G347" s="3"/>
      <c r="H347" s="85"/>
    </row>
    <row r="348" spans="5:8" ht="15.6" x14ac:dyDescent="0.3">
      <c r="E348" s="13"/>
      <c r="F348" s="3"/>
      <c r="G348" s="3"/>
      <c r="H348" s="85"/>
    </row>
    <row r="349" spans="5:8" ht="15.6" x14ac:dyDescent="0.3">
      <c r="E349" s="14"/>
      <c r="F349" s="1"/>
      <c r="G349" s="1"/>
      <c r="H349" s="83"/>
    </row>
    <row r="350" spans="5:8" ht="15.6" x14ac:dyDescent="0.3">
      <c r="E350" s="13"/>
      <c r="F350" s="3"/>
      <c r="G350" s="3"/>
      <c r="H350" s="85"/>
    </row>
    <row r="351" spans="5:8" ht="15" x14ac:dyDescent="0.3">
      <c r="E351" s="13"/>
      <c r="F351" s="1"/>
      <c r="G351" s="1"/>
      <c r="H351" s="83"/>
    </row>
    <row r="352" spans="5:8" ht="15" x14ac:dyDescent="0.3">
      <c r="E352" s="13"/>
      <c r="F352" s="1"/>
      <c r="G352" s="1"/>
      <c r="H352" s="83"/>
    </row>
    <row r="353" spans="5:8" ht="15" x14ac:dyDescent="0.3">
      <c r="E353" s="13"/>
      <c r="F353" s="1"/>
      <c r="G353" s="1"/>
      <c r="H353" s="83"/>
    </row>
    <row r="354" spans="5:8" ht="15" x14ac:dyDescent="0.3">
      <c r="E354" s="13"/>
      <c r="F354" s="1"/>
      <c r="G354" s="1"/>
      <c r="H354" s="83"/>
    </row>
    <row r="355" spans="5:8" ht="15" x14ac:dyDescent="0.3">
      <c r="F355" s="1"/>
      <c r="G355" s="1"/>
      <c r="H355" s="83"/>
    </row>
  </sheetData>
  <sortState ref="E62:H65">
    <sortCondition descending="1" ref="H62:H65"/>
  </sortState>
  <mergeCells count="54">
    <mergeCell ref="B32:B33"/>
    <mergeCell ref="D32:D33"/>
    <mergeCell ref="B37:B38"/>
    <mergeCell ref="D37:D38"/>
    <mergeCell ref="C32:C33"/>
    <mergeCell ref="B70:B72"/>
    <mergeCell ref="D74:D78"/>
    <mergeCell ref="B74:B78"/>
    <mergeCell ref="B67:B68"/>
    <mergeCell ref="D67:D68"/>
    <mergeCell ref="C67:C68"/>
    <mergeCell ref="C70:C72"/>
    <mergeCell ref="C74:C78"/>
    <mergeCell ref="D2:D3"/>
    <mergeCell ref="B2:B3"/>
    <mergeCell ref="D5:D7"/>
    <mergeCell ref="B5:B7"/>
    <mergeCell ref="C2:C3"/>
    <mergeCell ref="C5:C7"/>
    <mergeCell ref="B80:B81"/>
    <mergeCell ref="D80:D81"/>
    <mergeCell ref="B83:B86"/>
    <mergeCell ref="D83:D86"/>
    <mergeCell ref="C83:C86"/>
    <mergeCell ref="C80:C81"/>
    <mergeCell ref="B20:B23"/>
    <mergeCell ref="D25:D30"/>
    <mergeCell ref="B25:B30"/>
    <mergeCell ref="D9:D10"/>
    <mergeCell ref="B9:B10"/>
    <mergeCell ref="C25:C30"/>
    <mergeCell ref="C20:C23"/>
    <mergeCell ref="C9:C10"/>
    <mergeCell ref="D20:D23"/>
    <mergeCell ref="D70:D72"/>
    <mergeCell ref="D55:D56"/>
    <mergeCell ref="D47:D48"/>
    <mergeCell ref="D40:D42"/>
    <mergeCell ref="D44:D45"/>
    <mergeCell ref="B59:B64"/>
    <mergeCell ref="D50:D53"/>
    <mergeCell ref="B50:B53"/>
    <mergeCell ref="C44:C45"/>
    <mergeCell ref="C37:C38"/>
    <mergeCell ref="B47:B48"/>
    <mergeCell ref="B40:B42"/>
    <mergeCell ref="B44:B45"/>
    <mergeCell ref="B55:B56"/>
    <mergeCell ref="C50:C53"/>
    <mergeCell ref="C55:C56"/>
    <mergeCell ref="C59:C64"/>
    <mergeCell ref="D59:D64"/>
    <mergeCell ref="C40:C42"/>
    <mergeCell ref="C47:C48"/>
  </mergeCells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F21"/>
  <sheetViews>
    <sheetView tabSelected="1" workbookViewId="0">
      <selection activeCell="D13" sqref="D13"/>
    </sheetView>
  </sheetViews>
  <sheetFormatPr defaultRowHeight="14.4" x14ac:dyDescent="0.3"/>
  <cols>
    <col min="3" max="3" width="12.6640625" style="18" customWidth="1"/>
    <col min="4" max="4" width="32.109375" style="18" customWidth="1"/>
    <col min="6" max="6" width="8.88671875" style="91"/>
  </cols>
  <sheetData>
    <row r="1" spans="3:6" ht="15.6" thickTop="1" thickBot="1" x14ac:dyDescent="0.35">
      <c r="C1" s="102"/>
      <c r="D1" s="102"/>
      <c r="E1" s="95"/>
      <c r="F1" s="106" t="s">
        <v>191</v>
      </c>
    </row>
    <row r="2" spans="3:6" ht="48" thickTop="1" thickBot="1" x14ac:dyDescent="0.35">
      <c r="C2" s="103">
        <v>85</v>
      </c>
      <c r="D2" s="96" t="s">
        <v>24</v>
      </c>
      <c r="E2" s="95">
        <v>25</v>
      </c>
      <c r="F2" s="106">
        <f>E2/C2</f>
        <v>0.29411764705882354</v>
      </c>
    </row>
    <row r="3" spans="3:6" ht="31.2" thickTop="1" thickBot="1" x14ac:dyDescent="0.35">
      <c r="C3" s="188">
        <v>244</v>
      </c>
      <c r="D3" s="97" t="s">
        <v>128</v>
      </c>
      <c r="E3" s="95">
        <v>1</v>
      </c>
      <c r="F3" s="106">
        <f>E3/244</f>
        <v>4.0983606557377051E-3</v>
      </c>
    </row>
    <row r="4" spans="3:6" ht="31.2" thickTop="1" thickBot="1" x14ac:dyDescent="0.35">
      <c r="C4" s="188"/>
      <c r="D4" s="97" t="s">
        <v>30</v>
      </c>
      <c r="E4" s="95">
        <v>5</v>
      </c>
      <c r="F4" s="106">
        <f t="shared" ref="F4:F7" si="0">E4/244</f>
        <v>2.0491803278688523E-2</v>
      </c>
    </row>
    <row r="5" spans="3:6" ht="46.2" thickTop="1" thickBot="1" x14ac:dyDescent="0.35">
      <c r="C5" s="188"/>
      <c r="D5" s="97" t="s">
        <v>9</v>
      </c>
      <c r="E5" s="95">
        <v>14</v>
      </c>
      <c r="F5" s="106">
        <f t="shared" si="0"/>
        <v>5.737704918032787E-2</v>
      </c>
    </row>
    <row r="6" spans="3:6" ht="46.2" thickTop="1" thickBot="1" x14ac:dyDescent="0.35">
      <c r="C6" s="188"/>
      <c r="D6" s="97" t="s">
        <v>8</v>
      </c>
      <c r="E6" s="95">
        <v>12</v>
      </c>
      <c r="F6" s="106">
        <f t="shared" si="0"/>
        <v>4.9180327868852458E-2</v>
      </c>
    </row>
    <row r="7" spans="3:6" ht="46.2" thickTop="1" thickBot="1" x14ac:dyDescent="0.35">
      <c r="C7" s="188"/>
      <c r="D7" s="97" t="s">
        <v>10</v>
      </c>
      <c r="E7" s="95">
        <v>1</v>
      </c>
      <c r="F7" s="106">
        <f t="shared" si="0"/>
        <v>4.0983606557377051E-3</v>
      </c>
    </row>
    <row r="8" spans="3:6" ht="16.2" thickTop="1" thickBot="1" x14ac:dyDescent="0.35">
      <c r="C8" s="100"/>
      <c r="D8" s="100" t="s">
        <v>1</v>
      </c>
      <c r="E8" s="95">
        <v>5</v>
      </c>
      <c r="F8" s="106"/>
    </row>
    <row r="9" spans="3:6" ht="16.8" thickTop="1" thickBot="1" x14ac:dyDescent="0.35">
      <c r="C9" s="103">
        <v>408</v>
      </c>
      <c r="D9" s="96" t="s">
        <v>41</v>
      </c>
      <c r="E9" s="95">
        <v>4</v>
      </c>
      <c r="F9" s="106">
        <f>E9/C9</f>
        <v>9.8039215686274508E-3</v>
      </c>
    </row>
    <row r="10" spans="3:6" ht="16.8" thickTop="1" thickBot="1" x14ac:dyDescent="0.35">
      <c r="C10" s="97"/>
      <c r="D10" s="97" t="s">
        <v>0</v>
      </c>
      <c r="E10" s="95">
        <v>4</v>
      </c>
      <c r="F10" s="106"/>
    </row>
    <row r="11" spans="3:6" ht="16.2" thickTop="1" thickBot="1" x14ac:dyDescent="0.35">
      <c r="C11" s="97"/>
      <c r="D11" s="97" t="s">
        <v>40</v>
      </c>
      <c r="E11" s="95">
        <v>3</v>
      </c>
      <c r="F11" s="106"/>
    </row>
    <row r="12" spans="3:6" ht="16.2" thickTop="1" thickBot="1" x14ac:dyDescent="0.35">
      <c r="C12" s="99"/>
      <c r="D12" s="99" t="s">
        <v>153</v>
      </c>
      <c r="E12" s="95">
        <v>2</v>
      </c>
      <c r="F12" s="106"/>
    </row>
    <row r="13" spans="3:6" ht="16.8" thickTop="1" thickBot="1" x14ac:dyDescent="0.35">
      <c r="C13" s="96"/>
      <c r="D13" s="96" t="s">
        <v>193</v>
      </c>
      <c r="E13" s="95">
        <v>1</v>
      </c>
      <c r="F13" s="106"/>
    </row>
    <row r="14" spans="3:6" ht="31.2" thickTop="1" thickBot="1" x14ac:dyDescent="0.35">
      <c r="C14" s="96"/>
      <c r="D14" s="96" t="s">
        <v>42</v>
      </c>
      <c r="E14" s="95">
        <v>1</v>
      </c>
      <c r="F14" s="106"/>
    </row>
    <row r="15" spans="3:6" ht="48" thickTop="1" thickBot="1" x14ac:dyDescent="0.35">
      <c r="C15" s="101"/>
      <c r="D15" s="101" t="s">
        <v>37</v>
      </c>
      <c r="E15" s="95">
        <v>1</v>
      </c>
      <c r="F15" s="106"/>
    </row>
    <row r="16" spans="3:6" ht="48" thickTop="1" thickBot="1" x14ac:dyDescent="0.35">
      <c r="C16" s="101"/>
      <c r="D16" s="101" t="s">
        <v>138</v>
      </c>
      <c r="E16" s="95">
        <v>1</v>
      </c>
      <c r="F16" s="106"/>
    </row>
    <row r="17" spans="3:6" ht="48" thickTop="1" thickBot="1" x14ac:dyDescent="0.35">
      <c r="C17" s="101"/>
      <c r="D17" s="101" t="s">
        <v>38</v>
      </c>
      <c r="E17" s="95">
        <v>1</v>
      </c>
      <c r="F17" s="106"/>
    </row>
    <row r="18" spans="3:6" ht="16.2" thickTop="1" thickBot="1" x14ac:dyDescent="0.35">
      <c r="C18" s="98"/>
      <c r="D18" s="97"/>
      <c r="E18" s="95"/>
      <c r="F18" s="106"/>
    </row>
    <row r="19" spans="3:6" ht="16.2" thickTop="1" thickBot="1" x14ac:dyDescent="0.35">
      <c r="C19" s="97"/>
      <c r="D19" s="97"/>
      <c r="E19" s="95">
        <f>SUM(E2:E18)</f>
        <v>81</v>
      </c>
      <c r="F19" s="106"/>
    </row>
    <row r="20" spans="3:6" ht="15.6" thickTop="1" thickBot="1" x14ac:dyDescent="0.35">
      <c r="C20" s="104"/>
      <c r="D20" s="104"/>
      <c r="E20" s="105"/>
    </row>
    <row r="21" spans="3:6" ht="15" thickTop="1" x14ac:dyDescent="0.3"/>
  </sheetData>
  <sortState ref="C8:F18">
    <sortCondition descending="1" ref="E8:E18"/>
  </sortState>
  <mergeCells count="1">
    <mergeCell ref="C3:C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4"/>
  <sheetViews>
    <sheetView workbookViewId="0">
      <selection activeCell="E17" sqref="E17"/>
    </sheetView>
  </sheetViews>
  <sheetFormatPr defaultRowHeight="30" customHeight="1" thickTop="1" thickBottom="1" x14ac:dyDescent="0.35"/>
  <cols>
    <col min="3" max="3" width="34.5546875" customWidth="1"/>
    <col min="5" max="5" width="8.88671875" style="106"/>
  </cols>
  <sheetData>
    <row r="1" spans="2:5" ht="30" customHeight="1" thickTop="1" thickBot="1" x14ac:dyDescent="0.35">
      <c r="D1">
        <v>3</v>
      </c>
    </row>
    <row r="2" spans="2:5" ht="30" customHeight="1" thickTop="1" thickBot="1" x14ac:dyDescent="0.35">
      <c r="B2" s="95"/>
      <c r="C2" s="96" t="s">
        <v>44</v>
      </c>
      <c r="D2" s="108">
        <v>34</v>
      </c>
    </row>
    <row r="3" spans="2:5" ht="30" customHeight="1" thickTop="1" thickBot="1" x14ac:dyDescent="0.35">
      <c r="B3" s="95"/>
      <c r="C3" s="96" t="s">
        <v>53</v>
      </c>
      <c r="D3" s="108">
        <v>32</v>
      </c>
    </row>
    <row r="4" spans="2:5" ht="30" customHeight="1" thickTop="1" thickBot="1" x14ac:dyDescent="0.35">
      <c r="B4" s="95"/>
      <c r="C4" s="96" t="s">
        <v>51</v>
      </c>
      <c r="D4" s="108">
        <v>22</v>
      </c>
    </row>
    <row r="5" spans="2:5" ht="30" customHeight="1" thickTop="1" thickBot="1" x14ac:dyDescent="0.35">
      <c r="B5" s="95"/>
      <c r="C5" s="96" t="s">
        <v>52</v>
      </c>
      <c r="D5" s="108">
        <v>18</v>
      </c>
    </row>
    <row r="6" spans="2:5" ht="30" customHeight="1" thickTop="1" thickBot="1" x14ac:dyDescent="0.35">
      <c r="B6" s="95">
        <v>143</v>
      </c>
      <c r="C6" s="96" t="s">
        <v>43</v>
      </c>
      <c r="D6" s="107">
        <v>15</v>
      </c>
      <c r="E6" s="106">
        <f>D6/B6</f>
        <v>0.1048951048951049</v>
      </c>
    </row>
    <row r="7" spans="2:5" ht="30" customHeight="1" thickTop="1" thickBot="1" x14ac:dyDescent="0.35">
      <c r="B7" s="95"/>
      <c r="C7" s="96" t="s">
        <v>45</v>
      </c>
      <c r="D7" s="108">
        <v>14</v>
      </c>
    </row>
    <row r="8" spans="2:5" ht="30" customHeight="1" thickTop="1" thickBot="1" x14ac:dyDescent="0.35">
      <c r="B8" s="95">
        <v>34</v>
      </c>
      <c r="C8" s="96" t="s">
        <v>48</v>
      </c>
      <c r="D8" s="109">
        <v>10</v>
      </c>
      <c r="E8" s="106">
        <f>D8/B8</f>
        <v>0.29411764705882354</v>
      </c>
    </row>
    <row r="9" spans="2:5" ht="30" customHeight="1" thickTop="1" thickBot="1" x14ac:dyDescent="0.35">
      <c r="B9" s="95"/>
      <c r="C9" s="97" t="s">
        <v>59</v>
      </c>
      <c r="D9" s="109">
        <v>9</v>
      </c>
    </row>
    <row r="10" spans="2:5" ht="30" customHeight="1" thickTop="1" thickBot="1" x14ac:dyDescent="0.35">
      <c r="B10" s="95"/>
      <c r="C10" s="97" t="s">
        <v>49</v>
      </c>
      <c r="D10" s="108">
        <v>6</v>
      </c>
    </row>
    <row r="11" spans="2:5" ht="30" customHeight="1" thickTop="1" thickBot="1" x14ac:dyDescent="0.35">
      <c r="B11" s="95"/>
      <c r="C11" s="97" t="s">
        <v>145</v>
      </c>
      <c r="D11" s="109">
        <v>6</v>
      </c>
    </row>
    <row r="12" spans="2:5" ht="30" customHeight="1" thickTop="1" thickBot="1" x14ac:dyDescent="0.35">
      <c r="B12" s="95"/>
      <c r="C12" s="96" t="s">
        <v>56</v>
      </c>
      <c r="D12" s="108">
        <v>5</v>
      </c>
    </row>
    <row r="13" spans="2:5" ht="30" customHeight="1" thickTop="1" thickBot="1" x14ac:dyDescent="0.35">
      <c r="B13" s="95"/>
      <c r="C13" s="97" t="s">
        <v>142</v>
      </c>
      <c r="D13" s="109">
        <v>4</v>
      </c>
    </row>
    <row r="14" spans="2:5" ht="30" customHeight="1" thickTop="1" thickBot="1" x14ac:dyDescent="0.35">
      <c r="B14" s="95">
        <v>21</v>
      </c>
      <c r="C14" s="96" t="s">
        <v>46</v>
      </c>
      <c r="D14" s="108">
        <v>3</v>
      </c>
      <c r="E14" s="106">
        <f>D14/B14</f>
        <v>0.14285714285714285</v>
      </c>
    </row>
    <row r="15" spans="2:5" ht="30" customHeight="1" thickTop="1" thickBot="1" x14ac:dyDescent="0.35">
      <c r="B15" s="95">
        <v>9</v>
      </c>
      <c r="C15" s="97" t="s">
        <v>50</v>
      </c>
      <c r="D15" s="109">
        <v>3</v>
      </c>
      <c r="E15" s="106">
        <f>D15/B15</f>
        <v>0.33333333333333331</v>
      </c>
    </row>
    <row r="16" spans="2:5" ht="30" customHeight="1" thickTop="1" thickBot="1" x14ac:dyDescent="0.35">
      <c r="B16" s="95">
        <v>7</v>
      </c>
      <c r="C16" s="96" t="s">
        <v>47</v>
      </c>
      <c r="D16" s="108">
        <v>1</v>
      </c>
      <c r="E16" s="106">
        <f>D16/B16</f>
        <v>0.14285714285714285</v>
      </c>
    </row>
    <row r="17" spans="2:4" ht="30" customHeight="1" thickTop="1" thickBot="1" x14ac:dyDescent="0.35">
      <c r="B17" s="95"/>
      <c r="C17" s="96" t="s">
        <v>54</v>
      </c>
      <c r="D17" s="108">
        <v>1</v>
      </c>
    </row>
    <row r="18" spans="2:4" ht="30" customHeight="1" thickTop="1" thickBot="1" x14ac:dyDescent="0.35">
      <c r="B18" s="95"/>
      <c r="C18" s="96" t="s">
        <v>55</v>
      </c>
      <c r="D18" s="108">
        <v>1</v>
      </c>
    </row>
    <row r="19" spans="2:4" ht="30" customHeight="1" thickTop="1" thickBot="1" x14ac:dyDescent="0.35">
      <c r="B19" s="95"/>
      <c r="C19" s="96" t="s">
        <v>57</v>
      </c>
      <c r="D19" s="108">
        <v>1</v>
      </c>
    </row>
    <row r="20" spans="2:4" ht="30" customHeight="1" thickTop="1" thickBot="1" x14ac:dyDescent="0.35">
      <c r="B20" s="95"/>
      <c r="C20" s="96" t="s">
        <v>58</v>
      </c>
      <c r="D20" s="108">
        <v>1</v>
      </c>
    </row>
    <row r="21" spans="2:4" ht="30" customHeight="1" thickTop="1" thickBot="1" x14ac:dyDescent="0.35">
      <c r="B21" s="95"/>
      <c r="C21" s="97" t="s">
        <v>144</v>
      </c>
      <c r="D21" s="109">
        <v>1</v>
      </c>
    </row>
    <row r="22" spans="2:4" ht="30" customHeight="1" thickTop="1" thickBot="1" x14ac:dyDescent="0.35">
      <c r="B22" s="95"/>
      <c r="C22" s="97" t="s">
        <v>143</v>
      </c>
      <c r="D22" s="109">
        <v>1</v>
      </c>
    </row>
    <row r="23" spans="2:4" ht="30" customHeight="1" thickTop="1" thickBot="1" x14ac:dyDescent="0.35">
      <c r="B23" s="95"/>
      <c r="C23" s="97" t="s">
        <v>146</v>
      </c>
      <c r="D23" s="109">
        <v>1</v>
      </c>
    </row>
    <row r="24" spans="2:4" ht="30" customHeight="1" thickTop="1" thickBot="1" x14ac:dyDescent="0.35">
      <c r="B24" s="95"/>
      <c r="C24" s="95"/>
      <c r="D24" s="110"/>
    </row>
  </sheetData>
  <sortState ref="B2:E25">
    <sortCondition descending="1" ref="D2:D25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11</vt:i4>
      </vt:variant>
    </vt:vector>
  </HeadingPairs>
  <TitlesOfParts>
    <vt:vector size="14" baseType="lpstr">
      <vt:lpstr>Sheet1</vt:lpstr>
      <vt:lpstr>Sheet2</vt:lpstr>
      <vt:lpstr>Sheet3</vt:lpstr>
      <vt:lpstr>Sheet1!__DdeLink__355_3344034610</vt:lpstr>
      <vt:lpstr>Sheet1!__DdeLink__366_1609274354</vt:lpstr>
      <vt:lpstr>Sheet1!__DdeLink__429_690101127</vt:lpstr>
      <vt:lpstr>Sheet1!__DdeLink__450_690101127</vt:lpstr>
      <vt:lpstr>Sheet1!__DdeLink__454_4201205227</vt:lpstr>
      <vt:lpstr>Sheet1!__DdeLink__461_690101127</vt:lpstr>
      <vt:lpstr>Sheet1!__DdeLink__481_750636418</vt:lpstr>
      <vt:lpstr>Sheet1!__DdeLink__502_3099655138</vt:lpstr>
      <vt:lpstr>Sheet1!__DdeLink__525_3099655138</vt:lpstr>
      <vt:lpstr>Sheet1!__DdeLink__533_4201205227</vt:lpstr>
      <vt:lpstr>Sheet1!__DdeLink__573_3099655138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2025-01-06T15:22:53Z</dcterms:created>
  <dcterms:modified xsi:type="dcterms:W3CDTF">2025-06-01T13:50:13Z</dcterms:modified>
</cp:coreProperties>
</file>