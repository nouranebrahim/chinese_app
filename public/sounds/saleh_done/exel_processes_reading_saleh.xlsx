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3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saleh_done\"/>
    </mc:Choice>
  </mc:AlternateContent>
  <bookViews>
    <workbookView xWindow="0" yWindow="0" windowWidth="13296" windowHeight="8220"/>
  </bookViews>
  <sheets>
    <sheet name="Sheet1" sheetId="1" r:id="rId1"/>
    <sheet name="Sheet2" sheetId="2" r:id="rId2"/>
    <sheet name="Sheet3" sheetId="3" r:id="rId3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Sheet1!#REF!</definedName>
    <definedName name="__DdeLink__363_4195966084" localSheetId="0">Sheet1!#REF!</definedName>
    <definedName name="__DdeLink__366_1609274354" localSheetId="0">Sheet1!#REF!</definedName>
    <definedName name="__DdeLink__374_2158327081" localSheetId="0">Sheet1!#REF!</definedName>
    <definedName name="__DdeLink__429_690101127" localSheetId="0">Sheet1!#REF!</definedName>
    <definedName name="__DdeLink__450_690101127" localSheetId="0">Sheet1!#REF!</definedName>
    <definedName name="__DdeLink__454_4201205227" localSheetId="0">Sheet1!#REF!</definedName>
    <definedName name="__DdeLink__461_690101127" localSheetId="0">Sheet1!#REF!</definedName>
    <definedName name="__DdeLink__481_750636418" localSheetId="0">Sheet1!#REF!</definedName>
    <definedName name="__DdeLink__502_3099655138" localSheetId="0">Sheet1!#REF!</definedName>
    <definedName name="__DdeLink__525_3099655138" localSheetId="0">Sheet1!#REF!</definedName>
    <definedName name="__DdeLink__533_4201205227" localSheetId="0">Sheet1!#REF!</definedName>
    <definedName name="__DdeLink__573_3099655138" localSheetId="0">Sheet1!#REF!</definedName>
    <definedName name="__DdeLink__588_3099655138" localSheetId="0">Sheet1!#REF!</definedName>
    <definedName name="__DdeLink__741_3099655138" localSheetId="0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G78" i="1"/>
  <c r="C78" i="1"/>
  <c r="G76" i="1"/>
  <c r="C76" i="1"/>
  <c r="G72" i="1"/>
  <c r="C72" i="1"/>
  <c r="G67" i="1"/>
  <c r="C67" i="1"/>
  <c r="G63" i="1"/>
  <c r="C63" i="1"/>
  <c r="G59" i="1"/>
  <c r="C59" i="1"/>
  <c r="G54" i="1"/>
  <c r="C54" i="1"/>
  <c r="G51" i="1"/>
  <c r="C51" i="1"/>
  <c r="G49" i="1"/>
  <c r="C49" i="1"/>
  <c r="G47" i="1"/>
  <c r="C47" i="1"/>
  <c r="G45" i="1"/>
  <c r="C45" i="1"/>
  <c r="G43" i="1"/>
  <c r="C43" i="1"/>
  <c r="G41" i="1"/>
  <c r="C41" i="1"/>
  <c r="G38" i="1"/>
  <c r="C38" i="1"/>
  <c r="G36" i="1"/>
  <c r="C36" i="1"/>
  <c r="G34" i="1"/>
  <c r="C34" i="1"/>
  <c r="G32" i="1"/>
  <c r="C32" i="1"/>
  <c r="G30" i="1"/>
  <c r="C30" i="1"/>
  <c r="G28" i="1"/>
  <c r="C28" i="1"/>
  <c r="G24" i="1"/>
  <c r="C24" i="1"/>
  <c r="G22" i="1"/>
  <c r="C22" i="1"/>
  <c r="G19" i="1"/>
  <c r="C19" i="1"/>
  <c r="G14" i="1"/>
  <c r="C14" i="1"/>
  <c r="G12" i="1"/>
  <c r="C12" i="1"/>
  <c r="G10" i="1"/>
  <c r="C10" i="1"/>
  <c r="G8" i="1"/>
  <c r="C8" i="1"/>
  <c r="G5" i="1"/>
  <c r="C5" i="1"/>
  <c r="C323" i="1" s="1"/>
  <c r="F9" i="3" l="1"/>
  <c r="F8" i="3"/>
  <c r="F7" i="3"/>
  <c r="F5" i="3"/>
  <c r="F3" i="3"/>
  <c r="E7" i="2"/>
  <c r="E6" i="2"/>
  <c r="E5" i="2"/>
  <c r="E4" i="2"/>
  <c r="E3" i="2"/>
  <c r="E2" i="2"/>
  <c r="H73" i="1"/>
  <c r="H76" i="1" s="1"/>
  <c r="H74" i="1"/>
  <c r="H75" i="1"/>
  <c r="H4" i="1"/>
  <c r="H2" i="1"/>
  <c r="H5" i="1" l="1"/>
  <c r="H77" i="1"/>
  <c r="H78" i="1" s="1"/>
  <c r="H71" i="1"/>
  <c r="H70" i="1"/>
  <c r="H69" i="1"/>
  <c r="H68" i="1"/>
  <c r="H66" i="1"/>
  <c r="H65" i="1"/>
  <c r="H64" i="1"/>
  <c r="H62" i="1"/>
  <c r="H61" i="1"/>
  <c r="H60" i="1"/>
  <c r="H58" i="1"/>
  <c r="H57" i="1"/>
  <c r="H56" i="1"/>
  <c r="H55" i="1"/>
  <c r="H53" i="1"/>
  <c r="H52" i="1"/>
  <c r="H54" i="1" s="1"/>
  <c r="H50" i="1"/>
  <c r="H51" i="1" s="1"/>
  <c r="H46" i="1"/>
  <c r="H47" i="1" s="1"/>
  <c r="H44" i="1"/>
  <c r="H45" i="1" s="1"/>
  <c r="H42" i="1"/>
  <c r="H43" i="1" s="1"/>
  <c r="H40" i="1"/>
  <c r="H39" i="1"/>
  <c r="H37" i="1"/>
  <c r="H38" i="1" s="1"/>
  <c r="H35" i="1"/>
  <c r="H36" i="1" s="1"/>
  <c r="H33" i="1"/>
  <c r="H34" i="1" s="1"/>
  <c r="H31" i="1"/>
  <c r="H32" i="1" s="1"/>
  <c r="H29" i="1"/>
  <c r="H30" i="1" s="1"/>
  <c r="H27" i="1"/>
  <c r="H26" i="1"/>
  <c r="H25" i="1"/>
  <c r="H23" i="1"/>
  <c r="H24" i="1" s="1"/>
  <c r="H21" i="1"/>
  <c r="H20" i="1"/>
  <c r="H22" i="1" s="1"/>
  <c r="H18" i="1"/>
  <c r="H17" i="1"/>
  <c r="H16" i="1"/>
  <c r="H15" i="1"/>
  <c r="H19" i="1" s="1"/>
  <c r="H13" i="1"/>
  <c r="H14" i="1" s="1"/>
  <c r="H11" i="1"/>
  <c r="H12" i="1" s="1"/>
  <c r="H9" i="1"/>
  <c r="H10" i="1" s="1"/>
  <c r="H7" i="1"/>
  <c r="H6" i="1"/>
  <c r="H48" i="1"/>
  <c r="H49" i="1" s="1"/>
  <c r="D18" i="2"/>
  <c r="H72" i="1" l="1"/>
  <c r="H67" i="1"/>
  <c r="H8" i="1"/>
  <c r="H323" i="1" s="1"/>
  <c r="H28" i="1"/>
  <c r="H41" i="1"/>
  <c r="H59" i="1"/>
  <c r="H63" i="1"/>
  <c r="G79" i="1"/>
  <c r="G323" i="1" l="1"/>
</calcChain>
</file>

<file path=xl/sharedStrings.xml><?xml version="1.0" encoding="utf-8"?>
<sst xmlns="http://schemas.openxmlformats.org/spreadsheetml/2006/main" count="219" uniqueCount="196">
  <si>
    <t>Reduplication</t>
  </si>
  <si>
    <t>Metathesis</t>
  </si>
  <si>
    <t>Diphthongization</t>
  </si>
  <si>
    <t xml:space="preserve">Glottalization(substitution of [ʕ] with [ʔ]), </t>
  </si>
  <si>
    <t>Glottalization(substitution of [w] with [ʔ]),</t>
  </si>
  <si>
    <t>Glottalization(insertion of  [ʔ] phone)</t>
  </si>
  <si>
    <t>substitution of [w]with [ʕ]</t>
  </si>
  <si>
    <t>substitution of [r] with [ɻ]</t>
  </si>
  <si>
    <t>substitution of [q] with [g]</t>
  </si>
  <si>
    <t>voicing(substitution of [f] with [v])</t>
  </si>
  <si>
    <t>voicing(substitution of [t] with [d])</t>
  </si>
  <si>
    <t>voicing(substitution of [s] with [z])</t>
  </si>
  <si>
    <t>voicing (substitution of[θ] with [ð])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</si>
  <si>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</si>
  <si>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</si>
  <si>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</si>
  <si>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Aspiration ( substitution of [k]with [kʰ]) , </t>
  </si>
  <si>
    <t xml:space="preserve">Aspiration ( substitution of [t]with [tʰ]) </t>
  </si>
  <si>
    <t>substitution of [w] with [v]</t>
  </si>
  <si>
    <t xml:space="preserve">depharyngealization(substitution of [sˤ] with [s]), </t>
  </si>
  <si>
    <t xml:space="preserve"> depharyngealization(substitution of [ðˤ] with [ð]), </t>
  </si>
  <si>
    <t>depharyngealization and deinterdentalization substitution of[ðˤ] with [z])</t>
  </si>
  <si>
    <t>depharyngealization and voicing (substitution of [tˤ] with [d]),</t>
  </si>
  <si>
    <t>depharyngealization(substitution of [dˤ] with [d]),</t>
  </si>
  <si>
    <t>depharyngealization and aspiration (substitution of [tˤ] with [tʰ]),</t>
  </si>
  <si>
    <t>Devoicing(substitution of [d͡ʒ] with [t͡ʃ])</t>
  </si>
  <si>
    <t xml:space="preserve">depharyngealization and devoicing(substitution of [dˤ] with [t]) </t>
  </si>
  <si>
    <t>devoicing and deinterdentalization substitution of[ð] with [ s],</t>
  </si>
  <si>
    <t>stopping(substitution of[ðˤ] with [dˤ]),</t>
  </si>
  <si>
    <t>degemination(reduce consonant cluster to one single consonant)</t>
  </si>
  <si>
    <t>germination</t>
  </si>
  <si>
    <t>deaffrication(substitution of [d͡ʒ]with [ʒ])</t>
  </si>
  <si>
    <t>substitution of [ħ]with [χ]</t>
  </si>
  <si>
    <t>substitution of [ħ]with [h]</t>
  </si>
  <si>
    <t>substitution of [h]with [ħ]</t>
  </si>
  <si>
    <t>Epenthesis(insert vowel [ʊ] between  consnant cluster)</t>
  </si>
  <si>
    <t>devoicing(substitution of [d]with [t])</t>
  </si>
  <si>
    <t>devoicing(substitution of [ɣ]with [χ])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</si>
  <si>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</si>
  <si>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</si>
  <si>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</si>
  <si>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insertion of  [n] phone)</t>
  </si>
  <si>
    <t>syllable structure process (weak syllable deletion)</t>
  </si>
  <si>
    <t>substitution of [s] with [t͡s]</t>
  </si>
  <si>
    <t>substitution of [m]with [n]</t>
  </si>
  <si>
    <t>interdentalization(substitution of [z] with [ð])</t>
  </si>
  <si>
    <t>Nasal assimilation</t>
  </si>
  <si>
    <t>Definite Article deletion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</si>
  <si>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</si>
  <si>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</si>
  <si>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</si>
  <si>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[ɑw]with the colloquial arabic vowel[o:]</t>
  </si>
  <si>
    <t>replace the Modern Standard Arabic consonant [θ]with the colloquial arabic consonant [s]</t>
  </si>
  <si>
    <t>replace the Modern Standard Arabic consonant [ðˤ]with the colloquial arabic consonant [zˤ]</t>
  </si>
  <si>
    <t>consonant deletion  of [ʔ]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</si>
  <si>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</si>
  <si>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</si>
  <si>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t>Deletion of feminine marker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</si>
  <si>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</si>
  <si>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</si>
  <si>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</si>
  <si>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</si>
  <si>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</si>
  <si>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</si>
  <si>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</si>
  <si>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</si>
  <si>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</si>
  <si>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</si>
  <si>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</si>
  <si>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</si>
  <si>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</si>
  <si>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</si>
  <si>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</si>
  <si>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</si>
  <si>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</si>
  <si>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</si>
  <si>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</si>
  <si>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</si>
  <si>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</si>
  <si>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</si>
  <si>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</si>
  <si>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</si>
  <si>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</si>
  <si>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</si>
  <si>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</si>
  <si>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</si>
  <si>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</si>
  <si>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</si>
  <si>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</si>
  <si>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</si>
  <si>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</si>
  <si>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</si>
  <si>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</si>
  <si>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</si>
  <si>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</si>
  <si>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</si>
  <si>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</si>
  <si>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</si>
  <si>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</si>
  <si>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</si>
  <si>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</si>
  <si>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</si>
  <si>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</si>
  <si>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</si>
  <si>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</si>
  <si>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</si>
  <si>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</si>
  <si>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</si>
  <si>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</si>
  <si>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</si>
  <si>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</si>
  <si>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</si>
  <si>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</si>
  <si>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</si>
  <si>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[t]with [t͡s ]</t>
  </si>
  <si>
    <t xml:space="preserve">depharyngealization  (substitution of [tˤ] with [t]) </t>
  </si>
  <si>
    <t>devoicing (substitution of [ðˤ] with [θ]),</t>
  </si>
  <si>
    <t xml:space="preserve">devoicing(substitution of [d]with [d̥])  </t>
  </si>
  <si>
    <t>devoicing(substitution of [dˤ]with [tˤ])</t>
  </si>
  <si>
    <t>devoicing (substitution of [d͡ʒ]with [d͡ʒ̥ ])</t>
  </si>
  <si>
    <t>Epenthesis(insert diphthong [u:] between  consnant cluster)</t>
  </si>
  <si>
    <t>voicing (substitution of [tˤ] with [dˤ]),</t>
  </si>
  <si>
    <t>syllable structure process (consonant insertion of  [k] phone)</t>
  </si>
  <si>
    <t>gliding(substitution of [ʔ] with [w])</t>
  </si>
  <si>
    <t>stopping(substitution of [l] with [b])</t>
  </si>
  <si>
    <t>stopping(substitution of[ð] with [d]),</t>
  </si>
  <si>
    <t>Monophthongization</t>
  </si>
  <si>
    <t>vowelization(substitution of [j] with [i:])</t>
  </si>
  <si>
    <t>assimilation (the emphatic voiced stop [dˤ] changes to emphatic voiceless fricative [sˤ]  to become more similar to the nearby  voicless fricative [θ])</t>
  </si>
  <si>
    <t>d͡ʒ</t>
  </si>
  <si>
    <t>ر</t>
  </si>
  <si>
    <t>ل</t>
  </si>
  <si>
    <t>number of error</t>
  </si>
  <si>
    <t>total</t>
  </si>
  <si>
    <t>type of syllable structure error</t>
  </si>
  <si>
    <t>[ɻ]</t>
  </si>
  <si>
    <t>[b]</t>
  </si>
  <si>
    <t>[z]</t>
  </si>
  <si>
    <t>[t͡s]</t>
  </si>
  <si>
    <t>[ð]</t>
  </si>
  <si>
    <t>[s]</t>
  </si>
  <si>
    <t>[θ]</t>
  </si>
  <si>
    <t>[dˤ]</t>
  </si>
  <si>
    <t>[d]</t>
  </si>
  <si>
    <t>[kʰ]</t>
  </si>
  <si>
    <t>[d͡ʒ̥]</t>
  </si>
  <si>
    <t>[ʒ]</t>
  </si>
  <si>
    <t>[t͡ʃ]</t>
  </si>
  <si>
    <t>[g]</t>
  </si>
  <si>
    <t>[χ]</t>
  </si>
  <si>
    <t>[ʔ]</t>
  </si>
  <si>
    <t>[h]</t>
  </si>
  <si>
    <t>[ħ]</t>
  </si>
  <si>
    <t>[w]</t>
  </si>
  <si>
    <t>[v]</t>
  </si>
  <si>
    <t>[n]</t>
  </si>
  <si>
    <t>[p]</t>
  </si>
  <si>
    <t>[pʰ]</t>
  </si>
  <si>
    <t>[t]</t>
  </si>
  <si>
    <t>[tʰ]</t>
  </si>
  <si>
    <t>[d̥]</t>
  </si>
  <si>
    <t>[tˤ]</t>
  </si>
  <si>
    <t>[ʕ]</t>
  </si>
  <si>
    <t>[i:]</t>
  </si>
  <si>
    <t>[sˤ]</t>
  </si>
  <si>
    <t>percentage</t>
  </si>
  <si>
    <t>per</t>
  </si>
  <si>
    <t>l Total</t>
  </si>
  <si>
    <t>s Total</t>
  </si>
  <si>
    <t>z Total</t>
  </si>
  <si>
    <t>sˤ Total</t>
  </si>
  <si>
    <t>θ Total</t>
  </si>
  <si>
    <t>ðˤ Total</t>
  </si>
  <si>
    <t>ð Total</t>
  </si>
  <si>
    <t>k Total</t>
  </si>
  <si>
    <t>d͡ʒ Total</t>
  </si>
  <si>
    <t>q Total</t>
  </si>
  <si>
    <t>ʃ Total</t>
  </si>
  <si>
    <t>χ Total</t>
  </si>
  <si>
    <t>ɣ Total</t>
  </si>
  <si>
    <t>ʕ Total</t>
  </si>
  <si>
    <t>ħ Total</t>
  </si>
  <si>
    <t>h Total</t>
  </si>
  <si>
    <t>ʔ Total</t>
  </si>
  <si>
    <t>f Total</t>
  </si>
  <si>
    <t>n Total</t>
  </si>
  <si>
    <t>m Total</t>
  </si>
  <si>
    <t>b Total</t>
  </si>
  <si>
    <t>tˤ Total</t>
  </si>
  <si>
    <t>t Total</t>
  </si>
  <si>
    <t>d Total</t>
  </si>
  <si>
    <t>dˤ Total</t>
  </si>
  <si>
    <t>w Total</t>
  </si>
  <si>
    <t>j Total</t>
  </si>
  <si>
    <t>Grand Total</t>
  </si>
  <si>
    <t>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</si>
</sst>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sz val="15"/>
      <color rgb="FF000000"/>
      <name val="Segoe UI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2"/>
      <color theme="0"/>
      <name val="Arial"/>
      <family val="2"/>
    </font>
    <font>
      <b/>
      <sz val="11"/>
      <color rgb="FFFA7D00"/>
      <name val="Calibri"/>
      <family val="2"/>
      <scheme val="minor"/>
    </font>
    <font>
      <b/>
      <sz val="16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4" fillId="11" borderId="1" applyNumberFormat="0" applyAlignment="0" applyProtection="0"/>
  </cellStyleXfs>
  <cellXfs count="132">
    <xf numFmtId="0" fontId="0" fillId="0" borderId="0" xfId="0"/>
    <xf numFmtId="0" fontId="0" fillId="0" borderId="0" xfId="0" applyAlignment="1">
      <alignment wrapText="1"/>
    </xf>
    <xf numFmtId="0" fontId="4" fillId="4" borderId="2" xfId="3" applyBorder="1" applyAlignment="1">
      <alignment vertical="center" wrapText="1"/>
    </xf>
    <xf numFmtId="0" fontId="4" fillId="4" borderId="2" xfId="3" applyBorder="1" applyAlignment="1">
      <alignment vertical="center"/>
    </xf>
    <xf numFmtId="0" fontId="3" fillId="3" borderId="2" xfId="2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2" xfId="2" applyBorder="1" applyAlignment="1">
      <alignment vertical="center" wrapText="1"/>
    </xf>
    <xf numFmtId="0" fontId="3" fillId="3" borderId="2" xfId="2" applyBorder="1" applyAlignment="1">
      <alignment vertical="center"/>
    </xf>
    <xf numFmtId="0" fontId="2" fillId="2" borderId="2" xfId="1" applyBorder="1" applyAlignment="1">
      <alignment horizontal="center" vertical="center"/>
    </xf>
    <xf numFmtId="0" fontId="2" fillId="2" borderId="2" xfId="1" applyBorder="1" applyAlignment="1">
      <alignment wrapText="1"/>
    </xf>
    <xf numFmtId="0" fontId="2" fillId="2" borderId="2" xfId="1" applyBorder="1"/>
    <xf numFmtId="0" fontId="1" fillId="9" borderId="2" xfId="8" applyBorder="1" applyAlignment="1">
      <alignment wrapText="1"/>
    </xf>
    <xf numFmtId="0" fontId="1" fillId="9" borderId="2" xfId="8" applyBorder="1"/>
    <xf numFmtId="0" fontId="1" fillId="9" borderId="2" xfId="8" applyBorder="1" applyAlignment="1">
      <alignment vertical="center"/>
    </xf>
    <xf numFmtId="0" fontId="3" fillId="3" borderId="2" xfId="2" applyBorder="1" applyAlignment="1">
      <alignment wrapText="1"/>
    </xf>
    <xf numFmtId="0" fontId="3" fillId="3" borderId="2" xfId="2" applyBorder="1"/>
    <xf numFmtId="0" fontId="2" fillId="2" borderId="2" xfId="1" applyBorder="1" applyAlignment="1">
      <alignment vertical="center" wrapText="1"/>
    </xf>
    <xf numFmtId="0" fontId="2" fillId="2" borderId="2" xfId="1" applyBorder="1" applyAlignment="1">
      <alignment vertical="center"/>
    </xf>
    <xf numFmtId="0" fontId="5" fillId="4" borderId="2" xfId="3" applyFont="1" applyBorder="1" applyAlignment="1">
      <alignment vertical="center" wrapText="1"/>
    </xf>
    <xf numFmtId="0" fontId="5" fillId="4" borderId="2" xfId="3" applyFont="1" applyBorder="1" applyAlignment="1">
      <alignment vertical="center"/>
    </xf>
    <xf numFmtId="0" fontId="0" fillId="9" borderId="2" xfId="8" applyFont="1" applyBorder="1" applyAlignment="1">
      <alignment wrapText="1"/>
    </xf>
    <xf numFmtId="0" fontId="1" fillId="7" borderId="2" xfId="6" applyBorder="1" applyAlignment="1">
      <alignment vertical="center" wrapText="1"/>
    </xf>
    <xf numFmtId="0" fontId="1" fillId="7" borderId="2" xfId="6" applyBorder="1" applyAlignment="1">
      <alignment vertical="center"/>
    </xf>
    <xf numFmtId="0" fontId="1" fillId="5" borderId="2" xfId="4" applyBorder="1" applyAlignment="1">
      <alignment horizontal="center" vertical="center"/>
    </xf>
    <xf numFmtId="0" fontId="1" fillId="5" borderId="2" xfId="4" applyBorder="1" applyAlignment="1">
      <alignment vertical="center"/>
    </xf>
    <xf numFmtId="0" fontId="1" fillId="6" borderId="2" xfId="5" applyBorder="1" applyAlignment="1">
      <alignment vertical="center"/>
    </xf>
    <xf numFmtId="0" fontId="2" fillId="2" borderId="2" xfId="1" applyBorder="1" applyAlignment="1">
      <alignment horizontal="center" vertical="center" wrapText="1" readingOrder="2"/>
    </xf>
    <xf numFmtId="0" fontId="1" fillId="8" borderId="2" xfId="7" applyBorder="1" applyAlignment="1">
      <alignment vertical="center" wrapText="1"/>
    </xf>
    <xf numFmtId="0" fontId="1" fillId="8" borderId="2" xfId="7" applyBorder="1" applyAlignment="1">
      <alignment vertical="center"/>
    </xf>
    <xf numFmtId="0" fontId="0" fillId="7" borderId="2" xfId="6" applyFont="1" applyBorder="1" applyAlignment="1">
      <alignment vertical="center" wrapText="1"/>
    </xf>
    <xf numFmtId="0" fontId="1" fillId="10" borderId="2" xfId="9" applyBorder="1" applyAlignment="1">
      <alignment vertical="center"/>
    </xf>
    <xf numFmtId="0" fontId="0" fillId="0" borderId="2" xfId="0" applyBorder="1"/>
    <xf numFmtId="0" fontId="6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0" fillId="0" borderId="2" xfId="0" applyBorder="1" applyAlignment="1">
      <alignment wrapText="1"/>
    </xf>
    <xf numFmtId="0" fontId="3" fillId="3" borderId="2" xfId="2" applyBorder="1" applyAlignment="1">
      <alignment vertical="center" wrapText="1" readingOrder="2"/>
    </xf>
    <xf numFmtId="0" fontId="1" fillId="5" borderId="2" xfId="4" applyBorder="1" applyAlignment="1">
      <alignment horizontal="center" vertical="center" wrapText="1" readingOrder="2"/>
    </xf>
    <xf numFmtId="0" fontId="0" fillId="6" borderId="2" xfId="5" applyFont="1" applyBorder="1" applyAlignment="1">
      <alignment vertical="center" wrapText="1"/>
    </xf>
    <xf numFmtId="0" fontId="2" fillId="2" borderId="0" xfId="1"/>
    <xf numFmtId="0" fontId="14" fillId="11" borderId="1" xfId="10"/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4" fillId="11" borderId="2" xfId="10" applyBorder="1" applyAlignment="1">
      <alignment horizontal="center" vertical="center"/>
    </xf>
    <xf numFmtId="0" fontId="14" fillId="11" borderId="2" xfId="10" applyBorder="1" applyAlignment="1">
      <alignment horizontal="center" vertical="center" wrapText="1" readingOrder="2"/>
    </xf>
    <xf numFmtId="0" fontId="14" fillId="11" borderId="2" xfId="10" applyBorder="1" applyAlignment="1">
      <alignment vertical="center" wrapText="1"/>
    </xf>
    <xf numFmtId="0" fontId="14" fillId="11" borderId="2" xfId="10" applyBorder="1" applyAlignment="1">
      <alignment vertical="center"/>
    </xf>
    <xf numFmtId="0" fontId="15" fillId="12" borderId="2" xfId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2" fillId="0" borderId="2" xfId="0" applyFont="1" applyBorder="1"/>
    <xf numFmtId="0" fontId="3" fillId="3" borderId="2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0" fillId="7" borderId="2" xfId="6" applyFont="1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/>
    </xf>
    <xf numFmtId="0" fontId="0" fillId="6" borderId="2" xfId="5" applyFont="1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0" fillId="8" borderId="2" xfId="7" applyFont="1" applyBorder="1" applyAlignment="1">
      <alignment horizontal="center" vertical="center" wrapText="1" readingOrder="2"/>
    </xf>
    <xf numFmtId="0" fontId="1" fillId="7" borderId="2" xfId="6" applyBorder="1" applyAlignment="1">
      <alignment horizontal="center" vertical="center" wrapText="1" readingOrder="2"/>
    </xf>
    <xf numFmtId="0" fontId="0" fillId="9" borderId="2" xfId="8" applyFont="1" applyBorder="1" applyAlignment="1">
      <alignment horizontal="center" vertical="center" wrapText="1" readingOrder="2"/>
    </xf>
    <xf numFmtId="0" fontId="0" fillId="0" borderId="2" xfId="0" applyFont="1" applyBorder="1"/>
    <xf numFmtId="0" fontId="0" fillId="7" borderId="2" xfId="6" applyFont="1" applyBorder="1" applyAlignment="1">
      <alignment vertical="center"/>
    </xf>
    <xf numFmtId="10" fontId="11" fillId="0" borderId="2" xfId="0" applyNumberFormat="1" applyFont="1" applyBorder="1" applyAlignment="1">
      <alignment horizontal="center" vertical="center" wrapText="1"/>
    </xf>
    <xf numFmtId="10" fontId="4" fillId="4" borderId="2" xfId="3" applyNumberFormat="1" applyBorder="1" applyAlignment="1">
      <alignment vertical="center"/>
    </xf>
    <xf numFmtId="10" fontId="3" fillId="3" borderId="2" xfId="2" applyNumberFormat="1" applyBorder="1" applyAlignment="1">
      <alignment vertical="center"/>
    </xf>
    <xf numFmtId="10" fontId="2" fillId="2" borderId="2" xfId="1" applyNumberFormat="1" applyBorder="1"/>
    <xf numFmtId="10" fontId="1" fillId="9" borderId="2" xfId="8" applyNumberFormat="1" applyBorder="1"/>
    <xf numFmtId="10" fontId="3" fillId="3" borderId="2" xfId="2" applyNumberFormat="1" applyBorder="1"/>
    <xf numFmtId="10" fontId="2" fillId="2" borderId="2" xfId="1" applyNumberFormat="1" applyBorder="1" applyAlignment="1">
      <alignment vertical="center"/>
    </xf>
    <xf numFmtId="10" fontId="5" fillId="4" borderId="2" xfId="3" applyNumberFormat="1" applyFont="1" applyBorder="1" applyAlignment="1">
      <alignment vertical="center"/>
    </xf>
    <xf numFmtId="10" fontId="1" fillId="9" borderId="2" xfId="8" applyNumberFormat="1" applyBorder="1" applyAlignment="1">
      <alignment vertical="center"/>
    </xf>
    <xf numFmtId="10" fontId="14" fillId="11" borderId="2" xfId="10" applyNumberFormat="1" applyBorder="1" applyAlignment="1">
      <alignment vertical="center"/>
    </xf>
    <xf numFmtId="10" fontId="1" fillId="5" borderId="2" xfId="4" applyNumberFormat="1" applyBorder="1" applyAlignment="1">
      <alignment vertical="center"/>
    </xf>
    <xf numFmtId="10" fontId="1" fillId="6" borderId="2" xfId="5" applyNumberFormat="1" applyBorder="1" applyAlignment="1">
      <alignment vertical="center"/>
    </xf>
    <xf numFmtId="10" fontId="1" fillId="8" borderId="2" xfId="7" applyNumberFormat="1" applyBorder="1" applyAlignment="1">
      <alignment vertical="center"/>
    </xf>
    <xf numFmtId="10" fontId="1" fillId="7" borderId="2" xfId="6" applyNumberFormat="1" applyBorder="1" applyAlignment="1">
      <alignment vertical="center"/>
    </xf>
    <xf numFmtId="10" fontId="1" fillId="10" borderId="2" xfId="9" applyNumberFormat="1" applyBorder="1" applyAlignment="1">
      <alignment vertical="center"/>
    </xf>
    <xf numFmtId="10" fontId="0" fillId="0" borderId="2" xfId="0" applyNumberFormat="1" applyBorder="1"/>
    <xf numFmtId="10" fontId="0" fillId="0" borderId="0" xfId="0" applyNumberFormat="1" applyBorder="1"/>
    <xf numFmtId="10" fontId="0" fillId="0" borderId="3" xfId="0" applyNumberFormat="1" applyBorder="1"/>
    <xf numFmtId="0" fontId="0" fillId="9" borderId="2" xfId="8" applyFont="1" applyBorder="1" applyAlignment="1">
      <alignment vertical="center" wrapText="1"/>
    </xf>
    <xf numFmtId="0" fontId="0" fillId="5" borderId="2" xfId="4" applyFont="1" applyBorder="1" applyAlignment="1">
      <alignment vertical="center" wrapText="1"/>
    </xf>
    <xf numFmtId="10" fontId="15" fillId="12" borderId="2" xfId="1" applyNumberFormat="1" applyFont="1" applyFill="1" applyBorder="1" applyAlignment="1">
      <alignment horizontal="center" vertical="center" wrapText="1"/>
    </xf>
    <xf numFmtId="0" fontId="0" fillId="0" borderId="4" xfId="0" applyBorder="1"/>
    <xf numFmtId="10" fontId="15" fillId="12" borderId="4" xfId="1" applyNumberFormat="1" applyFont="1" applyFill="1" applyBorder="1" applyAlignment="1">
      <alignment horizontal="center" vertical="center" wrapText="1"/>
    </xf>
    <xf numFmtId="10" fontId="15" fillId="12" borderId="3" xfId="1" applyNumberFormat="1" applyFont="1" applyFill="1" applyBorder="1" applyAlignment="1">
      <alignment horizontal="center" vertical="center" wrapText="1"/>
    </xf>
    <xf numFmtId="0" fontId="0" fillId="13" borderId="0" xfId="0" applyFont="1" applyFill="1" applyBorder="1"/>
    <xf numFmtId="10" fontId="11" fillId="13" borderId="0" xfId="1" applyNumberFormat="1" applyFont="1" applyFill="1" applyBorder="1" applyAlignment="1">
      <alignment horizontal="center" vertical="center" wrapText="1"/>
    </xf>
    <xf numFmtId="0" fontId="15" fillId="12" borderId="5" xfId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0" fillId="9" borderId="2" xfId="8" applyFont="1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0" fillId="9" borderId="2" xfId="8" applyFont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 wrapText="1" readingOrder="2"/>
    </xf>
    <xf numFmtId="0" fontId="1" fillId="7" borderId="2" xfId="6" applyBorder="1" applyAlignment="1">
      <alignment horizontal="center" vertical="center" wrapText="1" readingOrder="2"/>
    </xf>
    <xf numFmtId="0" fontId="1" fillId="8" borderId="2" xfId="7" applyBorder="1" applyAlignment="1">
      <alignment horizontal="center" vertical="center"/>
    </xf>
    <xf numFmtId="0" fontId="0" fillId="8" borderId="2" xfId="7" applyFont="1" applyBorder="1" applyAlignment="1">
      <alignment horizontal="center" vertical="center" wrapText="1" readingOrder="2"/>
    </xf>
    <xf numFmtId="0" fontId="0" fillId="8" borderId="2" xfId="7" applyFont="1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0" fillId="6" borderId="2" xfId="5" applyFont="1" applyBorder="1" applyAlignment="1">
      <alignment horizontal="center" vertical="center" wrapText="1" readingOrder="2"/>
    </xf>
    <xf numFmtId="0" fontId="0" fillId="6" borderId="2" xfId="5" applyFont="1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0" fillId="7" borderId="2" xfId="6" applyFont="1" applyBorder="1" applyAlignment="1">
      <alignment horizontal="center" vertical="center" wrapText="1" readingOrder="2"/>
    </xf>
    <xf numFmtId="0" fontId="0" fillId="7" borderId="2" xfId="6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7" fillId="3" borderId="2" xfId="2" applyFont="1" applyBorder="1" applyAlignment="1">
      <alignment horizontal="center" vertical="center"/>
    </xf>
    <xf numFmtId="0" fontId="18" fillId="2" borderId="2" xfId="1" applyFont="1" applyBorder="1" applyAlignment="1">
      <alignment horizontal="center" vertical="center"/>
    </xf>
    <xf numFmtId="0" fontId="16" fillId="9" borderId="2" xfId="8" applyFont="1" applyBorder="1" applyAlignment="1">
      <alignment horizontal="center" vertical="center"/>
    </xf>
    <xf numFmtId="0" fontId="19" fillId="4" borderId="2" xfId="3" applyFont="1" applyBorder="1" applyAlignment="1">
      <alignment horizontal="center" vertical="center"/>
    </xf>
    <xf numFmtId="0" fontId="16" fillId="5" borderId="2" xfId="4" applyFont="1" applyBorder="1" applyAlignment="1">
      <alignment horizontal="center" vertical="center"/>
    </xf>
    <xf numFmtId="0" fontId="16" fillId="6" borderId="2" xfId="5" applyFont="1" applyBorder="1" applyAlignment="1">
      <alignment horizontal="center" vertical="center"/>
    </xf>
    <xf numFmtId="0" fontId="16" fillId="8" borderId="2" xfId="7" applyFont="1" applyBorder="1" applyAlignment="1">
      <alignment horizontal="center" vertical="center"/>
    </xf>
    <xf numFmtId="0" fontId="16" fillId="7" borderId="2" xfId="6" applyFont="1" applyBorder="1" applyAlignment="1">
      <alignment horizontal="center" vertical="center"/>
    </xf>
    <xf numFmtId="0" fontId="17" fillId="3" borderId="2" xfId="2" applyFont="1" applyBorder="1" applyAlignment="1">
      <alignment vertical="center"/>
    </xf>
    <xf numFmtId="0" fontId="16" fillId="0" borderId="2" xfId="0" applyFont="1" applyBorder="1"/>
  </cellXfs>
  <cellStyles count="11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Calculation" xfId="10" builtinId="22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[r]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</c:f>
              <c:strCache>
                <c:ptCount val="1"/>
                <c:pt idx="0">
                  <c:v>[ɻ]</c:v>
                </c:pt>
              </c:strCache>
            </c:strRef>
          </c:cat>
          <c:val>
            <c:numRef>
              <c:f>Sheet1!$G$2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B-46B6-B2DD-48ACB042A01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</c:f>
              <c:strCache>
                <c:ptCount val="1"/>
                <c:pt idx="0">
                  <c:v>[ɻ]</c:v>
                </c:pt>
              </c:strCache>
            </c:strRef>
          </c:cat>
          <c:val>
            <c:numRef>
              <c:f>Sheet1!$H$2</c:f>
              <c:numCache>
                <c:formatCode>0.00%</c:formatCode>
                <c:ptCount val="1"/>
                <c:pt idx="0">
                  <c:v>1.7543859649122806E-2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3B-46B6-B2DD-48ACB042A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6253279"/>
        <c:axId val="356250367"/>
      </c:barChart>
      <c:catAx>
        <c:axId val="35625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250367"/>
        <c:crosses val="autoZero"/>
        <c:auto val="1"/>
        <c:lblAlgn val="ctr"/>
        <c:lblOffset val="100"/>
        <c:noMultiLvlLbl val="0"/>
      </c:catAx>
      <c:valAx>
        <c:axId val="35625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2532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[l]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</c:f>
              <c:strCache>
                <c:ptCount val="1"/>
                <c:pt idx="0">
                  <c:v>[b]</c:v>
                </c:pt>
              </c:strCache>
            </c:strRef>
          </c:cat>
          <c:val>
            <c:numRef>
              <c:f>Sheet1!$G$4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6-4A28-81D5-8253F8FCCF3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</c:f>
              <c:strCache>
                <c:ptCount val="1"/>
                <c:pt idx="0">
                  <c:v>[b]</c:v>
                </c:pt>
              </c:strCache>
            </c:strRef>
          </c:cat>
          <c:val>
            <c:numRef>
              <c:f>Sheet1!$H$4</c:f>
              <c:numCache>
                <c:formatCode>0.00%</c:formatCode>
                <c:ptCount val="1"/>
                <c:pt idx="0">
                  <c:v>3.2154340836012861E-3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C6-4A28-81D5-8253F8FCC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9041567"/>
        <c:axId val="239041983"/>
      </c:barChart>
      <c:catAx>
        <c:axId val="23904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41983"/>
        <c:crosses val="autoZero"/>
        <c:auto val="1"/>
        <c:lblAlgn val="ctr"/>
        <c:lblOffset val="100"/>
        <c:noMultiLvlLbl val="0"/>
      </c:catAx>
      <c:valAx>
        <c:axId val="23904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415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Sheet1!$F$6:$F$7</c:f>
              <c:strCache>
                <c:ptCount val="2"/>
                <c:pt idx="0">
                  <c:v>[z]</c:v>
                </c:pt>
                <c:pt idx="1">
                  <c:v>[t͡s]</c:v>
                </c:pt>
              </c:strCache>
            </c:strRef>
          </c:cat>
          <c:val>
            <c:numRef>
              <c:f>Sheet1!$G$6:$G$7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0-48AF-88F9-18E2F39A9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552607"/>
        <c:axId val="43754303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Sheet1!$F$6:$F$7</c:f>
              <c:strCache>
                <c:ptCount val="2"/>
                <c:pt idx="0">
                  <c:v>[z]</c:v>
                </c:pt>
                <c:pt idx="1">
                  <c:v>[t͡s]</c:v>
                </c:pt>
              </c:strCache>
            </c:strRef>
          </c:cat>
          <c:val>
            <c:numRef>
              <c:f>Sheet1!$H$6:$H$7</c:f>
              <c:numCache>
                <c:formatCode>0.00%</c:formatCode>
                <c:ptCount val="2"/>
                <c:pt idx="0">
                  <c:v>7.9365079365079361E-3</c:v>
                </c:pt>
                <c:pt idx="1">
                  <c:v>7.9365079365079361E-3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A0-48AF-88F9-18E2F39A9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7540543"/>
        <c:axId val="437540127"/>
      </c:lineChart>
      <c:catAx>
        <c:axId val="43755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543039"/>
        <c:crosses val="autoZero"/>
        <c:auto val="1"/>
        <c:lblAlgn val="ctr"/>
        <c:lblOffset val="100"/>
        <c:noMultiLvlLbl val="0"/>
      </c:catAx>
      <c:valAx>
        <c:axId val="43754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552607"/>
        <c:crosses val="autoZero"/>
        <c:crossBetween val="between"/>
      </c:valAx>
      <c:valAx>
        <c:axId val="43754012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540543"/>
        <c:crosses val="max"/>
        <c:crossBetween val="between"/>
      </c:valAx>
      <c:catAx>
        <c:axId val="437540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754012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[z]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Sheet1!$F$9</c:f>
              <c:strCache>
                <c:ptCount val="1"/>
                <c:pt idx="0">
                  <c:v>[ð]</c:v>
                </c:pt>
              </c:strCache>
            </c:strRef>
          </c:cat>
          <c:val>
            <c:numRef>
              <c:f>Sheet1!$G$9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5-4242-85AD-8EF6C211AAB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Sheet1!$F$9</c:f>
              <c:strCache>
                <c:ptCount val="1"/>
                <c:pt idx="0">
                  <c:v>[ð]</c:v>
                </c:pt>
              </c:strCache>
            </c:strRef>
          </c:cat>
          <c:val>
            <c:numRef>
              <c:f>Sheet1!$H$9</c:f>
              <c:numCache>
                <c:formatCode>0.00%</c:formatCode>
                <c:ptCount val="1"/>
                <c:pt idx="0">
                  <c:v>4.1666666666666664E-2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65-4242-85AD-8EF6C211A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457119"/>
        <c:axId val="247458367"/>
      </c:barChart>
      <c:catAx>
        <c:axId val="24745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58367"/>
        <c:crosses val="autoZero"/>
        <c:auto val="1"/>
        <c:lblAlgn val="ctr"/>
        <c:lblOffset val="100"/>
        <c:noMultiLvlLbl val="0"/>
      </c:catAx>
      <c:valAx>
        <c:axId val="24745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57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[sˤ]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Sheet1!$F$11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Sheet1!$G$11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E1-489E-9355-A11274C0BC3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Sheet1!$F$11</c:f>
              <c:strCache>
                <c:ptCount val="1"/>
                <c:pt idx="0">
                  <c:v>[s]</c:v>
                </c:pt>
              </c:strCache>
            </c:strRef>
          </c:cat>
          <c:val>
            <c:numRef>
              <c:f>Sheet1!$H$11</c:f>
              <c:numCache>
                <c:formatCode>0.00%</c:formatCode>
                <c:ptCount val="1"/>
                <c:pt idx="0">
                  <c:v>7.0175438596491224E-2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E1-489E-9355-A11274C0B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540959"/>
        <c:axId val="437553023"/>
      </c:barChart>
      <c:catAx>
        <c:axId val="43754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553023"/>
        <c:crosses val="autoZero"/>
        <c:auto val="1"/>
        <c:lblAlgn val="ctr"/>
        <c:lblOffset val="100"/>
        <c:noMultiLvlLbl val="0"/>
      </c:catAx>
      <c:valAx>
        <c:axId val="43755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5409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[ðˤ]</a:t>
            </a:r>
          </a:p>
        </c:rich>
      </c:tx>
      <c:layout>
        <c:manualLayout>
          <c:xMode val="edge"/>
          <c:yMode val="edge"/>
          <c:x val="0.44880337428638534"/>
          <c:y val="1.5549078360008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Sheet1!$E$15:$F$18</c15:sqref>
                  </c15:fullRef>
                  <c15:levelRef>
                    <c15:sqref>Sheet1!$E$15:$E$18</c15:sqref>
                  </c15:levelRef>
                </c:ext>
              </c:extLst>
              <c:f>Sheet1!$E$15:$E$18</c:f>
              <c:strCache>
                <c:ptCount val="4"/>
                <c:pt idx="0">
                  <c:v> depharyngealization(substitution of [ðˤ] with [ð]), </c:v>
                </c:pt>
                <c:pt idx="1">
                  <c:v>devoicing (substitution of [ðˤ] with [θ]),</c:v>
                </c:pt>
                <c:pt idx="2">
                  <c:v>stopping(substitution of[ðˤ] with [dˤ]),</c:v>
                </c:pt>
                <c:pt idx="3">
                  <c:v>depharyngealization and deinterdentalization substitution of[ðˤ] with [z])</c:v>
                </c:pt>
              </c:strCache>
            </c:strRef>
          </c:cat>
          <c:val>
            <c:numRef>
              <c:f>Sheet1!$G$15:$G$18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4-4F03-B143-F86F65A69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467519"/>
        <c:axId val="24746835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Sheet1!$E$15:$F$18</c15:sqref>
                  </c15:fullRef>
                  <c15:levelRef>
                    <c15:sqref>Sheet1!$E$15:$E$18</c15:sqref>
                  </c15:levelRef>
                </c:ext>
              </c:extLst>
              <c:f>Sheet1!$E$15:$E$18</c:f>
              <c:strCache>
                <c:ptCount val="4"/>
                <c:pt idx="0">
                  <c:v> depharyngealization(substitution of [ðˤ] with [ð]), </c:v>
                </c:pt>
                <c:pt idx="1">
                  <c:v>devoicing (substitution of [ðˤ] with [θ]),</c:v>
                </c:pt>
                <c:pt idx="2">
                  <c:v>stopping(substitution of[ðˤ] with [dˤ]),</c:v>
                </c:pt>
                <c:pt idx="3">
                  <c:v>depharyngealization and deinterdentalization substitution of[ðˤ] with [z])</c:v>
                </c:pt>
              </c:strCache>
            </c:strRef>
          </c:cat>
          <c:val>
            <c:numRef>
              <c:f>Sheet1!$H$15:$H$18</c:f>
              <c:numCache>
                <c:formatCode>0.00%</c:formatCode>
                <c:ptCount val="4"/>
                <c:pt idx="0">
                  <c:v>0.10526315789473684</c:v>
                </c:pt>
                <c:pt idx="1">
                  <c:v>5.2631578947368418E-2</c:v>
                </c:pt>
                <c:pt idx="2">
                  <c:v>5.2631578947368418E-2</c:v>
                </c:pt>
                <c:pt idx="3">
                  <c:v>5.2631578947368418E-2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F4-4F03-B143-F86F65A69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469599"/>
        <c:axId val="247469183"/>
      </c:lineChart>
      <c:catAx>
        <c:axId val="24746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68351"/>
        <c:crosses val="autoZero"/>
        <c:auto val="1"/>
        <c:lblAlgn val="ctr"/>
        <c:lblOffset val="100"/>
        <c:noMultiLvlLbl val="0"/>
      </c:catAx>
      <c:valAx>
        <c:axId val="24746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67519"/>
        <c:crosses val="autoZero"/>
        <c:crossBetween val="between"/>
      </c:valAx>
      <c:valAx>
        <c:axId val="24746918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69599"/>
        <c:crosses val="max"/>
        <c:crossBetween val="between"/>
      </c:valAx>
      <c:catAx>
        <c:axId val="2474695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4746918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[θ]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Sheet1!$F$13</c:f>
              <c:strCache>
                <c:ptCount val="1"/>
                <c:pt idx="0">
                  <c:v>[ð]</c:v>
                </c:pt>
              </c:strCache>
            </c:strRef>
          </c:cat>
          <c:val>
            <c:numRef>
              <c:f>Sheet1!$G$13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A-4E50-96A1-5B267388C0A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Sheet1!$F$13</c:f>
              <c:strCache>
                <c:ptCount val="1"/>
                <c:pt idx="0">
                  <c:v>[ð]</c:v>
                </c:pt>
              </c:strCache>
            </c:strRef>
          </c:cat>
          <c:val>
            <c:numRef>
              <c:f>Sheet1!$H$13</c:f>
              <c:numCache>
                <c:formatCode>0.00%</c:formatCode>
                <c:ptCount val="1"/>
                <c:pt idx="0">
                  <c:v>3.5714285714285712E-2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AA-4E50-96A1-5B267388C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459615"/>
        <c:axId val="247457951"/>
      </c:barChart>
      <c:catAx>
        <c:axId val="24745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57951"/>
        <c:crosses val="autoZero"/>
        <c:auto val="1"/>
        <c:lblAlgn val="ctr"/>
        <c:lblOffset val="100"/>
        <c:noMultiLvlLbl val="0"/>
      </c:catAx>
      <c:valAx>
        <c:axId val="24745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596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[ð]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Sheet1!$F$20:$F$21</c:f>
              <c:strCache>
                <c:ptCount val="2"/>
                <c:pt idx="0">
                  <c:v>[s]</c:v>
                </c:pt>
                <c:pt idx="1">
                  <c:v>[d]</c:v>
                </c:pt>
              </c:strCache>
            </c:strRef>
          </c:cat>
          <c:val>
            <c:numRef>
              <c:f>Sheet1!$G$20:$G$21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6-4A75-8394-39781B2F1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539295"/>
        <c:axId val="437541791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Sheet1!$F$20:$F$21</c:f>
              <c:strCache>
                <c:ptCount val="2"/>
                <c:pt idx="0">
                  <c:v>[s]</c:v>
                </c:pt>
                <c:pt idx="1">
                  <c:v>[d]</c:v>
                </c:pt>
              </c:strCache>
            </c:strRef>
          </c:cat>
          <c:val>
            <c:numRef>
              <c:f>Sheet1!$H$20:$H$21</c:f>
              <c:numCache>
                <c:formatCode>0.00%</c:formatCode>
                <c:ptCount val="2"/>
                <c:pt idx="0">
                  <c:v>5.4054054054054057E-2</c:v>
                </c:pt>
                <c:pt idx="1">
                  <c:v>2.7027027027027029E-2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96-4A75-8394-39781B2F1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7542623"/>
        <c:axId val="437548031"/>
      </c:lineChart>
      <c:catAx>
        <c:axId val="43753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541791"/>
        <c:crosses val="autoZero"/>
        <c:auto val="1"/>
        <c:lblAlgn val="ctr"/>
        <c:lblOffset val="100"/>
        <c:noMultiLvlLbl val="0"/>
      </c:catAx>
      <c:valAx>
        <c:axId val="43754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539295"/>
        <c:crosses val="autoZero"/>
        <c:crossBetween val="between"/>
      </c:valAx>
      <c:valAx>
        <c:axId val="43754803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542623"/>
        <c:crosses val="max"/>
        <c:crossBetween val="between"/>
      </c:valAx>
      <c:catAx>
        <c:axId val="4375426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754803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[k]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Sheet1!$F$23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Sheet1!$G$23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A-4EA9-9CAE-EFF96B9F572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Sheet1!$F$23</c:f>
              <c:strCache>
                <c:ptCount val="1"/>
                <c:pt idx="0">
                  <c:v>[kʰ]</c:v>
                </c:pt>
              </c:strCache>
            </c:strRef>
          </c:cat>
          <c:val>
            <c:numRef>
              <c:f>Sheet1!$H$23</c:f>
              <c:numCache>
                <c:formatCode>0.00%</c:formatCode>
                <c:ptCount val="1"/>
                <c:pt idx="0">
                  <c:v>0.20238095238095238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3A-4EA9-9CAE-EFF96B9F5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6248287"/>
        <c:axId val="356253695"/>
      </c:barChart>
      <c:catAx>
        <c:axId val="35624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253695"/>
        <c:crosses val="autoZero"/>
        <c:auto val="1"/>
        <c:lblAlgn val="ctr"/>
        <c:lblOffset val="100"/>
        <c:noMultiLvlLbl val="0"/>
      </c:catAx>
      <c:valAx>
        <c:axId val="35625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2482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[d͡ʒ]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Sheet1!$F$25:$F$27</c:f>
              <c:strCache>
                <c:ptCount val="3"/>
                <c:pt idx="0">
                  <c:v>[d͡ʒ̥]</c:v>
                </c:pt>
                <c:pt idx="1">
                  <c:v>[ʒ]</c:v>
                </c:pt>
                <c:pt idx="2">
                  <c:v>[t͡ʃ]</c:v>
                </c:pt>
              </c:strCache>
            </c:strRef>
          </c:cat>
          <c:val>
            <c:numRef>
              <c:f>Sheet1!$G$25:$G$27</c:f>
              <c:numCache>
                <c:formatCode>General</c:formatCode>
                <c:ptCount val="3"/>
                <c:pt idx="0">
                  <c:v>9</c:v>
                </c:pt>
                <c:pt idx="1">
                  <c:v>7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9F-41B7-9107-807FE96B0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535055"/>
        <c:axId val="441538799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Sheet1!$F$25:$F$27</c:f>
              <c:strCache>
                <c:ptCount val="3"/>
                <c:pt idx="0">
                  <c:v>[d͡ʒ̥]</c:v>
                </c:pt>
                <c:pt idx="1">
                  <c:v>[ʒ]</c:v>
                </c:pt>
                <c:pt idx="2">
                  <c:v>[t͡ʃ]</c:v>
                </c:pt>
              </c:strCache>
            </c:strRef>
          </c:cat>
          <c:val>
            <c:numRef>
              <c:f>Sheet1!$H$25:$H$27</c:f>
              <c:numCache>
                <c:formatCode>0.00%</c:formatCode>
                <c:ptCount val="3"/>
                <c:pt idx="0">
                  <c:v>0.12328767123287671</c:v>
                </c:pt>
                <c:pt idx="1">
                  <c:v>9.5890410958904104E-2</c:v>
                </c:pt>
                <c:pt idx="2">
                  <c:v>8.2191780821917804E-2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9F-41B7-9107-807FE96B0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532559"/>
        <c:axId val="441524239"/>
      </c:lineChart>
      <c:catAx>
        <c:axId val="44153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38799"/>
        <c:crosses val="autoZero"/>
        <c:auto val="1"/>
        <c:lblAlgn val="ctr"/>
        <c:lblOffset val="100"/>
        <c:noMultiLvlLbl val="0"/>
      </c:catAx>
      <c:valAx>
        <c:axId val="44153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35055"/>
        <c:crosses val="autoZero"/>
        <c:crossBetween val="between"/>
      </c:valAx>
      <c:valAx>
        <c:axId val="44152423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32559"/>
        <c:crosses val="max"/>
        <c:crossBetween val="between"/>
      </c:valAx>
      <c:catAx>
        <c:axId val="4415325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152423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[q]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Sheet1!$F$29</c:f>
              <c:strCache>
                <c:ptCount val="1"/>
                <c:pt idx="0">
                  <c:v>[g]</c:v>
                </c:pt>
              </c:strCache>
            </c:strRef>
          </c:cat>
          <c:val>
            <c:numRef>
              <c:f>Sheet1!$G$29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F-4677-9F0B-9E455443B73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Sheet1!$F$29</c:f>
              <c:strCache>
                <c:ptCount val="1"/>
                <c:pt idx="0">
                  <c:v>[g]</c:v>
                </c:pt>
              </c:strCache>
            </c:strRef>
          </c:cat>
          <c:val>
            <c:numRef>
              <c:f>Sheet1!$H$29</c:f>
              <c:numCache>
                <c:formatCode>0.00%</c:formatCode>
                <c:ptCount val="1"/>
                <c:pt idx="0">
                  <c:v>0.41379310344827586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0F-4677-9F0B-9E455443B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6246207"/>
        <c:axId val="356257855"/>
      </c:barChart>
      <c:catAx>
        <c:axId val="35624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257855"/>
        <c:crosses val="autoZero"/>
        <c:auto val="1"/>
        <c:lblAlgn val="ctr"/>
        <c:lblOffset val="100"/>
        <c:noMultiLvlLbl val="0"/>
      </c:catAx>
      <c:valAx>
        <c:axId val="35625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2462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[ɣ]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Sheet1!$F$35</c:f>
              <c:strCache>
                <c:ptCount val="1"/>
                <c:pt idx="0">
                  <c:v>[χ]</c:v>
                </c:pt>
              </c:strCache>
            </c:strRef>
          </c:cat>
          <c:val>
            <c:numRef>
              <c:f>Sheet1!$G$35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5-4F5A-A30A-5CBE641BF0B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Sheet1!$F$35</c:f>
              <c:strCache>
                <c:ptCount val="1"/>
                <c:pt idx="0">
                  <c:v>[χ]</c:v>
                </c:pt>
              </c:strCache>
            </c:strRef>
          </c:cat>
          <c:val>
            <c:numRef>
              <c:f>Sheet1!$H$35</c:f>
              <c:numCache>
                <c:formatCode>0.00%</c:formatCode>
                <c:ptCount val="1"/>
                <c:pt idx="0">
                  <c:v>0.13953488372093023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85-4F5A-A30A-5CBE641BF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6247039"/>
        <c:axId val="356249951"/>
      </c:barChart>
      <c:catAx>
        <c:axId val="356247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249951"/>
        <c:crosses val="autoZero"/>
        <c:auto val="1"/>
        <c:lblAlgn val="ctr"/>
        <c:lblOffset val="100"/>
        <c:noMultiLvlLbl val="0"/>
      </c:catAx>
      <c:valAx>
        <c:axId val="35624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24703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[ʕ]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Sheet1!$F$37</c:f>
              <c:strCache>
                <c:ptCount val="1"/>
                <c:pt idx="0">
                  <c:v>[ʔ]</c:v>
                </c:pt>
              </c:strCache>
            </c:strRef>
          </c:cat>
          <c:val>
            <c:numRef>
              <c:f>Sheet1!$G$37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7-4DED-8AE5-66E42861771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Sheet1!$F$37</c:f>
              <c:strCache>
                <c:ptCount val="1"/>
                <c:pt idx="0">
                  <c:v>[ʔ]</c:v>
                </c:pt>
              </c:strCache>
            </c:strRef>
          </c:cat>
          <c:val>
            <c:numRef>
              <c:f>Sheet1!$H$37</c:f>
              <c:numCache>
                <c:formatCode>0.00%</c:formatCode>
                <c:ptCount val="1"/>
                <c:pt idx="0">
                  <c:v>5.4054054054054057E-2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77-4DED-8AE5-66E428617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547199"/>
        <c:axId val="437544287"/>
      </c:barChart>
      <c:catAx>
        <c:axId val="43754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544287"/>
        <c:crosses val="autoZero"/>
        <c:auto val="1"/>
        <c:lblAlgn val="ctr"/>
        <c:lblOffset val="100"/>
        <c:noMultiLvlLbl val="0"/>
      </c:catAx>
      <c:valAx>
        <c:axId val="43754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5471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[ħ]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Sheet1!$F$39:$F$40</c:f>
              <c:strCache>
                <c:ptCount val="2"/>
                <c:pt idx="0">
                  <c:v>[h]</c:v>
                </c:pt>
                <c:pt idx="1">
                  <c:v>[χ]</c:v>
                </c:pt>
              </c:strCache>
            </c:strRef>
          </c:cat>
          <c:val>
            <c:numRef>
              <c:f>Sheet1!$G$39:$G$40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61-4FDE-9720-ED962F0E2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549279"/>
        <c:axId val="43754636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Sheet1!$F$39:$F$40</c:f>
              <c:strCache>
                <c:ptCount val="2"/>
                <c:pt idx="0">
                  <c:v>[h]</c:v>
                </c:pt>
                <c:pt idx="1">
                  <c:v>[χ]</c:v>
                </c:pt>
              </c:strCache>
            </c:strRef>
          </c:cat>
          <c:val>
            <c:numRef>
              <c:f>Sheet1!$H$39:$H$40</c:f>
              <c:numCache>
                <c:formatCode>0.00%</c:formatCode>
                <c:ptCount val="2"/>
                <c:pt idx="0">
                  <c:v>3.8461538461538464E-2</c:v>
                </c:pt>
                <c:pt idx="1">
                  <c:v>1.282051282051282E-2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61-4FDE-9720-ED962F0E2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7550111"/>
        <c:axId val="437552191"/>
      </c:lineChart>
      <c:catAx>
        <c:axId val="43754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546367"/>
        <c:crosses val="autoZero"/>
        <c:auto val="1"/>
        <c:lblAlgn val="ctr"/>
        <c:lblOffset val="100"/>
        <c:noMultiLvlLbl val="0"/>
      </c:catAx>
      <c:valAx>
        <c:axId val="43754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549279"/>
        <c:crosses val="autoZero"/>
        <c:crossBetween val="between"/>
      </c:valAx>
      <c:valAx>
        <c:axId val="437552191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550111"/>
        <c:crosses val="max"/>
        <c:crossBetween val="between"/>
      </c:valAx>
      <c:catAx>
        <c:axId val="4375501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755219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[h]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Sheet1!$F$42</c:f>
              <c:strCache>
                <c:ptCount val="1"/>
                <c:pt idx="0">
                  <c:v>[ħ]</c:v>
                </c:pt>
              </c:strCache>
            </c:strRef>
          </c:cat>
          <c:val>
            <c:numRef>
              <c:f>Sheet1!$G$42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F-4017-A92A-9079C6B293A9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Sheet1!$F$42</c:f>
              <c:strCache>
                <c:ptCount val="1"/>
                <c:pt idx="0">
                  <c:v>[ħ]</c:v>
                </c:pt>
              </c:strCache>
            </c:strRef>
          </c:cat>
          <c:val>
            <c:numRef>
              <c:f>Sheet1!$H$42</c:f>
              <c:numCache>
                <c:formatCode>0.00%</c:formatCode>
                <c:ptCount val="1"/>
                <c:pt idx="0">
                  <c:v>0.22077922077922077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7F-4017-A92A-9079C6B29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465855"/>
        <c:axId val="247467103"/>
      </c:barChart>
      <c:catAx>
        <c:axId val="24746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67103"/>
        <c:crosses val="autoZero"/>
        <c:auto val="1"/>
        <c:lblAlgn val="ctr"/>
        <c:lblOffset val="100"/>
        <c:noMultiLvlLbl val="0"/>
      </c:catAx>
      <c:valAx>
        <c:axId val="24746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658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[ʔ]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Sheet1!$F$44</c:f>
              <c:strCache>
                <c:ptCount val="1"/>
                <c:pt idx="0">
                  <c:v>[w]</c:v>
                </c:pt>
              </c:strCache>
            </c:strRef>
          </c:cat>
          <c:val>
            <c:numRef>
              <c:f>Sheet1!$G$44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B-4761-9D96-8A78BDCAACC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Sheet1!$F$44</c:f>
              <c:strCache>
                <c:ptCount val="1"/>
                <c:pt idx="0">
                  <c:v>[w]</c:v>
                </c:pt>
              </c:strCache>
            </c:strRef>
          </c:cat>
          <c:val>
            <c:numRef>
              <c:f>Sheet1!$H$44</c:f>
              <c:numCache>
                <c:formatCode>0.00%</c:formatCode>
                <c:ptCount val="1"/>
                <c:pt idx="0">
                  <c:v>4.6296296296296294E-3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8B-4761-9D96-8A78BDCAA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545119"/>
        <c:axId val="437548863"/>
      </c:barChart>
      <c:catAx>
        <c:axId val="43754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548863"/>
        <c:crosses val="autoZero"/>
        <c:auto val="1"/>
        <c:lblAlgn val="ctr"/>
        <c:lblOffset val="100"/>
        <c:noMultiLvlLbl val="0"/>
      </c:catAx>
      <c:valAx>
        <c:axId val="43754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545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[f]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Sheet1!$F$46</c:f>
              <c:strCache>
                <c:ptCount val="1"/>
                <c:pt idx="0">
                  <c:v>[v]</c:v>
                </c:pt>
              </c:strCache>
            </c:strRef>
          </c:cat>
          <c:val>
            <c:numRef>
              <c:f>Sheet1!$G$46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5-473A-9EE6-4993188B8B8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Sheet1!$F$46</c:f>
              <c:strCache>
                <c:ptCount val="1"/>
                <c:pt idx="0">
                  <c:v>[v]</c:v>
                </c:pt>
              </c:strCache>
            </c:strRef>
          </c:cat>
          <c:val>
            <c:numRef>
              <c:f>Sheet1!$H$46</c:f>
              <c:numCache>
                <c:formatCode>0.00%</c:formatCode>
                <c:ptCount val="1"/>
                <c:pt idx="0">
                  <c:v>7.6923076923076927E-3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05-473A-9EE6-4993188B8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550943"/>
        <c:axId val="437551775"/>
      </c:barChart>
      <c:catAx>
        <c:axId val="43755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551775"/>
        <c:crosses val="autoZero"/>
        <c:auto val="1"/>
        <c:lblAlgn val="ctr"/>
        <c:lblOffset val="100"/>
        <c:noMultiLvlLbl val="0"/>
      </c:catAx>
      <c:valAx>
        <c:axId val="43755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5509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[m]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Sheet1!$F$50</c:f>
              <c:strCache>
                <c:ptCount val="1"/>
                <c:pt idx="0">
                  <c:v>[n]</c:v>
                </c:pt>
              </c:strCache>
            </c:strRef>
          </c:cat>
          <c:val>
            <c:numRef>
              <c:f>Sheet1!$G$50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14-44CF-AF1C-11874599411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Sheet1!$F$50</c:f>
              <c:strCache>
                <c:ptCount val="1"/>
                <c:pt idx="0">
                  <c:v>[n]</c:v>
                </c:pt>
              </c:strCache>
            </c:strRef>
          </c:cat>
          <c:val>
            <c:numRef>
              <c:f>Sheet1!$H$50</c:f>
              <c:numCache>
                <c:formatCode>0.00%</c:formatCode>
                <c:ptCount val="1"/>
                <c:pt idx="0">
                  <c:v>4.7619047619047623E-3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14-44CF-AF1C-118745994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456287"/>
        <c:axId val="247456703"/>
      </c:barChart>
      <c:catAx>
        <c:axId val="24745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56703"/>
        <c:crosses val="autoZero"/>
        <c:auto val="1"/>
        <c:lblAlgn val="ctr"/>
        <c:lblOffset val="100"/>
        <c:noMultiLvlLbl val="0"/>
      </c:catAx>
      <c:valAx>
        <c:axId val="24745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562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[b]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Sheet1!$F$52:$F$53</c:f>
              <c:strCache>
                <c:ptCount val="2"/>
                <c:pt idx="0">
                  <c:v>[pʰ]</c:v>
                </c:pt>
                <c:pt idx="1">
                  <c:v>[p]</c:v>
                </c:pt>
              </c:strCache>
            </c:strRef>
          </c:cat>
          <c:val>
            <c:numRef>
              <c:f>Sheet1!$G$52:$G$53</c:f>
              <c:numCache>
                <c:formatCode>General</c:formatCode>
                <c:ptCount val="2"/>
                <c:pt idx="0">
                  <c:v>16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F-4B91-9835-DECBC21D8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174031"/>
        <c:axId val="40517444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Sheet1!$F$52:$F$53</c:f>
              <c:strCache>
                <c:ptCount val="2"/>
                <c:pt idx="0">
                  <c:v>[pʰ]</c:v>
                </c:pt>
                <c:pt idx="1">
                  <c:v>[p]</c:v>
                </c:pt>
              </c:strCache>
            </c:strRef>
          </c:cat>
          <c:val>
            <c:numRef>
              <c:f>Sheet1!$H$52:$H$53</c:f>
              <c:numCache>
                <c:formatCode>0.00%</c:formatCode>
                <c:ptCount val="2"/>
                <c:pt idx="0">
                  <c:v>9.696969696969697E-2</c:v>
                </c:pt>
                <c:pt idx="1">
                  <c:v>4.2424242424242427E-2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FF-4B91-9835-DECBC21D8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181519"/>
        <c:axId val="405181103"/>
      </c:lineChart>
      <c:catAx>
        <c:axId val="40517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174447"/>
        <c:crosses val="autoZero"/>
        <c:auto val="1"/>
        <c:lblAlgn val="ctr"/>
        <c:lblOffset val="100"/>
        <c:noMultiLvlLbl val="0"/>
      </c:catAx>
      <c:valAx>
        <c:axId val="40517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174031"/>
        <c:crosses val="autoZero"/>
        <c:crossBetween val="between"/>
      </c:valAx>
      <c:valAx>
        <c:axId val="40518110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181519"/>
        <c:crosses val="max"/>
        <c:crossBetween val="between"/>
      </c:valAx>
      <c:catAx>
        <c:axId val="405181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05181103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Sheet1!$F$55:$F$58</c:f>
              <c:strCache>
                <c:ptCount val="4"/>
                <c:pt idx="0">
                  <c:v>[t]</c:v>
                </c:pt>
                <c:pt idx="1">
                  <c:v>[tʰ]</c:v>
                </c:pt>
                <c:pt idx="2">
                  <c:v>[d]</c:v>
                </c:pt>
                <c:pt idx="3">
                  <c:v>[dˤ]</c:v>
                </c:pt>
              </c:strCache>
            </c:strRef>
          </c:cat>
          <c:val>
            <c:numRef>
              <c:f>Sheet1!$G$55:$G$58</c:f>
              <c:numCache>
                <c:formatCode>General</c:formatCode>
                <c:ptCount val="4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C7-40B2-9C24-67815108E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523407"/>
        <c:axId val="44152548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Sheet1!$F$55:$F$58</c:f>
              <c:strCache>
                <c:ptCount val="4"/>
                <c:pt idx="0">
                  <c:v>[t]</c:v>
                </c:pt>
                <c:pt idx="1">
                  <c:v>[tʰ]</c:v>
                </c:pt>
                <c:pt idx="2">
                  <c:v>[d]</c:v>
                </c:pt>
                <c:pt idx="3">
                  <c:v>[dˤ]</c:v>
                </c:pt>
              </c:strCache>
            </c:strRef>
          </c:cat>
          <c:val>
            <c:numRef>
              <c:f>Sheet1!$H$55:$H$58</c:f>
              <c:numCache>
                <c:formatCode>0.00%</c:formatCode>
                <c:ptCount val="4"/>
                <c:pt idx="0">
                  <c:v>9.2592592592592587E-2</c:v>
                </c:pt>
                <c:pt idx="1">
                  <c:v>1.8518518518518517E-2</c:v>
                </c:pt>
                <c:pt idx="2">
                  <c:v>1.8518518518518517E-2</c:v>
                </c:pt>
                <c:pt idx="3">
                  <c:v>1.8518518518518517E-2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C7-40B2-9C24-67815108E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527567"/>
        <c:axId val="441537135"/>
      </c:lineChart>
      <c:catAx>
        <c:axId val="44152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25487"/>
        <c:crosses val="autoZero"/>
        <c:auto val="1"/>
        <c:lblAlgn val="ctr"/>
        <c:lblOffset val="100"/>
        <c:noMultiLvlLbl val="0"/>
      </c:catAx>
      <c:valAx>
        <c:axId val="44152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23407"/>
        <c:crosses val="autoZero"/>
        <c:crossBetween val="between"/>
      </c:valAx>
      <c:valAx>
        <c:axId val="44153713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27567"/>
        <c:crosses val="max"/>
        <c:crossBetween val="between"/>
      </c:valAx>
      <c:catAx>
        <c:axId val="4415275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153713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[t]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Sheet1!$F$60:$F$62</c:f>
              <c:strCache>
                <c:ptCount val="3"/>
                <c:pt idx="0">
                  <c:v>[tʰ]</c:v>
                </c:pt>
                <c:pt idx="1">
                  <c:v>[t͡s]</c:v>
                </c:pt>
                <c:pt idx="2">
                  <c:v>[d]</c:v>
                </c:pt>
              </c:strCache>
            </c:strRef>
          </c:cat>
          <c:val>
            <c:numRef>
              <c:f>Sheet1!$G$60:$G$62</c:f>
              <c:numCache>
                <c:formatCode>General</c:formatCode>
                <c:ptCount val="3"/>
                <c:pt idx="0">
                  <c:v>59</c:v>
                </c:pt>
                <c:pt idx="1">
                  <c:v>15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6-479F-B389-215AB50A2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460031"/>
        <c:axId val="247455455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Sheet1!$F$60:$F$62</c:f>
              <c:strCache>
                <c:ptCount val="3"/>
                <c:pt idx="0">
                  <c:v>[tʰ]</c:v>
                </c:pt>
                <c:pt idx="1">
                  <c:v>[t͡s]</c:v>
                </c:pt>
                <c:pt idx="2">
                  <c:v>[d]</c:v>
                </c:pt>
              </c:strCache>
            </c:strRef>
          </c:cat>
          <c:val>
            <c:numRef>
              <c:f>Sheet1!$H$60:$H$62</c:f>
              <c:numCache>
                <c:formatCode>0.00%</c:formatCode>
                <c:ptCount val="3"/>
                <c:pt idx="0">
                  <c:v>0.39597315436241609</c:v>
                </c:pt>
                <c:pt idx="1">
                  <c:v>0.10067114093959731</c:v>
                </c:pt>
                <c:pt idx="2">
                  <c:v>6.7114093959731542E-3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06-479F-B389-215AB50A2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7465023"/>
        <c:axId val="247466687"/>
      </c:lineChart>
      <c:catAx>
        <c:axId val="24746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55455"/>
        <c:crosses val="autoZero"/>
        <c:auto val="1"/>
        <c:lblAlgn val="ctr"/>
        <c:lblOffset val="100"/>
        <c:noMultiLvlLbl val="0"/>
      </c:catAx>
      <c:valAx>
        <c:axId val="24745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60031"/>
        <c:crosses val="autoZero"/>
        <c:crossBetween val="between"/>
      </c:valAx>
      <c:valAx>
        <c:axId val="24746668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465023"/>
        <c:crosses val="max"/>
        <c:crossBetween val="between"/>
      </c:valAx>
      <c:catAx>
        <c:axId val="2474650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4746668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Sheet1!$F$64:$F$66</c:f>
              <c:strCache>
                <c:ptCount val="3"/>
                <c:pt idx="0">
                  <c:v>[d̥]</c:v>
                </c:pt>
                <c:pt idx="1">
                  <c:v>[t]</c:v>
                </c:pt>
                <c:pt idx="2">
                  <c:v>[tʰ]</c:v>
                </c:pt>
              </c:strCache>
            </c:strRef>
          </c:cat>
          <c:val>
            <c:numRef>
              <c:f>Sheet1!$G$64:$G$66</c:f>
              <c:numCache>
                <c:formatCode>General</c:formatCode>
                <c:ptCount val="3"/>
                <c:pt idx="0">
                  <c:v>10</c:v>
                </c:pt>
                <c:pt idx="1">
                  <c:v>9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C-4B38-B91D-4C5F454B1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6252031"/>
        <c:axId val="35624412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Sheet1!$F$64:$F$66</c:f>
              <c:strCache>
                <c:ptCount val="3"/>
                <c:pt idx="0">
                  <c:v>[d̥]</c:v>
                </c:pt>
                <c:pt idx="1">
                  <c:v>[t]</c:v>
                </c:pt>
                <c:pt idx="2">
                  <c:v>[tʰ]</c:v>
                </c:pt>
              </c:strCache>
            </c:strRef>
          </c:cat>
          <c:val>
            <c:numRef>
              <c:f>Sheet1!$H$64:$H$66</c:f>
              <c:numCache>
                <c:formatCode>0.00%</c:formatCode>
                <c:ptCount val="3"/>
                <c:pt idx="0">
                  <c:v>7.1942446043165464E-2</c:v>
                </c:pt>
                <c:pt idx="1">
                  <c:v>6.4748201438848921E-2</c:v>
                </c:pt>
                <c:pt idx="2">
                  <c:v>1.4388489208633094E-2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8C-4B38-B91D-4C5F454B1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7550527"/>
        <c:axId val="437545535"/>
      </c:lineChart>
      <c:catAx>
        <c:axId val="35625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244127"/>
        <c:crosses val="autoZero"/>
        <c:auto val="1"/>
        <c:lblAlgn val="ctr"/>
        <c:lblOffset val="100"/>
        <c:noMultiLvlLbl val="0"/>
      </c:catAx>
      <c:valAx>
        <c:axId val="35624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252031"/>
        <c:crosses val="autoZero"/>
        <c:crossBetween val="between"/>
      </c:valAx>
      <c:valAx>
        <c:axId val="437545535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550527"/>
        <c:crosses val="max"/>
        <c:crossBetween val="between"/>
      </c:valAx>
      <c:catAx>
        <c:axId val="4375505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3754553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[dˤ]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Sheet1!$F$68:$F$71</c:f>
              <c:strCache>
                <c:ptCount val="4"/>
                <c:pt idx="0">
                  <c:v>[tˤ]</c:v>
                </c:pt>
                <c:pt idx="1">
                  <c:v>[d]</c:v>
                </c:pt>
                <c:pt idx="2">
                  <c:v>[t]</c:v>
                </c:pt>
                <c:pt idx="3">
                  <c:v>[sˤ]</c:v>
                </c:pt>
              </c:strCache>
            </c:strRef>
          </c:cat>
          <c:val>
            <c:numRef>
              <c:f>Sheet1!$G$68:$G$71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7-4BC8-AEB0-8CA96A915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0016767"/>
        <c:axId val="450006367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Sheet1!$F$68:$F$71</c:f>
              <c:strCache>
                <c:ptCount val="4"/>
                <c:pt idx="0">
                  <c:v>[tˤ]</c:v>
                </c:pt>
                <c:pt idx="1">
                  <c:v>[d]</c:v>
                </c:pt>
                <c:pt idx="2">
                  <c:v>[t]</c:v>
                </c:pt>
                <c:pt idx="3">
                  <c:v>[sˤ]</c:v>
                </c:pt>
              </c:strCache>
            </c:strRef>
          </c:cat>
          <c:val>
            <c:numRef>
              <c:f>Sheet1!$H$68:$H$71</c:f>
              <c:numCache>
                <c:formatCode>0.00%</c:formatCode>
                <c:ptCount val="4"/>
                <c:pt idx="0">
                  <c:v>0.16129032258064516</c:v>
                </c:pt>
                <c:pt idx="1">
                  <c:v>0.12903225806451613</c:v>
                </c:pt>
                <c:pt idx="2">
                  <c:v>9.6774193548387094E-2</c:v>
                </c:pt>
                <c:pt idx="3">
                  <c:v>3.2258064516129031E-2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27-4BC8-AEB0-8CA96A915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008447"/>
        <c:axId val="450007199"/>
      </c:lineChart>
      <c:catAx>
        <c:axId val="45001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006367"/>
        <c:crosses val="autoZero"/>
        <c:auto val="1"/>
        <c:lblAlgn val="ctr"/>
        <c:lblOffset val="100"/>
        <c:noMultiLvlLbl val="0"/>
      </c:catAx>
      <c:valAx>
        <c:axId val="45000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016767"/>
        <c:crosses val="autoZero"/>
        <c:crossBetween val="between"/>
      </c:valAx>
      <c:valAx>
        <c:axId val="450007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008447"/>
        <c:crosses val="max"/>
        <c:crossBetween val="between"/>
      </c:valAx>
      <c:catAx>
        <c:axId val="4500084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000719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[w]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Sheet1!$F$73:$F$75</c:f>
              <c:strCache>
                <c:ptCount val="3"/>
                <c:pt idx="0">
                  <c:v>[ʔ]</c:v>
                </c:pt>
                <c:pt idx="1">
                  <c:v>[v]</c:v>
                </c:pt>
                <c:pt idx="2">
                  <c:v>[ʕ]</c:v>
                </c:pt>
              </c:strCache>
            </c:strRef>
          </c:cat>
          <c:val>
            <c:numRef>
              <c:f>Sheet1!$G$73:$G$75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94-42D6-A56D-2107A578C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1531727"/>
        <c:axId val="441538383"/>
      </c:barChart>
      <c:lineChart>
        <c:grouping val="standard"/>
        <c:varyColors val="0"/>
        <c:ser>
          <c:idx val="1"/>
          <c:order val="1"/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Sheet1!$F$73:$F$75</c:f>
              <c:strCache>
                <c:ptCount val="3"/>
                <c:pt idx="0">
                  <c:v>[ʔ]</c:v>
                </c:pt>
                <c:pt idx="1">
                  <c:v>[v]</c:v>
                </c:pt>
                <c:pt idx="2">
                  <c:v>[ʕ]</c:v>
                </c:pt>
              </c:strCache>
            </c:strRef>
          </c:cat>
          <c:val>
            <c:numRef>
              <c:f>Sheet1!$H$73:$H$75</c:f>
              <c:numCache>
                <c:formatCode>0.00%</c:formatCode>
                <c:ptCount val="3"/>
                <c:pt idx="0">
                  <c:v>3.3898305084745763E-2</c:v>
                </c:pt>
                <c:pt idx="1">
                  <c:v>1.6949152542372881E-2</c:v>
                </c:pt>
                <c:pt idx="2">
                  <c:v>1.6949152542372881E-2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94-42D6-A56D-2107A578C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537967"/>
        <c:axId val="441533807"/>
      </c:lineChart>
      <c:catAx>
        <c:axId val="44153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38383"/>
        <c:crosses val="autoZero"/>
        <c:auto val="1"/>
        <c:lblAlgn val="ctr"/>
        <c:lblOffset val="100"/>
        <c:noMultiLvlLbl val="0"/>
      </c:catAx>
      <c:valAx>
        <c:axId val="44153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31727"/>
        <c:crosses val="autoZero"/>
        <c:crossBetween val="between"/>
      </c:valAx>
      <c:valAx>
        <c:axId val="441533807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537967"/>
        <c:crosses val="max"/>
        <c:crossBetween val="between"/>
      </c:valAx>
      <c:catAx>
        <c:axId val="4415379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153380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[j]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Sheet1!$F$77</c:f>
              <c:strCache>
                <c:ptCount val="1"/>
                <c:pt idx="0">
                  <c:v>[i:]</c:v>
                </c:pt>
              </c:strCache>
            </c:strRef>
          </c:cat>
          <c:val>
            <c:numRef>
              <c:f>Sheet1!$G$77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0-468E-A93D-3A444353442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Sheet1!$F$77</c:f>
              <c:strCache>
                <c:ptCount val="1"/>
                <c:pt idx="0">
                  <c:v>[i:]</c:v>
                </c:pt>
              </c:strCache>
            </c:strRef>
          </c:cat>
          <c:val>
            <c:numRef>
              <c:f>Sheet1!$H$77</c:f>
              <c:numCache>
                <c:formatCode>0.00%</c:formatCode>
                <c:ptCount val="1"/>
                <c:pt idx="0">
                  <c:v>9.8039215686274508E-3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D0-468E-A93D-3A4443534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5179855"/>
        <c:axId val="405188175"/>
      </c:barChart>
      <c:catAx>
        <c:axId val="40517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188175"/>
        <c:crosses val="autoZero"/>
        <c:auto val="1"/>
        <c:lblAlgn val="ctr"/>
        <c:lblOffset val="100"/>
        <c:noMultiLvlLbl val="0"/>
      </c:catAx>
      <c:valAx>
        <c:axId val="40518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1798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syllable structure processes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Sheet2!$C$2:$C$16</c:f>
              <c:strCache>
                <c:ptCount val="15"/>
                <c:pt idx="0">
                  <c:v>degemination(reduce consonant cluster to one single consonant)</c:v>
                </c:pt>
                <c:pt idx="1">
                  <c:v>Epenthesis(insert diphthong [u:] between  consnant cluster)</c:v>
                </c:pt>
                <c:pt idx="2">
                  <c:v>Epenthesis(insert vowel [ʊ] between  consnant cluster)</c:v>
                </c:pt>
                <c:pt idx="3">
                  <c:v>Epenthesis(insertion of [ ɑ] phone between consonant cluster)</c:v>
                </c:pt>
                <c:pt idx="4">
                  <c:v>Epenthesis(insertion of [ æ] phone between consonant cluster)</c:v>
                </c:pt>
                <c:pt idx="5">
                  <c:v>Epenthesis(insertion of [ɪ] phone between consonant cluster)</c:v>
                </c:pt>
                <c:pt idx="6">
                  <c:v>Glottalization(insertion of  [ʔ] phone)</c:v>
                </c:pt>
                <c:pt idx="7">
                  <c:v>Reduplication</c:v>
                </c:pt>
                <c:pt idx="8">
                  <c:v>syllable structure process (weak syllable deletion)</c:v>
                </c:pt>
                <c:pt idx="9">
                  <c:v>germination</c:v>
                </c:pt>
                <c:pt idx="10">
                  <c:v>Monophthongization</c:v>
                </c:pt>
                <c:pt idx="11">
                  <c:v>Nasal assimilation</c:v>
                </c:pt>
                <c:pt idx="12">
                  <c:v>Metathesis</c:v>
                </c:pt>
                <c:pt idx="13">
                  <c:v>syllable structure process (consonant insertion of  [k] phone)</c:v>
                </c:pt>
                <c:pt idx="14">
                  <c:v>syllable structure process (consonant insertion of  [n] phone)</c:v>
                </c:pt>
              </c:strCache>
            </c:strRef>
          </c:cat>
          <c:val>
            <c:numRef>
              <c:f>Sheet2!$D$2:$D$16</c:f>
              <c:numCache>
                <c:formatCode>General</c:formatCode>
                <c:ptCount val="15"/>
                <c:pt idx="0">
                  <c:v>23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  <c:pt idx="4">
                  <c:v>23</c:v>
                </c:pt>
                <c:pt idx="5">
                  <c:v>3</c:v>
                </c:pt>
                <c:pt idx="6">
                  <c:v>10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1-40C6-A619-1159AA36A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6249119"/>
        <c:axId val="356255775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Sheet2!$C$2:$C$16</c:f>
              <c:strCache>
                <c:ptCount val="15"/>
                <c:pt idx="0">
                  <c:v>degemination(reduce consonant cluster to one single consonant)</c:v>
                </c:pt>
                <c:pt idx="1">
                  <c:v>Epenthesis(insert diphthong [u:] between  consnant cluster)</c:v>
                </c:pt>
                <c:pt idx="2">
                  <c:v>Epenthesis(insert vowel [ʊ] between  consnant cluster)</c:v>
                </c:pt>
                <c:pt idx="3">
                  <c:v>Epenthesis(insertion of [ ɑ] phone between consonant cluster)</c:v>
                </c:pt>
                <c:pt idx="4">
                  <c:v>Epenthesis(insertion of [ æ] phone between consonant cluster)</c:v>
                </c:pt>
                <c:pt idx="5">
                  <c:v>Epenthesis(insertion of [ɪ] phone between consonant cluster)</c:v>
                </c:pt>
                <c:pt idx="6">
                  <c:v>Glottalization(insertion of  [ʔ] phone)</c:v>
                </c:pt>
                <c:pt idx="7">
                  <c:v>Reduplication</c:v>
                </c:pt>
                <c:pt idx="8">
                  <c:v>syllable structure process (weak syllable deletion)</c:v>
                </c:pt>
                <c:pt idx="9">
                  <c:v>germination</c:v>
                </c:pt>
                <c:pt idx="10">
                  <c:v>Monophthongization</c:v>
                </c:pt>
                <c:pt idx="11">
                  <c:v>Nasal assimilation</c:v>
                </c:pt>
                <c:pt idx="12">
                  <c:v>Metathesis</c:v>
                </c:pt>
                <c:pt idx="13">
                  <c:v>syllable structure process (consonant insertion of  [k] phone)</c:v>
                </c:pt>
                <c:pt idx="14">
                  <c:v>syllable structure process (consonant insertion of  [n] phone)</c:v>
                </c:pt>
              </c:strCache>
            </c:strRef>
          </c:cat>
          <c:val>
            <c:numRef>
              <c:f>Sheet2!$E$2:$E$16</c:f>
              <c:numCache>
                <c:formatCode>0.00%</c:formatCode>
                <c:ptCount val="15"/>
                <c:pt idx="0">
                  <c:v>0.27710843373493976</c:v>
                </c:pt>
                <c:pt idx="1">
                  <c:v>4.1493775933609959E-3</c:v>
                </c:pt>
                <c:pt idx="2">
                  <c:v>1.6597510373443983E-2</c:v>
                </c:pt>
                <c:pt idx="3">
                  <c:v>1.6597510373443983E-2</c:v>
                </c:pt>
                <c:pt idx="4">
                  <c:v>9.5435684647302899E-2</c:v>
                </c:pt>
                <c:pt idx="5">
                  <c:v>1.2448132780082987E-2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B1-40C6-A619-1159AA36A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245791"/>
        <c:axId val="356259519"/>
      </c:lineChart>
      <c:catAx>
        <c:axId val="35624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255775"/>
        <c:crosses val="autoZero"/>
        <c:auto val="1"/>
        <c:lblAlgn val="ctr"/>
        <c:lblOffset val="100"/>
        <c:noMultiLvlLbl val="0"/>
      </c:catAx>
      <c:valAx>
        <c:axId val="35625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249119"/>
        <c:crosses val="autoZero"/>
        <c:crossBetween val="between"/>
      </c:valAx>
      <c:valAx>
        <c:axId val="356259519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356245791"/>
        <c:crosses val="max"/>
        <c:crossBetween val="between"/>
      </c:valAx>
      <c:catAx>
        <c:axId val="3562457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5625951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Sheet3!$D$2:$D$12</c:f>
              <c:strCache>
                <c:ptCount val="11"/>
                <c:pt idx="0">
                  <c:v>consonant insertion of  [h] phone in final position</c:v>
                </c:pt>
                <c:pt idx="1">
                  <c:v>Definite Article deletion</c:v>
                </c:pt>
                <c:pt idx="2">
                  <c:v>replace the Modern Standard Arabic consonant [θ]with the colloquial arabic consonant [s]</c:v>
                </c:pt>
                <c:pt idx="3">
                  <c:v>replace the Modern Standard Arabic diphthong [æj]with the colloquial arabic vowel[e:]</c:v>
                </c:pt>
                <c:pt idx="4">
                  <c:v>Deletion of feminine marker</c:v>
                </c:pt>
                <c:pt idx="5">
                  <c:v>replace the Modern Standard Arabic diphthong [ ɑj]with the colloquial arabic vowel[e:]</c:v>
                </c:pt>
                <c:pt idx="6">
                  <c:v>replace the Modern Standard Arabic diphthong [æw]with the colloquial arabic vowel[o:]</c:v>
                </c:pt>
                <c:pt idx="7">
                  <c:v>replace the Modern Standard Arabic diphthong [ɑw]with the colloquial arabic vowel[o:]</c:v>
                </c:pt>
                <c:pt idx="8">
                  <c:v>replace the Modern Standard Arabic consonant [ðˤ]with the colloquial arabic consonant [zˤ]</c:v>
                </c:pt>
                <c:pt idx="9">
                  <c:v>consonant deletion  of [ʔ] phone affected by colloquial Arabic</c:v>
                </c:pt>
                <c:pt idx="10">
                  <c:v>replace masculine  with feminine</c:v>
                </c:pt>
              </c:strCache>
            </c:strRef>
          </c:cat>
          <c:val>
            <c:numRef>
              <c:f>Sheet3!$E$2:$E$12</c:f>
              <c:numCache>
                <c:formatCode>General</c:formatCode>
                <c:ptCount val="11"/>
                <c:pt idx="0">
                  <c:v>44</c:v>
                </c:pt>
                <c:pt idx="1">
                  <c:v>18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E-4C92-A791-2D105F3C9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9045727"/>
        <c:axId val="239046559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Sheet3!$D$2:$D$12</c:f>
              <c:strCache>
                <c:ptCount val="11"/>
                <c:pt idx="0">
                  <c:v>consonant insertion of  [h] phone in final position</c:v>
                </c:pt>
                <c:pt idx="1">
                  <c:v>Definite Article deletion</c:v>
                </c:pt>
                <c:pt idx="2">
                  <c:v>replace the Modern Standard Arabic consonant [θ]with the colloquial arabic consonant [s]</c:v>
                </c:pt>
                <c:pt idx="3">
                  <c:v>replace the Modern Standard Arabic diphthong [æj]with the colloquial arabic vowel[e:]</c:v>
                </c:pt>
                <c:pt idx="4">
                  <c:v>Deletion of feminine marker</c:v>
                </c:pt>
                <c:pt idx="5">
                  <c:v>replace the Modern Standard Arabic diphthong [ ɑj]with the colloquial arabic vowel[e:]</c:v>
                </c:pt>
                <c:pt idx="6">
                  <c:v>replace the Modern Standard Arabic diphthong [æw]with the colloquial arabic vowel[o:]</c:v>
                </c:pt>
                <c:pt idx="7">
                  <c:v>replace the Modern Standard Arabic diphthong [ɑw]with the colloquial arabic vowel[o:]</c:v>
                </c:pt>
                <c:pt idx="8">
                  <c:v>replace the Modern Standard Arabic consonant [ðˤ]with the colloquial arabic consonant [zˤ]</c:v>
                </c:pt>
                <c:pt idx="9">
                  <c:v>consonant deletion  of [ʔ] phone affected by colloquial Arabic</c:v>
                </c:pt>
                <c:pt idx="10">
                  <c:v>replace masculine  with feminine</c:v>
                </c:pt>
              </c:strCache>
            </c:strRef>
          </c:cat>
          <c:val>
            <c:numRef>
              <c:f>Sheet3!$F$2:$F$12</c:f>
              <c:numCache>
                <c:formatCode>0.00%</c:formatCode>
                <c:ptCount val="11"/>
                <c:pt idx="1">
                  <c:v>0.13043478260869565</c:v>
                </c:pt>
                <c:pt idx="3">
                  <c:v>0.14814814814814814</c:v>
                </c:pt>
                <c:pt idx="5">
                  <c:v>0.14285714285714285</c:v>
                </c:pt>
                <c:pt idx="6">
                  <c:v>2.9411764705882353E-2</c:v>
                </c:pt>
                <c:pt idx="7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1E-4C92-A791-2D105F3C9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010943"/>
        <c:axId val="450009695"/>
      </c:lineChart>
      <c:catAx>
        <c:axId val="239045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46559"/>
        <c:crosses val="autoZero"/>
        <c:auto val="1"/>
        <c:lblAlgn val="ctr"/>
        <c:lblOffset val="100"/>
        <c:noMultiLvlLbl val="0"/>
      </c:catAx>
      <c:valAx>
        <c:axId val="23904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45727"/>
        <c:crosses val="autoZero"/>
        <c:crossBetween val="between"/>
      </c:valAx>
      <c:valAx>
        <c:axId val="450009695"/>
        <c:scaling>
          <c:orientation val="minMax"/>
        </c:scaling>
        <c:delete val="1"/>
        <c:axPos val="r"/>
        <c:numFmt formatCode="0.00%" sourceLinked="1"/>
        <c:majorTickMark val="none"/>
        <c:minorTickMark val="none"/>
        <c:tickLblPos val="nextTo"/>
        <c:crossAx val="450010943"/>
        <c:crosses val="max"/>
        <c:crossBetween val="between"/>
      </c:valAx>
      <c:catAx>
        <c:axId val="4500109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0009695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1</xdr:row>
      <xdr:rowOff>47624</xdr:rowOff>
    </xdr:from>
    <xdr:to>
      <xdr:col>15</xdr:col>
      <xdr:colOff>381000</xdr:colOff>
      <xdr:row>1</xdr:row>
      <xdr:rowOff>1904999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53340</xdr:colOff>
      <xdr:row>3</xdr:row>
      <xdr:rowOff>123826</xdr:rowOff>
    </xdr:from>
    <xdr:to>
      <xdr:col>15</xdr:col>
      <xdr:colOff>358140</xdr:colOff>
      <xdr:row>3</xdr:row>
      <xdr:rowOff>1819276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76200</xdr:colOff>
      <xdr:row>5</xdr:row>
      <xdr:rowOff>104775</xdr:rowOff>
    </xdr:from>
    <xdr:to>
      <xdr:col>15</xdr:col>
      <xdr:colOff>381000</xdr:colOff>
      <xdr:row>6</xdr:row>
      <xdr:rowOff>1028700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76200</xdr:colOff>
      <xdr:row>8</xdr:row>
      <xdr:rowOff>133350</xdr:rowOff>
    </xdr:from>
    <xdr:to>
      <xdr:col>15</xdr:col>
      <xdr:colOff>381000</xdr:colOff>
      <xdr:row>8</xdr:row>
      <xdr:rowOff>2085975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83820</xdr:colOff>
      <xdr:row>10</xdr:row>
      <xdr:rowOff>57150</xdr:rowOff>
    </xdr:from>
    <xdr:to>
      <xdr:col>15</xdr:col>
      <xdr:colOff>388620</xdr:colOff>
      <xdr:row>10</xdr:row>
      <xdr:rowOff>2286000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28575</xdr:colOff>
      <xdr:row>14</xdr:row>
      <xdr:rowOff>42864</xdr:rowOff>
    </xdr:from>
    <xdr:to>
      <xdr:col>15</xdr:col>
      <xdr:colOff>504825</xdr:colOff>
      <xdr:row>17</xdr:row>
      <xdr:rowOff>561976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38100</xdr:colOff>
      <xdr:row>12</xdr:row>
      <xdr:rowOff>114300</xdr:rowOff>
    </xdr:from>
    <xdr:to>
      <xdr:col>15</xdr:col>
      <xdr:colOff>342900</xdr:colOff>
      <xdr:row>12</xdr:row>
      <xdr:rowOff>2143125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76200</xdr:colOff>
      <xdr:row>19</xdr:row>
      <xdr:rowOff>95251</xdr:rowOff>
    </xdr:from>
    <xdr:to>
      <xdr:col>15</xdr:col>
      <xdr:colOff>381000</xdr:colOff>
      <xdr:row>20</xdr:row>
      <xdr:rowOff>1057276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19050</xdr:colOff>
      <xdr:row>22</xdr:row>
      <xdr:rowOff>85725</xdr:rowOff>
    </xdr:from>
    <xdr:to>
      <xdr:col>15</xdr:col>
      <xdr:colOff>323850</xdr:colOff>
      <xdr:row>22</xdr:row>
      <xdr:rowOff>2162175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57150</xdr:colOff>
      <xdr:row>24</xdr:row>
      <xdr:rowOff>76200</xdr:rowOff>
    </xdr:from>
    <xdr:to>
      <xdr:col>15</xdr:col>
      <xdr:colOff>361950</xdr:colOff>
      <xdr:row>26</xdr:row>
      <xdr:rowOff>1095375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76200</xdr:colOff>
      <xdr:row>28</xdr:row>
      <xdr:rowOff>47625</xdr:rowOff>
    </xdr:from>
    <xdr:to>
      <xdr:col>15</xdr:col>
      <xdr:colOff>381000</xdr:colOff>
      <xdr:row>28</xdr:row>
      <xdr:rowOff>2419350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9525</xdr:colOff>
      <xdr:row>34</xdr:row>
      <xdr:rowOff>47625</xdr:rowOff>
    </xdr:from>
    <xdr:to>
      <xdr:col>15</xdr:col>
      <xdr:colOff>314325</xdr:colOff>
      <xdr:row>34</xdr:row>
      <xdr:rowOff>2105025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19050</xdr:colOff>
      <xdr:row>36</xdr:row>
      <xdr:rowOff>104775</xdr:rowOff>
    </xdr:from>
    <xdr:to>
      <xdr:col>15</xdr:col>
      <xdr:colOff>323850</xdr:colOff>
      <xdr:row>36</xdr:row>
      <xdr:rowOff>2438400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57150</xdr:colOff>
      <xdr:row>38</xdr:row>
      <xdr:rowOff>104775</xdr:rowOff>
    </xdr:from>
    <xdr:to>
      <xdr:col>15</xdr:col>
      <xdr:colOff>361950</xdr:colOff>
      <xdr:row>39</xdr:row>
      <xdr:rowOff>1114426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38100</xdr:colOff>
      <xdr:row>41</xdr:row>
      <xdr:rowOff>104775</xdr:rowOff>
    </xdr:from>
    <xdr:to>
      <xdr:col>15</xdr:col>
      <xdr:colOff>342900</xdr:colOff>
      <xdr:row>41</xdr:row>
      <xdr:rowOff>2066925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66675</xdr:colOff>
      <xdr:row>43</xdr:row>
      <xdr:rowOff>76201</xdr:rowOff>
    </xdr:from>
    <xdr:to>
      <xdr:col>15</xdr:col>
      <xdr:colOff>371475</xdr:colOff>
      <xdr:row>43</xdr:row>
      <xdr:rowOff>2343151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66675</xdr:colOff>
      <xdr:row>45</xdr:row>
      <xdr:rowOff>95250</xdr:rowOff>
    </xdr:from>
    <xdr:to>
      <xdr:col>15</xdr:col>
      <xdr:colOff>371475</xdr:colOff>
      <xdr:row>45</xdr:row>
      <xdr:rowOff>2219325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76200</xdr:colOff>
      <xdr:row>49</xdr:row>
      <xdr:rowOff>28576</xdr:rowOff>
    </xdr:from>
    <xdr:to>
      <xdr:col>15</xdr:col>
      <xdr:colOff>381000</xdr:colOff>
      <xdr:row>49</xdr:row>
      <xdr:rowOff>2352676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57150</xdr:colOff>
      <xdr:row>51</xdr:row>
      <xdr:rowOff>114300</xdr:rowOff>
    </xdr:from>
    <xdr:to>
      <xdr:col>15</xdr:col>
      <xdr:colOff>361950</xdr:colOff>
      <xdr:row>52</xdr:row>
      <xdr:rowOff>1181100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47625</xdr:colOff>
      <xdr:row>54</xdr:row>
      <xdr:rowOff>80962</xdr:rowOff>
    </xdr:from>
    <xdr:to>
      <xdr:col>15</xdr:col>
      <xdr:colOff>352425</xdr:colOff>
      <xdr:row>57</xdr:row>
      <xdr:rowOff>1190624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</xdr:col>
      <xdr:colOff>95250</xdr:colOff>
      <xdr:row>59</xdr:row>
      <xdr:rowOff>104775</xdr:rowOff>
    </xdr:from>
    <xdr:to>
      <xdr:col>15</xdr:col>
      <xdr:colOff>400050</xdr:colOff>
      <xdr:row>61</xdr:row>
      <xdr:rowOff>1200149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104775</xdr:colOff>
      <xdr:row>63</xdr:row>
      <xdr:rowOff>123825</xdr:rowOff>
    </xdr:from>
    <xdr:to>
      <xdr:col>15</xdr:col>
      <xdr:colOff>409575</xdr:colOff>
      <xdr:row>65</xdr:row>
      <xdr:rowOff>1152524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</xdr:col>
      <xdr:colOff>114300</xdr:colOff>
      <xdr:row>67</xdr:row>
      <xdr:rowOff>42863</xdr:rowOff>
    </xdr:from>
    <xdr:to>
      <xdr:col>15</xdr:col>
      <xdr:colOff>419100</xdr:colOff>
      <xdr:row>70</xdr:row>
      <xdr:rowOff>1143000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</xdr:col>
      <xdr:colOff>95250</xdr:colOff>
      <xdr:row>72</xdr:row>
      <xdr:rowOff>23813</xdr:rowOff>
    </xdr:from>
    <xdr:to>
      <xdr:col>15</xdr:col>
      <xdr:colOff>400050</xdr:colOff>
      <xdr:row>74</xdr:row>
      <xdr:rowOff>1171575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8</xdr:col>
      <xdr:colOff>76200</xdr:colOff>
      <xdr:row>76</xdr:row>
      <xdr:rowOff>57150</xdr:rowOff>
    </xdr:from>
    <xdr:to>
      <xdr:col>15</xdr:col>
      <xdr:colOff>381000</xdr:colOff>
      <xdr:row>76</xdr:row>
      <xdr:rowOff>1971675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220980</xdr:colOff>
      <xdr:row>0</xdr:row>
      <xdr:rowOff>0</xdr:rowOff>
    </xdr:from>
    <xdr:to>
      <xdr:col>16</xdr:col>
      <xdr:colOff>114300</xdr:colOff>
      <xdr:row>17</xdr:row>
      <xdr:rowOff>198120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106680</xdr:colOff>
      <xdr:row>0</xdr:row>
      <xdr:rowOff>541020</xdr:rowOff>
    </xdr:from>
    <xdr:to>
      <xdr:col>16</xdr:col>
      <xdr:colOff>190500</xdr:colOff>
      <xdr:row>11</xdr:row>
      <xdr:rowOff>175260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25"/>
  <sheetViews>
    <sheetView tabSelected="1" topLeftCell="A76" zoomScale="80" zoomScaleNormal="80" workbookViewId="0">
      <selection activeCell="G80" sqref="G80"/>
    </sheetView>
  </sheetViews>
  <sheetFormatPr defaultRowHeight="100.05" customHeight="1" thickTop="1" thickBottom="1" outlineLevelRow="2" x14ac:dyDescent="0.35"/>
  <cols>
    <col min="2" max="3" width="11.21875" style="31" customWidth="1"/>
    <col min="4" max="4" width="9.5546875" style="31" customWidth="1"/>
    <col min="5" max="5" width="39.21875" style="34" customWidth="1"/>
    <col min="6" max="6" width="6.109375" style="31" customWidth="1"/>
    <col min="7" max="7" width="7.6640625" style="31" customWidth="1"/>
    <col min="8" max="8" width="8.6640625" style="87" customWidth="1"/>
  </cols>
  <sheetData>
    <row r="1" spans="2:8" s="44" customFormat="1" ht="37.799999999999997" customHeight="1" thickTop="1" thickBot="1" x14ac:dyDescent="0.35">
      <c r="B1" s="45" t="s">
        <v>111</v>
      </c>
      <c r="C1" s="45" t="s">
        <v>133</v>
      </c>
      <c r="D1" s="46" t="s">
        <v>112</v>
      </c>
      <c r="E1" s="46" t="s">
        <v>113</v>
      </c>
      <c r="F1" s="46"/>
      <c r="G1" s="46" t="s">
        <v>132</v>
      </c>
      <c r="H1" s="72" t="s">
        <v>165</v>
      </c>
    </row>
    <row r="2" spans="2:8" ht="162.6" customHeight="1" thickTop="1" thickBot="1" x14ac:dyDescent="0.35">
      <c r="B2" s="105" t="s">
        <v>84</v>
      </c>
      <c r="C2" s="105">
        <v>228</v>
      </c>
      <c r="D2" s="104" t="s">
        <v>130</v>
      </c>
      <c r="E2" s="2" t="s">
        <v>7</v>
      </c>
      <c r="F2" s="3" t="s">
        <v>135</v>
      </c>
      <c r="G2" s="3">
        <v>4</v>
      </c>
      <c r="H2" s="73">
        <f>G2/C2</f>
        <v>1.7543859649122806E-2</v>
      </c>
    </row>
    <row r="3" spans="2:8" ht="25.8" customHeight="1" thickTop="1" thickBot="1" x14ac:dyDescent="0.35">
      <c r="B3" s="56" t="s">
        <v>195</v>
      </c>
      <c r="C3" s="56">
        <v>228</v>
      </c>
      <c r="D3" s="60"/>
      <c r="E3" s="2"/>
      <c r="F3" s="3"/>
      <c r="G3" s="3">
        <v>4</v>
      </c>
      <c r="H3" s="73">
        <f>G3/C3</f>
        <v>1.7543859649122806E-2</v>
      </c>
    </row>
    <row r="4" spans="2:8" ht="154.80000000000001" customHeight="1" outlineLevel="2" thickTop="1" thickBot="1" x14ac:dyDescent="0.35">
      <c r="B4" s="103" t="s">
        <v>85</v>
      </c>
      <c r="C4" s="103">
        <v>311</v>
      </c>
      <c r="D4" s="102" t="s">
        <v>131</v>
      </c>
      <c r="E4" s="6" t="s">
        <v>124</v>
      </c>
      <c r="F4" s="7" t="s">
        <v>136</v>
      </c>
      <c r="G4" s="7">
        <v>1</v>
      </c>
      <c r="H4" s="74">
        <f>G4/C4</f>
        <v>3.2154340836012861E-3</v>
      </c>
    </row>
    <row r="5" spans="2:8" ht="20.399999999999999" customHeight="1" outlineLevel="1" thickTop="1" thickBot="1" x14ac:dyDescent="0.35">
      <c r="B5" s="122" t="s">
        <v>167</v>
      </c>
      <c r="C5" s="55">
        <f>SUBTOTAL(9,C4:C4)</f>
        <v>311</v>
      </c>
      <c r="D5" s="61"/>
      <c r="E5" s="6"/>
      <c r="F5" s="7"/>
      <c r="G5" s="7">
        <f>SUBTOTAL(9,G4:G4)</f>
        <v>1</v>
      </c>
      <c r="H5" s="74">
        <f>SUBTOTAL(9,H4:H4)</f>
        <v>3.2154340836012861E-3</v>
      </c>
    </row>
    <row r="6" spans="2:8" ht="100.05" customHeight="1" outlineLevel="2" thickTop="1" thickBot="1" x14ac:dyDescent="0.35">
      <c r="B6" s="114" t="s">
        <v>86</v>
      </c>
      <c r="C6" s="114">
        <v>126</v>
      </c>
      <c r="D6" s="109" t="s">
        <v>58</v>
      </c>
      <c r="E6" s="9" t="s">
        <v>11</v>
      </c>
      <c r="F6" s="10" t="s">
        <v>137</v>
      </c>
      <c r="G6" s="10">
        <v>1</v>
      </c>
      <c r="H6" s="75">
        <f>G6/C6</f>
        <v>7.9365079365079361E-3</v>
      </c>
    </row>
    <row r="7" spans="2:8" ht="100.05" customHeight="1" outlineLevel="2" thickTop="1" thickBot="1" x14ac:dyDescent="0.35">
      <c r="B7" s="114"/>
      <c r="C7" s="114"/>
      <c r="D7" s="109"/>
      <c r="E7" s="9" t="s">
        <v>43</v>
      </c>
      <c r="F7" s="10" t="s">
        <v>138</v>
      </c>
      <c r="G7" s="10">
        <v>1</v>
      </c>
      <c r="H7" s="75">
        <f>G7/C6</f>
        <v>7.9365079365079361E-3</v>
      </c>
    </row>
    <row r="8" spans="2:8" ht="19.8" customHeight="1" outlineLevel="1" thickTop="1" thickBot="1" x14ac:dyDescent="0.35">
      <c r="B8" s="123" t="s">
        <v>168</v>
      </c>
      <c r="C8" s="57">
        <f>SUBTOTAL(9,C6:C7)</f>
        <v>126</v>
      </c>
      <c r="D8" s="62"/>
      <c r="E8" s="9"/>
      <c r="F8" s="10"/>
      <c r="G8" s="10">
        <f>SUBTOTAL(9,G6:G7)</f>
        <v>2</v>
      </c>
      <c r="H8" s="75">
        <f>SUBTOTAL(9,H6:H7)</f>
        <v>1.5873015873015872E-2</v>
      </c>
    </row>
    <row r="9" spans="2:8" ht="174.6" customHeight="1" outlineLevel="2" thickTop="1" thickBot="1" x14ac:dyDescent="0.35">
      <c r="B9" s="106" t="s">
        <v>87</v>
      </c>
      <c r="C9" s="107">
        <v>24</v>
      </c>
      <c r="D9" s="108" t="s">
        <v>59</v>
      </c>
      <c r="E9" s="11" t="s">
        <v>45</v>
      </c>
      <c r="F9" s="12" t="s">
        <v>139</v>
      </c>
      <c r="G9" s="12">
        <v>1</v>
      </c>
      <c r="H9" s="76">
        <f>G9/C9</f>
        <v>4.1666666666666664E-2</v>
      </c>
    </row>
    <row r="10" spans="2:8" ht="28.2" customHeight="1" outlineLevel="1" thickTop="1" thickBot="1" x14ac:dyDescent="0.35">
      <c r="B10" s="124" t="s">
        <v>169</v>
      </c>
      <c r="C10" s="63">
        <f>SUBTOTAL(9,C9:C9)</f>
        <v>24</v>
      </c>
      <c r="D10" s="69"/>
      <c r="E10" s="11"/>
      <c r="F10" s="12"/>
      <c r="G10" s="12">
        <f>SUBTOTAL(9,G9:G9)</f>
        <v>1</v>
      </c>
      <c r="H10" s="76">
        <f>SUBTOTAL(9,H9:H9)</f>
        <v>4.1666666666666664E-2</v>
      </c>
    </row>
    <row r="11" spans="2:8" ht="187.2" customHeight="1" outlineLevel="2" thickTop="1" thickBot="1" x14ac:dyDescent="0.35">
      <c r="B11" s="103" t="s">
        <v>88</v>
      </c>
      <c r="C11" s="103">
        <v>57</v>
      </c>
      <c r="D11" s="102" t="s">
        <v>60</v>
      </c>
      <c r="E11" s="14" t="s">
        <v>19</v>
      </c>
      <c r="F11" s="15" t="s">
        <v>140</v>
      </c>
      <c r="G11" s="15">
        <v>4</v>
      </c>
      <c r="H11" s="77">
        <f>G11/C11</f>
        <v>7.0175438596491224E-2</v>
      </c>
    </row>
    <row r="12" spans="2:8" ht="34.799999999999997" customHeight="1" outlineLevel="1" thickTop="1" thickBot="1" x14ac:dyDescent="0.35">
      <c r="B12" s="122" t="s">
        <v>170</v>
      </c>
      <c r="C12" s="55">
        <f>SUBTOTAL(9,C11:C11)</f>
        <v>57</v>
      </c>
      <c r="D12" s="61"/>
      <c r="E12" s="14"/>
      <c r="F12" s="15"/>
      <c r="G12" s="15">
        <f>SUBTOTAL(9,G11:G11)</f>
        <v>4</v>
      </c>
      <c r="H12" s="77">
        <f>SUBTOTAL(9,H11:H11)</f>
        <v>7.0175438596491224E-2</v>
      </c>
    </row>
    <row r="13" spans="2:8" ht="174" customHeight="1" outlineLevel="2" thickTop="1" thickBot="1" x14ac:dyDescent="0.35">
      <c r="B13" s="8" t="s">
        <v>89</v>
      </c>
      <c r="C13" s="8">
        <v>28</v>
      </c>
      <c r="D13" s="26" t="s">
        <v>61</v>
      </c>
      <c r="E13" s="16" t="s">
        <v>12</v>
      </c>
      <c r="F13" s="17" t="s">
        <v>139</v>
      </c>
      <c r="G13" s="17">
        <v>1</v>
      </c>
      <c r="H13" s="78">
        <f>G13/C13</f>
        <v>3.5714285714285712E-2</v>
      </c>
    </row>
    <row r="14" spans="2:8" ht="32.4" customHeight="1" outlineLevel="1" thickTop="1" thickBot="1" x14ac:dyDescent="0.35">
      <c r="B14" s="123" t="s">
        <v>171</v>
      </c>
      <c r="C14" s="57">
        <f>SUBTOTAL(9,C13:C13)</f>
        <v>28</v>
      </c>
      <c r="D14" s="62"/>
      <c r="E14" s="16"/>
      <c r="F14" s="17"/>
      <c r="G14" s="17">
        <f>SUBTOTAL(9,G13:G13)</f>
        <v>1</v>
      </c>
      <c r="H14" s="78">
        <f>SUBTOTAL(9,H13:H13)</f>
        <v>3.5714285714285712E-2</v>
      </c>
    </row>
    <row r="15" spans="2:8" ht="100.05" customHeight="1" outlineLevel="2" thickTop="1" thickBot="1" x14ac:dyDescent="0.35">
      <c r="B15" s="105" t="s">
        <v>90</v>
      </c>
      <c r="C15" s="105">
        <v>19</v>
      </c>
      <c r="D15" s="104" t="s">
        <v>62</v>
      </c>
      <c r="E15" s="2" t="s">
        <v>20</v>
      </c>
      <c r="F15" s="3" t="s">
        <v>139</v>
      </c>
      <c r="G15" s="3">
        <v>2</v>
      </c>
      <c r="H15" s="73">
        <f>G15/C15</f>
        <v>0.10526315789473684</v>
      </c>
    </row>
    <row r="16" spans="2:8" ht="100.05" customHeight="1" outlineLevel="2" thickTop="1" thickBot="1" x14ac:dyDescent="0.35">
      <c r="B16" s="105"/>
      <c r="C16" s="105"/>
      <c r="D16" s="104"/>
      <c r="E16" s="18" t="s">
        <v>116</v>
      </c>
      <c r="F16" s="19" t="s">
        <v>141</v>
      </c>
      <c r="G16" s="19">
        <v>1</v>
      </c>
      <c r="H16" s="79">
        <f>G16/C15</f>
        <v>5.2631578947368418E-2</v>
      </c>
    </row>
    <row r="17" spans="2:8" ht="52.2" customHeight="1" outlineLevel="2" thickTop="1" thickBot="1" x14ac:dyDescent="0.35">
      <c r="B17" s="105"/>
      <c r="C17" s="105"/>
      <c r="D17" s="104"/>
      <c r="E17" s="2" t="s">
        <v>28</v>
      </c>
      <c r="F17" s="3" t="s">
        <v>142</v>
      </c>
      <c r="G17" s="3">
        <v>1</v>
      </c>
      <c r="H17" s="73">
        <f>G17/C15</f>
        <v>5.2631578947368418E-2</v>
      </c>
    </row>
    <row r="18" spans="2:8" ht="52.2" customHeight="1" outlineLevel="2" thickTop="1" thickBot="1" x14ac:dyDescent="0.35">
      <c r="B18" s="105"/>
      <c r="C18" s="105"/>
      <c r="D18" s="104"/>
      <c r="E18" s="2" t="s">
        <v>21</v>
      </c>
      <c r="F18" s="3" t="s">
        <v>137</v>
      </c>
      <c r="G18" s="3">
        <v>1</v>
      </c>
      <c r="H18" s="73">
        <f>G18/C15</f>
        <v>5.2631578947368418E-2</v>
      </c>
    </row>
    <row r="19" spans="2:8" ht="21.6" customHeight="1" outlineLevel="1" thickTop="1" thickBot="1" x14ac:dyDescent="0.35">
      <c r="B19" s="125" t="s">
        <v>172</v>
      </c>
      <c r="C19" s="56">
        <f>SUBTOTAL(9,C15:C18)</f>
        <v>19</v>
      </c>
      <c r="D19" s="60"/>
      <c r="E19" s="2"/>
      <c r="F19" s="3"/>
      <c r="G19" s="3">
        <f>SUBTOTAL(9,G15:G18)</f>
        <v>5</v>
      </c>
      <c r="H19" s="73">
        <f>SUBTOTAL(9,H15:H18)</f>
        <v>0.26315789473684209</v>
      </c>
    </row>
    <row r="20" spans="2:8" ht="100.05" customHeight="1" outlineLevel="2" thickTop="1" thickBot="1" x14ac:dyDescent="0.35">
      <c r="B20" s="106" t="s">
        <v>91</v>
      </c>
      <c r="C20" s="107">
        <v>37</v>
      </c>
      <c r="D20" s="106" t="s">
        <v>63</v>
      </c>
      <c r="E20" s="90" t="s">
        <v>27</v>
      </c>
      <c r="F20" s="13" t="s">
        <v>140</v>
      </c>
      <c r="G20" s="13">
        <v>2</v>
      </c>
      <c r="H20" s="80">
        <f>G20/C20</f>
        <v>5.4054054054054057E-2</v>
      </c>
    </row>
    <row r="21" spans="2:8" ht="100.05" customHeight="1" outlineLevel="2" thickTop="1" thickBot="1" x14ac:dyDescent="0.35">
      <c r="B21" s="107"/>
      <c r="C21" s="107"/>
      <c r="D21" s="107"/>
      <c r="E21" s="20" t="s">
        <v>125</v>
      </c>
      <c r="F21" s="12" t="s">
        <v>143</v>
      </c>
      <c r="G21" s="12">
        <v>1</v>
      </c>
      <c r="H21" s="76">
        <f>G21/C20</f>
        <v>2.7027027027027029E-2</v>
      </c>
    </row>
    <row r="22" spans="2:8" ht="30" customHeight="1" outlineLevel="1" thickTop="1" thickBot="1" x14ac:dyDescent="0.35">
      <c r="B22" s="124" t="s">
        <v>173</v>
      </c>
      <c r="C22" s="63">
        <f>SUBTOTAL(9,C20:C21)</f>
        <v>37</v>
      </c>
      <c r="D22" s="63"/>
      <c r="E22" s="20"/>
      <c r="F22" s="12"/>
      <c r="G22" s="12">
        <f>SUBTOTAL(9,G20:G21)</f>
        <v>3</v>
      </c>
      <c r="H22" s="76">
        <f>SUBTOTAL(9,H20:H21)</f>
        <v>8.1081081081081086E-2</v>
      </c>
    </row>
    <row r="23" spans="2:8" ht="177.6" customHeight="1" outlineLevel="2" thickTop="1" thickBot="1" x14ac:dyDescent="0.35">
      <c r="B23" s="4" t="s">
        <v>92</v>
      </c>
      <c r="C23" s="4">
        <v>84</v>
      </c>
      <c r="D23" s="5" t="s">
        <v>64</v>
      </c>
      <c r="E23" s="6" t="s">
        <v>16</v>
      </c>
      <c r="F23" s="7" t="s">
        <v>144</v>
      </c>
      <c r="G23" s="7">
        <v>17</v>
      </c>
      <c r="H23" s="74">
        <f>G23/C23</f>
        <v>0.20238095238095238</v>
      </c>
    </row>
    <row r="24" spans="2:8" ht="30.6" customHeight="1" outlineLevel="1" thickTop="1" thickBot="1" x14ac:dyDescent="0.35">
      <c r="B24" s="122" t="s">
        <v>174</v>
      </c>
      <c r="C24" s="55">
        <f>SUBTOTAL(9,C23:C23)</f>
        <v>84</v>
      </c>
      <c r="D24" s="61"/>
      <c r="E24" s="6"/>
      <c r="F24" s="7"/>
      <c r="G24" s="7">
        <f>SUBTOTAL(9,G23:G23)</f>
        <v>17</v>
      </c>
      <c r="H24" s="74">
        <f>SUBTOTAL(9,H23:H23)</f>
        <v>0.20238095238095238</v>
      </c>
    </row>
    <row r="25" spans="2:8" ht="100.05" customHeight="1" outlineLevel="2" thickTop="1" thickBot="1" x14ac:dyDescent="0.35">
      <c r="B25" s="114" t="s">
        <v>129</v>
      </c>
      <c r="C25" s="114">
        <v>73</v>
      </c>
      <c r="D25" s="109" t="s">
        <v>65</v>
      </c>
      <c r="E25" s="16" t="s">
        <v>119</v>
      </c>
      <c r="F25" s="17" t="s">
        <v>145</v>
      </c>
      <c r="G25" s="17">
        <v>9</v>
      </c>
      <c r="H25" s="78">
        <f>G25/C25</f>
        <v>0.12328767123287671</v>
      </c>
    </row>
    <row r="26" spans="2:8" ht="100.05" customHeight="1" outlineLevel="2" thickTop="1" thickBot="1" x14ac:dyDescent="0.35">
      <c r="B26" s="114"/>
      <c r="C26" s="114"/>
      <c r="D26" s="109"/>
      <c r="E26" s="16" t="s">
        <v>31</v>
      </c>
      <c r="F26" s="17" t="s">
        <v>146</v>
      </c>
      <c r="G26" s="17">
        <v>7</v>
      </c>
      <c r="H26" s="78">
        <f>G26/C25</f>
        <v>9.5890410958904104E-2</v>
      </c>
    </row>
    <row r="27" spans="2:8" ht="100.05" customHeight="1" outlineLevel="2" thickTop="1" thickBot="1" x14ac:dyDescent="0.35">
      <c r="B27" s="114"/>
      <c r="C27" s="114"/>
      <c r="D27" s="109"/>
      <c r="E27" s="16" t="s">
        <v>25</v>
      </c>
      <c r="F27" s="17" t="s">
        <v>147</v>
      </c>
      <c r="G27" s="17">
        <v>6</v>
      </c>
      <c r="H27" s="78">
        <f>G27/C25</f>
        <v>8.2191780821917804E-2</v>
      </c>
    </row>
    <row r="28" spans="2:8" ht="24" customHeight="1" outlineLevel="1" thickTop="1" thickBot="1" x14ac:dyDescent="0.35">
      <c r="B28" s="123" t="s">
        <v>175</v>
      </c>
      <c r="C28" s="57">
        <f>SUBTOTAL(9,C25:C27)</f>
        <v>73</v>
      </c>
      <c r="D28" s="62"/>
      <c r="E28" s="16"/>
      <c r="F28" s="17"/>
      <c r="G28" s="17">
        <f>SUBTOTAL(9,G25:G27)</f>
        <v>22</v>
      </c>
      <c r="H28" s="78">
        <f>SUBTOTAL(9,H25:H27)</f>
        <v>0.30136986301369861</v>
      </c>
    </row>
    <row r="29" spans="2:8" ht="195.6" customHeight="1" outlineLevel="2" thickTop="1" thickBot="1" x14ac:dyDescent="0.35">
      <c r="B29" s="105" t="s">
        <v>93</v>
      </c>
      <c r="C29" s="105">
        <v>58</v>
      </c>
      <c r="D29" s="104" t="s">
        <v>66</v>
      </c>
      <c r="E29" s="2" t="s">
        <v>8</v>
      </c>
      <c r="F29" s="3" t="s">
        <v>148</v>
      </c>
      <c r="G29" s="3">
        <v>24</v>
      </c>
      <c r="H29" s="73">
        <f t="shared" ref="H29:H39" si="0">G29/C29</f>
        <v>0.41379310344827586</v>
      </c>
    </row>
    <row r="30" spans="2:8" ht="30" customHeight="1" outlineLevel="1" thickTop="1" thickBot="1" x14ac:dyDescent="0.35">
      <c r="B30" s="125" t="s">
        <v>176</v>
      </c>
      <c r="C30" s="56">
        <f>SUBTOTAL(9,C29:C29)</f>
        <v>58</v>
      </c>
      <c r="D30" s="60"/>
      <c r="E30" s="2"/>
      <c r="F30" s="3"/>
      <c r="G30" s="3">
        <f>SUBTOTAL(9,G29:G29)</f>
        <v>24</v>
      </c>
      <c r="H30" s="73">
        <f>SUBTOTAL(9,H29:H29)</f>
        <v>0.41379310344827586</v>
      </c>
    </row>
    <row r="31" spans="2:8" s="38" customFormat="1" ht="13.8" customHeight="1" outlineLevel="2" thickTop="1" thickBot="1" x14ac:dyDescent="0.35">
      <c r="B31" s="8" t="s">
        <v>94</v>
      </c>
      <c r="C31" s="8">
        <v>50</v>
      </c>
      <c r="D31" s="26" t="s">
        <v>67</v>
      </c>
      <c r="E31" s="16">
        <v>0</v>
      </c>
      <c r="F31" s="17">
        <v>0</v>
      </c>
      <c r="G31" s="17">
        <v>0</v>
      </c>
      <c r="H31" s="78">
        <f t="shared" si="0"/>
        <v>0</v>
      </c>
    </row>
    <row r="32" spans="2:8" s="38" customFormat="1" ht="13.8" customHeight="1" outlineLevel="1" thickTop="1" thickBot="1" x14ac:dyDescent="0.35">
      <c r="B32" s="123" t="s">
        <v>177</v>
      </c>
      <c r="C32" s="57">
        <f>SUBTOTAL(9,C31:C31)</f>
        <v>50</v>
      </c>
      <c r="D32" s="62"/>
      <c r="E32" s="16"/>
      <c r="F32" s="17"/>
      <c r="G32" s="17">
        <f>SUBTOTAL(9,G31:G31)</f>
        <v>0</v>
      </c>
      <c r="H32" s="78">
        <f>SUBTOTAL(9,H31:H31)</f>
        <v>0</v>
      </c>
    </row>
    <row r="33" spans="2:8" s="39" customFormat="1" ht="21.6" customHeight="1" outlineLevel="2" thickTop="1" thickBot="1" x14ac:dyDescent="0.35">
      <c r="B33" s="47" t="s">
        <v>95</v>
      </c>
      <c r="C33" s="47">
        <v>41</v>
      </c>
      <c r="D33" s="48" t="s">
        <v>68</v>
      </c>
      <c r="E33" s="49">
        <v>0</v>
      </c>
      <c r="F33" s="50">
        <v>0</v>
      </c>
      <c r="G33" s="50">
        <v>0</v>
      </c>
      <c r="H33" s="81">
        <f t="shared" si="0"/>
        <v>0</v>
      </c>
    </row>
    <row r="34" spans="2:8" s="39" customFormat="1" ht="21.6" customHeight="1" outlineLevel="1" thickTop="1" thickBot="1" x14ac:dyDescent="0.35">
      <c r="B34" s="47" t="s">
        <v>178</v>
      </c>
      <c r="C34" s="47">
        <f>SUBTOTAL(9,C33:C33)</f>
        <v>41</v>
      </c>
      <c r="D34" s="48"/>
      <c r="E34" s="49"/>
      <c r="F34" s="50"/>
      <c r="G34" s="50">
        <f>SUBTOTAL(9,G33:G33)</f>
        <v>0</v>
      </c>
      <c r="H34" s="81">
        <f>SUBTOTAL(9,H33:H33)</f>
        <v>0</v>
      </c>
    </row>
    <row r="35" spans="2:8" ht="169.2" customHeight="1" outlineLevel="2" thickTop="1" thickBot="1" x14ac:dyDescent="0.35">
      <c r="B35" s="23" t="s">
        <v>96</v>
      </c>
      <c r="C35" s="23">
        <v>43</v>
      </c>
      <c r="D35" s="36" t="s">
        <v>69</v>
      </c>
      <c r="E35" s="91" t="s">
        <v>37</v>
      </c>
      <c r="F35" s="24" t="s">
        <v>149</v>
      </c>
      <c r="G35" s="24">
        <v>6</v>
      </c>
      <c r="H35" s="82">
        <f t="shared" si="0"/>
        <v>0.13953488372093023</v>
      </c>
    </row>
    <row r="36" spans="2:8" ht="25.2" customHeight="1" outlineLevel="1" thickTop="1" thickBot="1" x14ac:dyDescent="0.35">
      <c r="B36" s="126" t="s">
        <v>179</v>
      </c>
      <c r="C36" s="23">
        <f>SUBTOTAL(9,C35:C35)</f>
        <v>43</v>
      </c>
      <c r="D36" s="36"/>
      <c r="E36" s="91"/>
      <c r="F36" s="24"/>
      <c r="G36" s="24">
        <f>SUBTOTAL(9,G35:G35)</f>
        <v>6</v>
      </c>
      <c r="H36" s="82">
        <f>SUBTOTAL(9,H35:H35)</f>
        <v>0.13953488372093023</v>
      </c>
    </row>
    <row r="37" spans="2:8" ht="200.4" customHeight="1" outlineLevel="2" thickTop="1" thickBot="1" x14ac:dyDescent="0.35">
      <c r="B37" s="116" t="s">
        <v>97</v>
      </c>
      <c r="C37" s="117">
        <v>111</v>
      </c>
      <c r="D37" s="115" t="s">
        <v>70</v>
      </c>
      <c r="E37" s="37" t="s">
        <v>3</v>
      </c>
      <c r="F37" s="25" t="s">
        <v>150</v>
      </c>
      <c r="G37" s="25">
        <v>6</v>
      </c>
      <c r="H37" s="83">
        <f t="shared" si="0"/>
        <v>5.4054054054054057E-2</v>
      </c>
    </row>
    <row r="38" spans="2:8" ht="34.799999999999997" customHeight="1" outlineLevel="1" thickTop="1" thickBot="1" x14ac:dyDescent="0.35">
      <c r="B38" s="127" t="s">
        <v>180</v>
      </c>
      <c r="C38" s="65">
        <f>SUBTOTAL(9,C37:C37)</f>
        <v>111</v>
      </c>
      <c r="D38" s="64"/>
      <c r="E38" s="37"/>
      <c r="F38" s="25"/>
      <c r="G38" s="25">
        <f>SUBTOTAL(9,G37:G37)</f>
        <v>6</v>
      </c>
      <c r="H38" s="83">
        <f>SUBTOTAL(9,H37:H37)</f>
        <v>5.4054054054054057E-2</v>
      </c>
    </row>
    <row r="39" spans="2:8" ht="100.05" customHeight="1" outlineLevel="2" thickTop="1" thickBot="1" x14ac:dyDescent="0.35">
      <c r="B39" s="114" t="s">
        <v>98</v>
      </c>
      <c r="C39" s="114">
        <v>78</v>
      </c>
      <c r="D39" s="109" t="s">
        <v>71</v>
      </c>
      <c r="E39" s="16" t="s">
        <v>33</v>
      </c>
      <c r="F39" s="17" t="s">
        <v>151</v>
      </c>
      <c r="G39" s="17">
        <v>3</v>
      </c>
      <c r="H39" s="78">
        <f t="shared" si="0"/>
        <v>3.8461538461538464E-2</v>
      </c>
    </row>
    <row r="40" spans="2:8" ht="100.05" customHeight="1" outlineLevel="2" thickTop="1" thickBot="1" x14ac:dyDescent="0.35">
      <c r="B40" s="114"/>
      <c r="C40" s="114"/>
      <c r="D40" s="109"/>
      <c r="E40" s="16" t="s">
        <v>32</v>
      </c>
      <c r="F40" s="17" t="s">
        <v>149</v>
      </c>
      <c r="G40" s="17">
        <v>1</v>
      </c>
      <c r="H40" s="78">
        <f>G40/C39</f>
        <v>1.282051282051282E-2</v>
      </c>
    </row>
    <row r="41" spans="2:8" ht="28.2" customHeight="1" outlineLevel="1" thickTop="1" thickBot="1" x14ac:dyDescent="0.35">
      <c r="B41" s="123" t="s">
        <v>181</v>
      </c>
      <c r="C41" s="57">
        <f>SUBTOTAL(9,C39:C40)</f>
        <v>78</v>
      </c>
      <c r="D41" s="62"/>
      <c r="E41" s="16"/>
      <c r="F41" s="17"/>
      <c r="G41" s="17">
        <f>SUBTOTAL(9,G39:G40)</f>
        <v>4</v>
      </c>
      <c r="H41" s="78">
        <f>SUBTOTAL(9,H39:H40)</f>
        <v>5.128205128205128E-2</v>
      </c>
    </row>
    <row r="42" spans="2:8" ht="170.4" customHeight="1" outlineLevel="2" thickTop="1" thickBot="1" x14ac:dyDescent="0.35">
      <c r="B42" s="113" t="s">
        <v>99</v>
      </c>
      <c r="C42" s="111">
        <v>77</v>
      </c>
      <c r="D42" s="112" t="s">
        <v>72</v>
      </c>
      <c r="E42" s="27" t="s">
        <v>34</v>
      </c>
      <c r="F42" s="28" t="s">
        <v>152</v>
      </c>
      <c r="G42" s="28">
        <v>17</v>
      </c>
      <c r="H42" s="84">
        <f>G42/C42</f>
        <v>0.22077922077922077</v>
      </c>
    </row>
    <row r="43" spans="2:8" ht="23.4" customHeight="1" outlineLevel="1" thickTop="1" thickBot="1" x14ac:dyDescent="0.35">
      <c r="B43" s="128" t="s">
        <v>182</v>
      </c>
      <c r="C43" s="66">
        <f>SUBTOTAL(9,C42:C42)</f>
        <v>77</v>
      </c>
      <c r="D43" s="67"/>
      <c r="E43" s="27"/>
      <c r="F43" s="28"/>
      <c r="G43" s="28">
        <f>SUBTOTAL(9,G42:G42)</f>
        <v>17</v>
      </c>
      <c r="H43" s="84">
        <f>SUBTOTAL(9,H42:H42)</f>
        <v>0.22077922077922077</v>
      </c>
    </row>
    <row r="44" spans="2:8" ht="193.2" customHeight="1" outlineLevel="2" thickTop="1" thickBot="1" x14ac:dyDescent="0.35">
      <c r="B44" s="4" t="s">
        <v>100</v>
      </c>
      <c r="C44" s="4">
        <v>216</v>
      </c>
      <c r="D44" s="5" t="s">
        <v>73</v>
      </c>
      <c r="E44" s="6" t="s">
        <v>123</v>
      </c>
      <c r="F44" s="7" t="s">
        <v>153</v>
      </c>
      <c r="G44" s="7">
        <v>1</v>
      </c>
      <c r="H44" s="74">
        <f>G44/C44</f>
        <v>4.6296296296296294E-3</v>
      </c>
    </row>
    <row r="45" spans="2:8" ht="31.8" customHeight="1" outlineLevel="1" thickTop="1" thickBot="1" x14ac:dyDescent="0.35">
      <c r="B45" s="122" t="s">
        <v>183</v>
      </c>
      <c r="C45" s="55">
        <f>SUBTOTAL(9,C44:C44)</f>
        <v>216</v>
      </c>
      <c r="D45" s="61"/>
      <c r="E45" s="6"/>
      <c r="F45" s="7"/>
      <c r="G45" s="7">
        <f>SUBTOTAL(9,G44:G44)</f>
        <v>1</v>
      </c>
      <c r="H45" s="74">
        <f>SUBTOTAL(9,H44:H44)</f>
        <v>4.6296296296296294E-3</v>
      </c>
    </row>
    <row r="46" spans="2:8" ht="180.6" customHeight="1" outlineLevel="2" thickTop="1" thickBot="1" x14ac:dyDescent="0.35">
      <c r="B46" s="105" t="s">
        <v>101</v>
      </c>
      <c r="C46" s="105">
        <v>130</v>
      </c>
      <c r="D46" s="104" t="s">
        <v>74</v>
      </c>
      <c r="E46" s="2" t="s">
        <v>9</v>
      </c>
      <c r="F46" s="3" t="s">
        <v>154</v>
      </c>
      <c r="G46" s="3">
        <v>1</v>
      </c>
      <c r="H46" s="73">
        <f>G46/C46</f>
        <v>7.6923076923076927E-3</v>
      </c>
    </row>
    <row r="47" spans="2:8" ht="19.2" customHeight="1" outlineLevel="1" thickTop="1" thickBot="1" x14ac:dyDescent="0.35">
      <c r="B47" s="125" t="s">
        <v>184</v>
      </c>
      <c r="C47" s="56">
        <f>SUBTOTAL(9,C46:C46)</f>
        <v>130</v>
      </c>
      <c r="D47" s="60"/>
      <c r="E47" s="2"/>
      <c r="F47" s="3"/>
      <c r="G47" s="3">
        <f>SUBTOTAL(9,G46:G46)</f>
        <v>1</v>
      </c>
      <c r="H47" s="73">
        <f>SUBTOTAL(9,H46:H46)</f>
        <v>7.6923076923076927E-3</v>
      </c>
    </row>
    <row r="48" spans="2:8" ht="24" customHeight="1" outlineLevel="2" thickTop="1" thickBot="1" x14ac:dyDescent="0.35">
      <c r="B48" s="120" t="s">
        <v>102</v>
      </c>
      <c r="C48" s="118">
        <v>160</v>
      </c>
      <c r="D48" s="119" t="s">
        <v>75</v>
      </c>
      <c r="E48" s="29"/>
      <c r="F48" s="22">
        <v>0</v>
      </c>
      <c r="G48" s="22">
        <v>0</v>
      </c>
      <c r="H48" s="85">
        <f t="shared" ref="H48" si="1">G48/C48</f>
        <v>0</v>
      </c>
    </row>
    <row r="49" spans="2:8" ht="24" customHeight="1" outlineLevel="1" thickTop="1" thickBot="1" x14ac:dyDescent="0.35">
      <c r="B49" s="129" t="s">
        <v>185</v>
      </c>
      <c r="C49" s="58">
        <f>SUBTOTAL(9,C48:C48)</f>
        <v>160</v>
      </c>
      <c r="D49" s="59"/>
      <c r="E49" s="29"/>
      <c r="F49" s="22"/>
      <c r="G49" s="22">
        <f>SUBTOTAL(9,G48:G48)</f>
        <v>0</v>
      </c>
      <c r="H49" s="85">
        <f>SUBTOTAL(9,H48:H48)</f>
        <v>0</v>
      </c>
    </row>
    <row r="50" spans="2:8" ht="193.2" customHeight="1" outlineLevel="2" thickTop="1" thickBot="1" x14ac:dyDescent="0.35">
      <c r="B50" s="8" t="s">
        <v>103</v>
      </c>
      <c r="C50" s="8">
        <v>210</v>
      </c>
      <c r="D50" s="26" t="s">
        <v>76</v>
      </c>
      <c r="E50" s="16" t="s">
        <v>44</v>
      </c>
      <c r="F50" s="17" t="s">
        <v>155</v>
      </c>
      <c r="G50" s="17">
        <v>1</v>
      </c>
      <c r="H50" s="78">
        <f>G50/C50</f>
        <v>4.7619047619047623E-3</v>
      </c>
    </row>
    <row r="51" spans="2:8" ht="27.6" customHeight="1" outlineLevel="1" thickTop="1" thickBot="1" x14ac:dyDescent="0.35">
      <c r="B51" s="123" t="s">
        <v>186</v>
      </c>
      <c r="C51" s="57">
        <f>SUBTOTAL(9,C50:C50)</f>
        <v>210</v>
      </c>
      <c r="D51" s="62"/>
      <c r="E51" s="16"/>
      <c r="F51" s="17"/>
      <c r="G51" s="17">
        <f>SUBTOTAL(9,G50:G50)</f>
        <v>1</v>
      </c>
      <c r="H51" s="78">
        <f>SUBTOTAL(9,H50:H50)</f>
        <v>4.7619047619047623E-3</v>
      </c>
    </row>
    <row r="52" spans="2:8" ht="100.05" customHeight="1" outlineLevel="2" thickTop="1" thickBot="1" x14ac:dyDescent="0.35">
      <c r="B52" s="105" t="s">
        <v>104</v>
      </c>
      <c r="C52" s="105">
        <v>165</v>
      </c>
      <c r="D52" s="104" t="s">
        <v>77</v>
      </c>
      <c r="E52" s="2" t="s">
        <v>38</v>
      </c>
      <c r="F52" s="3" t="s">
        <v>157</v>
      </c>
      <c r="G52" s="3">
        <v>16</v>
      </c>
      <c r="H52" s="73">
        <f>G52/C52</f>
        <v>9.696969696969697E-2</v>
      </c>
    </row>
    <row r="53" spans="2:8" ht="100.05" customHeight="1" outlineLevel="2" thickTop="1" thickBot="1" x14ac:dyDescent="0.35">
      <c r="B53" s="105"/>
      <c r="C53" s="105"/>
      <c r="D53" s="104"/>
      <c r="E53" s="2" t="s">
        <v>39</v>
      </c>
      <c r="F53" s="3" t="s">
        <v>156</v>
      </c>
      <c r="G53" s="3">
        <v>7</v>
      </c>
      <c r="H53" s="73">
        <f>G53/C52</f>
        <v>4.2424242424242427E-2</v>
      </c>
    </row>
    <row r="54" spans="2:8" ht="28.8" customHeight="1" outlineLevel="1" thickTop="1" thickBot="1" x14ac:dyDescent="0.35">
      <c r="B54" s="125" t="s">
        <v>187</v>
      </c>
      <c r="C54" s="56">
        <f>SUBTOTAL(9,C52:C53)</f>
        <v>165</v>
      </c>
      <c r="D54" s="60"/>
      <c r="E54" s="2"/>
      <c r="F54" s="3"/>
      <c r="G54" s="3">
        <f>SUBTOTAL(9,G52:G53)</f>
        <v>23</v>
      </c>
      <c r="H54" s="73">
        <f>SUBTOTAL(9,H52:H53)</f>
        <v>0.1393939393939394</v>
      </c>
    </row>
    <row r="55" spans="2:8" ht="100.05" customHeight="1" outlineLevel="2" thickTop="1" thickBot="1" x14ac:dyDescent="0.35">
      <c r="B55" s="103" t="s">
        <v>105</v>
      </c>
      <c r="C55" s="103">
        <v>54</v>
      </c>
      <c r="D55" s="102" t="s">
        <v>78</v>
      </c>
      <c r="E55" s="6" t="s">
        <v>115</v>
      </c>
      <c r="F55" s="7" t="s">
        <v>158</v>
      </c>
      <c r="G55" s="7">
        <v>5</v>
      </c>
      <c r="H55" s="74">
        <f>G55/C55</f>
        <v>9.2592592592592587E-2</v>
      </c>
    </row>
    <row r="56" spans="2:8" ht="100.05" customHeight="1" outlineLevel="2" thickTop="1" thickBot="1" x14ac:dyDescent="0.35">
      <c r="B56" s="103"/>
      <c r="C56" s="103"/>
      <c r="D56" s="102"/>
      <c r="E56" s="6" t="s">
        <v>24</v>
      </c>
      <c r="F56" s="7" t="s">
        <v>159</v>
      </c>
      <c r="G56" s="7">
        <v>1</v>
      </c>
      <c r="H56" s="74">
        <f>G56/C55</f>
        <v>1.8518518518518517E-2</v>
      </c>
    </row>
    <row r="57" spans="2:8" ht="100.05" customHeight="1" outlineLevel="2" thickTop="1" thickBot="1" x14ac:dyDescent="0.35">
      <c r="B57" s="103"/>
      <c r="C57" s="103"/>
      <c r="D57" s="102"/>
      <c r="E57" s="6" t="s">
        <v>22</v>
      </c>
      <c r="F57" s="7" t="s">
        <v>143</v>
      </c>
      <c r="G57" s="7">
        <v>1</v>
      </c>
      <c r="H57" s="74">
        <f>G57/C55</f>
        <v>1.8518518518518517E-2</v>
      </c>
    </row>
    <row r="58" spans="2:8" ht="100.05" customHeight="1" outlineLevel="2" thickTop="1" thickBot="1" x14ac:dyDescent="0.35">
      <c r="B58" s="103"/>
      <c r="C58" s="103"/>
      <c r="D58" s="102"/>
      <c r="E58" s="6" t="s">
        <v>121</v>
      </c>
      <c r="F58" s="7" t="s">
        <v>142</v>
      </c>
      <c r="G58" s="7">
        <v>1</v>
      </c>
      <c r="H58" s="74">
        <f>G58/C55</f>
        <v>1.8518518518518517E-2</v>
      </c>
    </row>
    <row r="59" spans="2:8" ht="30.6" customHeight="1" outlineLevel="1" thickTop="1" thickBot="1" x14ac:dyDescent="0.35">
      <c r="B59" s="122" t="s">
        <v>188</v>
      </c>
      <c r="C59" s="55">
        <f>SUBTOTAL(9,C55:C58)</f>
        <v>54</v>
      </c>
      <c r="D59" s="61"/>
      <c r="E59" s="6"/>
      <c r="F59" s="7"/>
      <c r="G59" s="7">
        <f>SUBTOTAL(9,G55:G58)</f>
        <v>8</v>
      </c>
      <c r="H59" s="74">
        <f>SUBTOTAL(9,H55:H58)</f>
        <v>0.14814814814814814</v>
      </c>
    </row>
    <row r="60" spans="2:8" ht="100.05" customHeight="1" outlineLevel="2" thickTop="1" thickBot="1" x14ac:dyDescent="0.35">
      <c r="B60" s="105" t="s">
        <v>106</v>
      </c>
      <c r="C60" s="105">
        <v>149</v>
      </c>
      <c r="D60" s="104" t="s">
        <v>79</v>
      </c>
      <c r="E60" s="2" t="s">
        <v>17</v>
      </c>
      <c r="F60" s="3" t="s">
        <v>159</v>
      </c>
      <c r="G60" s="3">
        <v>59</v>
      </c>
      <c r="H60" s="73">
        <f>G60/149</f>
        <v>0.39597315436241609</v>
      </c>
    </row>
    <row r="61" spans="2:8" ht="100.05" customHeight="1" outlineLevel="2" thickTop="1" thickBot="1" x14ac:dyDescent="0.35">
      <c r="B61" s="105"/>
      <c r="C61" s="105"/>
      <c r="D61" s="104"/>
      <c r="E61" s="2" t="s">
        <v>114</v>
      </c>
      <c r="F61" s="3" t="s">
        <v>138</v>
      </c>
      <c r="G61" s="3">
        <v>15</v>
      </c>
      <c r="H61" s="73">
        <f>G61/C60</f>
        <v>0.10067114093959731</v>
      </c>
    </row>
    <row r="62" spans="2:8" ht="100.05" customHeight="1" outlineLevel="2" thickTop="1" thickBot="1" x14ac:dyDescent="0.35">
      <c r="B62" s="105"/>
      <c r="C62" s="105"/>
      <c r="D62" s="104"/>
      <c r="E62" s="2" t="s">
        <v>10</v>
      </c>
      <c r="F62" s="3" t="s">
        <v>143</v>
      </c>
      <c r="G62" s="3">
        <v>1</v>
      </c>
      <c r="H62" s="73">
        <f>G62/149</f>
        <v>6.7114093959731542E-3</v>
      </c>
    </row>
    <row r="63" spans="2:8" ht="28.2" customHeight="1" outlineLevel="1" thickTop="1" thickBot="1" x14ac:dyDescent="0.35">
      <c r="B63" s="125" t="s">
        <v>189</v>
      </c>
      <c r="C63" s="56">
        <f>SUBTOTAL(9,C60:C62)</f>
        <v>149</v>
      </c>
      <c r="D63" s="60"/>
      <c r="E63" s="2"/>
      <c r="F63" s="3"/>
      <c r="G63" s="3">
        <f>SUBTOTAL(9,G60:G62)</f>
        <v>75</v>
      </c>
      <c r="H63" s="73">
        <f>SUBTOTAL(9,H60:H62)</f>
        <v>0.50335570469798652</v>
      </c>
    </row>
    <row r="64" spans="2:8" ht="100.05" customHeight="1" outlineLevel="2" thickTop="1" thickBot="1" x14ac:dyDescent="0.35">
      <c r="B64" s="114" t="s">
        <v>107</v>
      </c>
      <c r="C64" s="114">
        <v>139</v>
      </c>
      <c r="D64" s="109" t="s">
        <v>80</v>
      </c>
      <c r="E64" s="16" t="s">
        <v>117</v>
      </c>
      <c r="F64" s="17" t="s">
        <v>160</v>
      </c>
      <c r="G64" s="17">
        <v>10</v>
      </c>
      <c r="H64" s="78">
        <f>G64/139</f>
        <v>7.1942446043165464E-2</v>
      </c>
    </row>
    <row r="65" spans="2:8" ht="100.05" customHeight="1" outlineLevel="2" thickTop="1" thickBot="1" x14ac:dyDescent="0.35">
      <c r="B65" s="114"/>
      <c r="C65" s="114"/>
      <c r="D65" s="109"/>
      <c r="E65" s="16" t="s">
        <v>36</v>
      </c>
      <c r="F65" s="17" t="s">
        <v>158</v>
      </c>
      <c r="G65" s="17">
        <v>9</v>
      </c>
      <c r="H65" s="78">
        <f>G65/C64</f>
        <v>6.4748201438848921E-2</v>
      </c>
    </row>
    <row r="66" spans="2:8" ht="100.05" customHeight="1" outlineLevel="2" thickTop="1" thickBot="1" x14ac:dyDescent="0.35">
      <c r="B66" s="114"/>
      <c r="C66" s="114"/>
      <c r="D66" s="109"/>
      <c r="E66" s="16" t="s">
        <v>40</v>
      </c>
      <c r="F66" s="17" t="s">
        <v>159</v>
      </c>
      <c r="G66" s="17">
        <v>2</v>
      </c>
      <c r="H66" s="78">
        <f>G66/139</f>
        <v>1.4388489208633094E-2</v>
      </c>
    </row>
    <row r="67" spans="2:8" ht="25.8" customHeight="1" outlineLevel="1" thickTop="1" thickBot="1" x14ac:dyDescent="0.35">
      <c r="B67" s="123" t="s">
        <v>190</v>
      </c>
      <c r="C67" s="57">
        <f>SUBTOTAL(9,C64:C66)</f>
        <v>139</v>
      </c>
      <c r="D67" s="62"/>
      <c r="E67" s="16"/>
      <c r="F67" s="17"/>
      <c r="G67" s="17">
        <f>SUBTOTAL(9,G64:G66)</f>
        <v>21</v>
      </c>
      <c r="H67" s="78">
        <f>SUBTOTAL(9,H64:H66)</f>
        <v>0.15107913669064746</v>
      </c>
    </row>
    <row r="68" spans="2:8" ht="100.05" customHeight="1" outlineLevel="2" thickTop="1" thickBot="1" x14ac:dyDescent="0.35">
      <c r="B68" s="118" t="s">
        <v>108</v>
      </c>
      <c r="C68" s="118">
        <v>31</v>
      </c>
      <c r="D68" s="110" t="s">
        <v>81</v>
      </c>
      <c r="E68" s="21" t="s">
        <v>118</v>
      </c>
      <c r="F68" s="22" t="s">
        <v>161</v>
      </c>
      <c r="G68" s="22">
        <v>5</v>
      </c>
      <c r="H68" s="85">
        <f>G68/C68</f>
        <v>0.16129032258064516</v>
      </c>
    </row>
    <row r="69" spans="2:8" ht="100.05" customHeight="1" outlineLevel="2" thickTop="1" thickBot="1" x14ac:dyDescent="0.35">
      <c r="B69" s="118"/>
      <c r="C69" s="118"/>
      <c r="D69" s="110"/>
      <c r="E69" s="29" t="s">
        <v>23</v>
      </c>
      <c r="F69" s="22" t="s">
        <v>143</v>
      </c>
      <c r="G69" s="22">
        <v>4</v>
      </c>
      <c r="H69" s="85">
        <f>G69/C68</f>
        <v>0.12903225806451613</v>
      </c>
    </row>
    <row r="70" spans="2:8" ht="100.05" customHeight="1" outlineLevel="2" thickTop="1" thickBot="1" x14ac:dyDescent="0.35">
      <c r="B70" s="118"/>
      <c r="C70" s="118"/>
      <c r="D70" s="110"/>
      <c r="E70" s="21" t="s">
        <v>26</v>
      </c>
      <c r="F70" s="22" t="s">
        <v>158</v>
      </c>
      <c r="G70" s="22">
        <v>3</v>
      </c>
      <c r="H70" s="85">
        <f>G70/C68</f>
        <v>9.6774193548387094E-2</v>
      </c>
    </row>
    <row r="71" spans="2:8" ht="100.05" customHeight="1" outlineLevel="2" thickTop="1" thickBot="1" x14ac:dyDescent="0.35">
      <c r="B71" s="118"/>
      <c r="C71" s="118"/>
      <c r="D71" s="110"/>
      <c r="E71" s="29" t="s">
        <v>128</v>
      </c>
      <c r="F71" s="71" t="s">
        <v>164</v>
      </c>
      <c r="G71" s="22">
        <v>1</v>
      </c>
      <c r="H71" s="85">
        <f>G71/C68</f>
        <v>3.2258064516129031E-2</v>
      </c>
    </row>
    <row r="72" spans="2:8" ht="24.6" customHeight="1" outlineLevel="1" thickTop="1" thickBot="1" x14ac:dyDescent="0.35">
      <c r="B72" s="129" t="s">
        <v>191</v>
      </c>
      <c r="C72" s="58">
        <f>SUBTOTAL(9,C68:C71)</f>
        <v>31</v>
      </c>
      <c r="D72" s="68"/>
      <c r="E72" s="29"/>
      <c r="F72" s="71"/>
      <c r="G72" s="22">
        <f>SUBTOTAL(9,G68:G71)</f>
        <v>13</v>
      </c>
      <c r="H72" s="85">
        <f>SUBTOTAL(9,H68:H71)</f>
        <v>0.41935483870967738</v>
      </c>
    </row>
    <row r="73" spans="2:8" ht="100.05" customHeight="1" outlineLevel="2" thickTop="1" thickBot="1" x14ac:dyDescent="0.35">
      <c r="B73" s="105" t="s">
        <v>109</v>
      </c>
      <c r="C73" s="105">
        <v>59</v>
      </c>
      <c r="D73" s="104" t="s">
        <v>82</v>
      </c>
      <c r="E73" s="2" t="s">
        <v>4</v>
      </c>
      <c r="F73" s="3" t="s">
        <v>150</v>
      </c>
      <c r="G73" s="3">
        <v>2</v>
      </c>
      <c r="H73" s="73">
        <f>G73/C73</f>
        <v>3.3898305084745763E-2</v>
      </c>
    </row>
    <row r="74" spans="2:8" ht="100.05" customHeight="1" outlineLevel="2" thickTop="1" thickBot="1" x14ac:dyDescent="0.35">
      <c r="B74" s="105"/>
      <c r="C74" s="105"/>
      <c r="D74" s="104"/>
      <c r="E74" s="2" t="s">
        <v>18</v>
      </c>
      <c r="F74" s="30" t="s">
        <v>154</v>
      </c>
      <c r="G74" s="30">
        <v>1</v>
      </c>
      <c r="H74" s="86">
        <f>G74/C73</f>
        <v>1.6949152542372881E-2</v>
      </c>
    </row>
    <row r="75" spans="2:8" ht="100.05" customHeight="1" outlineLevel="2" thickTop="1" thickBot="1" x14ac:dyDescent="0.35">
      <c r="B75" s="105"/>
      <c r="C75" s="105"/>
      <c r="D75" s="104"/>
      <c r="E75" s="2" t="s">
        <v>6</v>
      </c>
      <c r="F75" s="3" t="s">
        <v>162</v>
      </c>
      <c r="G75" s="3">
        <v>1</v>
      </c>
      <c r="H75" s="73">
        <f>G75/C73</f>
        <v>1.6949152542372881E-2</v>
      </c>
    </row>
    <row r="76" spans="2:8" ht="24.6" customHeight="1" outlineLevel="1" thickTop="1" thickBot="1" x14ac:dyDescent="0.35">
      <c r="B76" s="125" t="s">
        <v>192</v>
      </c>
      <c r="C76" s="56">
        <f>SUBTOTAL(9,C73:C75)</f>
        <v>59</v>
      </c>
      <c r="D76" s="60"/>
      <c r="E76" s="2"/>
      <c r="F76" s="3"/>
      <c r="G76" s="3">
        <f>SUBTOTAL(9,G73:G75)</f>
        <v>4</v>
      </c>
      <c r="H76" s="73">
        <f>SUBTOTAL(9,H73:H75)</f>
        <v>6.7796610169491525E-2</v>
      </c>
    </row>
    <row r="77" spans="2:8" ht="159.6" customHeight="1" outlineLevel="2" thickTop="1" thickBot="1" x14ac:dyDescent="0.35">
      <c r="B77" s="7" t="s">
        <v>110</v>
      </c>
      <c r="C77" s="7">
        <v>102</v>
      </c>
      <c r="D77" s="35" t="s">
        <v>83</v>
      </c>
      <c r="E77" s="14" t="s">
        <v>127</v>
      </c>
      <c r="F77" s="7" t="s">
        <v>163</v>
      </c>
      <c r="G77" s="7">
        <v>1</v>
      </c>
      <c r="H77" s="74">
        <f>G77/C77</f>
        <v>9.8039215686274508E-3</v>
      </c>
    </row>
    <row r="78" spans="2:8" ht="28.8" customHeight="1" outlineLevel="1" thickTop="1" thickBot="1" x14ac:dyDescent="0.35">
      <c r="B78" s="130" t="s">
        <v>193</v>
      </c>
      <c r="C78" s="7">
        <f>SUBTOTAL(9,C77:C77)</f>
        <v>102</v>
      </c>
      <c r="D78" s="35"/>
      <c r="E78" s="14"/>
      <c r="F78" s="7"/>
      <c r="G78" s="7">
        <f>SUBTOTAL(9,G77:G77)</f>
        <v>1</v>
      </c>
      <c r="H78" s="74">
        <f>SUBTOTAL(9,H77:H77)</f>
        <v>9.8039215686274508E-3</v>
      </c>
    </row>
    <row r="79" spans="2:8" ht="30" customHeight="1" outlineLevel="2" thickTop="1" thickBot="1" x14ac:dyDescent="0.35">
      <c r="B79" s="4" t="s">
        <v>133</v>
      </c>
      <c r="C79" s="7"/>
      <c r="D79" s="35"/>
      <c r="E79" s="14"/>
      <c r="F79" s="7"/>
      <c r="G79" s="7">
        <f>SUM(G2:G77)</f>
        <v>529</v>
      </c>
      <c r="H79" s="74"/>
    </row>
    <row r="80" spans="2:8" ht="100.05" customHeight="1" outlineLevel="1" thickTop="1" x14ac:dyDescent="0.3">
      <c r="B80" s="42"/>
      <c r="C80" s="42"/>
      <c r="D80" s="42"/>
      <c r="E80" s="43"/>
      <c r="F80" s="42"/>
      <c r="G80" s="42"/>
      <c r="H80" s="88"/>
    </row>
    <row r="81" spans="2:8" ht="100.05" customHeight="1" outlineLevel="1" x14ac:dyDescent="0.3">
      <c r="B81" s="42"/>
      <c r="C81" s="42"/>
      <c r="D81" s="42"/>
      <c r="E81" s="43"/>
      <c r="F81" s="42"/>
      <c r="G81" s="42"/>
      <c r="H81" s="88"/>
    </row>
    <row r="82" spans="2:8" ht="100.05" customHeight="1" outlineLevel="1" x14ac:dyDescent="0.3">
      <c r="B82" s="42"/>
      <c r="C82" s="42"/>
      <c r="D82" s="42"/>
      <c r="E82" s="43"/>
      <c r="F82" s="42"/>
      <c r="G82" s="42"/>
      <c r="H82" s="88"/>
    </row>
    <row r="83" spans="2:8" ht="100.05" customHeight="1" outlineLevel="1" x14ac:dyDescent="0.3">
      <c r="B83" s="42"/>
      <c r="C83" s="42"/>
      <c r="D83" s="42"/>
      <c r="E83" s="43"/>
      <c r="F83" s="42"/>
      <c r="G83" s="42"/>
      <c r="H83" s="88"/>
    </row>
    <row r="84" spans="2:8" ht="100.05" customHeight="1" outlineLevel="1" x14ac:dyDescent="0.3">
      <c r="B84" s="42"/>
      <c r="C84" s="42"/>
      <c r="D84" s="42"/>
      <c r="E84" s="43"/>
      <c r="F84" s="42"/>
      <c r="G84" s="42"/>
      <c r="H84" s="88"/>
    </row>
    <row r="85" spans="2:8" ht="100.05" customHeight="1" outlineLevel="1" x14ac:dyDescent="0.3">
      <c r="B85" s="42"/>
      <c r="C85" s="42"/>
      <c r="D85" s="42"/>
      <c r="E85" s="43"/>
      <c r="F85" s="42"/>
      <c r="G85" s="42"/>
      <c r="H85" s="88"/>
    </row>
    <row r="86" spans="2:8" ht="100.05" customHeight="1" outlineLevel="1" x14ac:dyDescent="0.3">
      <c r="B86" s="42"/>
      <c r="C86" s="42"/>
      <c r="D86" s="42"/>
      <c r="E86" s="43"/>
      <c r="F86" s="42"/>
      <c r="G86" s="42"/>
      <c r="H86" s="88"/>
    </row>
    <row r="87" spans="2:8" ht="100.05" customHeight="1" outlineLevel="1" x14ac:dyDescent="0.3">
      <c r="B87" s="42"/>
      <c r="C87" s="42"/>
      <c r="D87" s="42"/>
      <c r="E87" s="43"/>
      <c r="F87" s="42"/>
      <c r="G87" s="42"/>
      <c r="H87" s="88"/>
    </row>
    <row r="88" spans="2:8" ht="100.05" customHeight="1" outlineLevel="1" x14ac:dyDescent="0.3">
      <c r="B88" s="42"/>
      <c r="C88" s="42"/>
      <c r="D88" s="42"/>
      <c r="E88" s="43"/>
      <c r="F88" s="42"/>
      <c r="G88" s="42"/>
      <c r="H88" s="88"/>
    </row>
    <row r="89" spans="2:8" ht="100.05" customHeight="1" outlineLevel="1" x14ac:dyDescent="0.3">
      <c r="B89" s="42"/>
      <c r="C89" s="42"/>
      <c r="D89" s="42"/>
      <c r="E89" s="43"/>
      <c r="F89" s="42"/>
      <c r="G89" s="42"/>
      <c r="H89" s="88"/>
    </row>
    <row r="90" spans="2:8" ht="100.05" customHeight="1" outlineLevel="1" x14ac:dyDescent="0.3">
      <c r="B90" s="42"/>
      <c r="C90" s="42"/>
      <c r="D90" s="42"/>
      <c r="E90" s="43"/>
      <c r="F90" s="42"/>
      <c r="G90" s="42"/>
      <c r="H90" s="88"/>
    </row>
    <row r="91" spans="2:8" ht="100.05" customHeight="1" outlineLevel="1" x14ac:dyDescent="0.3">
      <c r="B91" s="42"/>
      <c r="C91" s="42"/>
      <c r="D91" s="42"/>
      <c r="E91" s="43"/>
      <c r="F91" s="42"/>
      <c r="G91" s="42"/>
      <c r="H91" s="88"/>
    </row>
    <row r="92" spans="2:8" ht="100.05" customHeight="1" outlineLevel="1" x14ac:dyDescent="0.3">
      <c r="B92" s="42"/>
      <c r="C92" s="42"/>
      <c r="D92" s="42"/>
      <c r="E92" s="43"/>
      <c r="F92" s="42"/>
      <c r="G92" s="42"/>
      <c r="H92" s="88"/>
    </row>
    <row r="93" spans="2:8" ht="100.05" customHeight="1" outlineLevel="1" x14ac:dyDescent="0.3">
      <c r="B93" s="42"/>
      <c r="C93" s="42"/>
      <c r="D93" s="42"/>
      <c r="E93" s="43"/>
      <c r="F93" s="42"/>
      <c r="G93" s="42"/>
      <c r="H93" s="88"/>
    </row>
    <row r="94" spans="2:8" ht="100.05" customHeight="1" outlineLevel="1" x14ac:dyDescent="0.3">
      <c r="B94" s="42"/>
      <c r="C94" s="42"/>
      <c r="D94" s="42"/>
      <c r="E94" s="43"/>
      <c r="F94" s="42"/>
      <c r="G94" s="42"/>
      <c r="H94" s="88"/>
    </row>
    <row r="95" spans="2:8" ht="100.05" customHeight="1" outlineLevel="1" x14ac:dyDescent="0.3">
      <c r="B95" s="42"/>
      <c r="C95" s="42"/>
      <c r="D95" s="42"/>
      <c r="E95" s="43"/>
      <c r="F95" s="42"/>
      <c r="G95" s="42"/>
      <c r="H95" s="88"/>
    </row>
    <row r="96" spans="2:8" ht="100.05" customHeight="1" outlineLevel="1" x14ac:dyDescent="0.3">
      <c r="B96" s="42"/>
      <c r="C96" s="42"/>
      <c r="D96" s="42"/>
      <c r="E96" s="43"/>
      <c r="F96" s="42"/>
      <c r="G96" s="42"/>
      <c r="H96" s="88"/>
    </row>
    <row r="97" spans="2:8" ht="100.05" customHeight="1" outlineLevel="1" x14ac:dyDescent="0.3">
      <c r="B97" s="42"/>
      <c r="C97" s="42"/>
      <c r="D97" s="42"/>
      <c r="E97" s="43"/>
      <c r="F97" s="42"/>
      <c r="G97" s="42"/>
      <c r="H97" s="88"/>
    </row>
    <row r="98" spans="2:8" ht="100.05" customHeight="1" outlineLevel="1" x14ac:dyDescent="0.3">
      <c r="B98" s="42"/>
      <c r="C98" s="42"/>
      <c r="D98" s="42"/>
      <c r="E98" s="43"/>
      <c r="F98" s="42"/>
      <c r="G98" s="42"/>
      <c r="H98" s="88"/>
    </row>
    <row r="99" spans="2:8" ht="100.05" customHeight="1" outlineLevel="1" x14ac:dyDescent="0.3">
      <c r="B99" s="42"/>
      <c r="C99" s="42"/>
      <c r="D99" s="42"/>
      <c r="E99" s="43"/>
      <c r="F99" s="42"/>
      <c r="G99" s="42"/>
      <c r="H99" s="88"/>
    </row>
    <row r="100" spans="2:8" ht="100.05" customHeight="1" outlineLevel="1" x14ac:dyDescent="0.3">
      <c r="B100" s="42"/>
      <c r="C100" s="42"/>
      <c r="D100" s="42"/>
      <c r="E100" s="43"/>
      <c r="F100" s="42"/>
      <c r="G100" s="42"/>
      <c r="H100" s="88"/>
    </row>
    <row r="101" spans="2:8" ht="100.05" customHeight="1" outlineLevel="1" x14ac:dyDescent="0.3">
      <c r="B101" s="42"/>
      <c r="C101" s="42"/>
      <c r="D101" s="42"/>
      <c r="E101" s="43"/>
      <c r="F101" s="42"/>
      <c r="G101" s="42"/>
      <c r="H101" s="88"/>
    </row>
    <row r="102" spans="2:8" ht="100.05" customHeight="1" outlineLevel="1" x14ac:dyDescent="0.3">
      <c r="B102" s="42"/>
      <c r="C102" s="42"/>
      <c r="D102" s="42"/>
      <c r="E102" s="43"/>
      <c r="F102" s="42"/>
      <c r="G102" s="42"/>
      <c r="H102" s="88"/>
    </row>
    <row r="103" spans="2:8" ht="100.05" customHeight="1" outlineLevel="1" x14ac:dyDescent="0.3">
      <c r="B103" s="42"/>
      <c r="C103" s="42"/>
      <c r="D103" s="42"/>
      <c r="E103" s="43"/>
      <c r="F103" s="42"/>
      <c r="G103" s="42"/>
      <c r="H103" s="88"/>
    </row>
    <row r="104" spans="2:8" ht="100.05" customHeight="1" outlineLevel="1" x14ac:dyDescent="0.3">
      <c r="B104" s="42"/>
      <c r="C104" s="42"/>
      <c r="D104" s="42"/>
      <c r="E104" s="43"/>
      <c r="F104" s="42"/>
      <c r="G104" s="42"/>
      <c r="H104" s="88"/>
    </row>
    <row r="105" spans="2:8" ht="100.05" customHeight="1" outlineLevel="1" x14ac:dyDescent="0.3">
      <c r="B105" s="42"/>
      <c r="C105" s="42"/>
      <c r="D105" s="42"/>
      <c r="E105" s="43"/>
      <c r="F105" s="42"/>
      <c r="G105" s="42"/>
      <c r="H105" s="88"/>
    </row>
    <row r="106" spans="2:8" ht="100.05" customHeight="1" outlineLevel="1" x14ac:dyDescent="0.3">
      <c r="B106" s="42"/>
      <c r="C106" s="42"/>
      <c r="D106" s="42"/>
      <c r="E106" s="43"/>
      <c r="F106" s="42"/>
      <c r="G106" s="42"/>
      <c r="H106" s="88"/>
    </row>
    <row r="107" spans="2:8" ht="100.05" customHeight="1" outlineLevel="1" x14ac:dyDescent="0.3">
      <c r="B107" s="42"/>
      <c r="C107" s="42"/>
      <c r="D107" s="42"/>
      <c r="E107" s="43"/>
      <c r="F107" s="42"/>
      <c r="G107" s="42"/>
      <c r="H107" s="88"/>
    </row>
    <row r="108" spans="2:8" ht="100.05" customHeight="1" outlineLevel="1" x14ac:dyDescent="0.3">
      <c r="B108" s="42"/>
      <c r="C108" s="42"/>
      <c r="D108" s="42"/>
      <c r="E108" s="43"/>
      <c r="F108" s="42"/>
      <c r="G108" s="42"/>
      <c r="H108" s="88"/>
    </row>
    <row r="109" spans="2:8" ht="100.05" customHeight="1" outlineLevel="1" x14ac:dyDescent="0.3">
      <c r="B109" s="42"/>
      <c r="C109" s="42"/>
      <c r="D109" s="42"/>
      <c r="E109" s="43"/>
      <c r="F109" s="42"/>
      <c r="G109" s="42"/>
      <c r="H109" s="88"/>
    </row>
    <row r="110" spans="2:8" ht="100.05" customHeight="1" outlineLevel="1" x14ac:dyDescent="0.3">
      <c r="B110" s="42"/>
      <c r="C110" s="42"/>
      <c r="D110" s="42"/>
      <c r="E110" s="43"/>
      <c r="F110" s="42"/>
      <c r="G110" s="42"/>
      <c r="H110" s="88"/>
    </row>
    <row r="111" spans="2:8" ht="100.05" customHeight="1" outlineLevel="1" x14ac:dyDescent="0.3">
      <c r="B111" s="42"/>
      <c r="C111" s="42"/>
      <c r="D111" s="42"/>
      <c r="E111" s="43"/>
      <c r="F111" s="42"/>
      <c r="G111" s="42"/>
      <c r="H111" s="88"/>
    </row>
    <row r="112" spans="2:8" ht="100.05" customHeight="1" outlineLevel="1" x14ac:dyDescent="0.3">
      <c r="B112" s="42"/>
      <c r="C112" s="42"/>
      <c r="D112" s="42"/>
      <c r="E112" s="43"/>
      <c r="F112" s="42"/>
      <c r="G112" s="42"/>
      <c r="H112" s="88"/>
    </row>
    <row r="113" spans="2:8" ht="100.05" customHeight="1" outlineLevel="1" x14ac:dyDescent="0.3">
      <c r="B113" s="42"/>
      <c r="C113" s="42"/>
      <c r="D113" s="42"/>
      <c r="E113" s="43"/>
      <c r="F113" s="42"/>
      <c r="G113" s="42"/>
      <c r="H113" s="88"/>
    </row>
    <row r="114" spans="2:8" ht="100.05" customHeight="1" outlineLevel="1" x14ac:dyDescent="0.3">
      <c r="B114" s="42"/>
      <c r="C114" s="42"/>
      <c r="D114" s="42"/>
      <c r="E114" s="43"/>
      <c r="F114" s="42"/>
      <c r="G114" s="42"/>
      <c r="H114" s="88"/>
    </row>
    <row r="115" spans="2:8" ht="100.05" customHeight="1" outlineLevel="1" x14ac:dyDescent="0.3">
      <c r="B115" s="42"/>
      <c r="C115" s="42"/>
      <c r="D115" s="42"/>
      <c r="E115" s="43"/>
      <c r="F115" s="42"/>
      <c r="G115" s="42"/>
      <c r="H115" s="88"/>
    </row>
    <row r="116" spans="2:8" ht="100.05" customHeight="1" outlineLevel="1" x14ac:dyDescent="0.3">
      <c r="B116" s="42"/>
      <c r="C116" s="42"/>
      <c r="D116" s="42"/>
      <c r="E116" s="43"/>
      <c r="F116" s="42"/>
      <c r="G116" s="42"/>
      <c r="H116" s="88"/>
    </row>
    <row r="117" spans="2:8" ht="100.05" customHeight="1" outlineLevel="1" x14ac:dyDescent="0.3">
      <c r="B117" s="42"/>
      <c r="C117" s="42"/>
      <c r="D117" s="42"/>
      <c r="E117" s="43"/>
      <c r="F117" s="42"/>
      <c r="G117" s="42"/>
      <c r="H117" s="88"/>
    </row>
    <row r="118" spans="2:8" ht="100.05" customHeight="1" outlineLevel="1" x14ac:dyDescent="0.3">
      <c r="B118" s="42"/>
      <c r="C118" s="42"/>
      <c r="D118" s="42"/>
      <c r="E118" s="43"/>
      <c r="F118" s="42"/>
      <c r="G118" s="42"/>
      <c r="H118" s="88"/>
    </row>
    <row r="119" spans="2:8" ht="100.05" customHeight="1" outlineLevel="1" x14ac:dyDescent="0.3">
      <c r="B119" s="42"/>
      <c r="C119" s="42"/>
      <c r="D119" s="42"/>
      <c r="E119" s="43"/>
      <c r="F119" s="42"/>
      <c r="G119" s="42"/>
      <c r="H119" s="88"/>
    </row>
    <row r="120" spans="2:8" ht="100.05" customHeight="1" outlineLevel="1" x14ac:dyDescent="0.3">
      <c r="B120" s="42"/>
      <c r="C120" s="42"/>
      <c r="D120" s="42"/>
      <c r="E120" s="43"/>
      <c r="F120" s="42"/>
      <c r="G120" s="42"/>
      <c r="H120" s="88"/>
    </row>
    <row r="121" spans="2:8" ht="100.05" customHeight="1" outlineLevel="1" x14ac:dyDescent="0.3">
      <c r="B121" s="42"/>
      <c r="C121" s="42"/>
      <c r="D121" s="42"/>
      <c r="E121" s="43"/>
      <c r="F121" s="42"/>
      <c r="G121" s="42"/>
      <c r="H121" s="88"/>
    </row>
    <row r="122" spans="2:8" ht="100.05" customHeight="1" outlineLevel="1" x14ac:dyDescent="0.3">
      <c r="B122" s="42"/>
      <c r="C122" s="42"/>
      <c r="D122" s="42"/>
      <c r="E122" s="43"/>
      <c r="F122" s="42"/>
      <c r="G122" s="42"/>
      <c r="H122" s="88"/>
    </row>
    <row r="123" spans="2:8" ht="100.05" customHeight="1" outlineLevel="1" x14ac:dyDescent="0.3">
      <c r="B123" s="42"/>
      <c r="C123" s="42"/>
      <c r="D123" s="42"/>
      <c r="E123" s="43"/>
      <c r="F123" s="42"/>
      <c r="G123" s="42"/>
      <c r="H123" s="88"/>
    </row>
    <row r="124" spans="2:8" ht="100.05" customHeight="1" outlineLevel="1" x14ac:dyDescent="0.3">
      <c r="B124" s="42"/>
      <c r="C124" s="42"/>
      <c r="D124" s="42"/>
      <c r="E124" s="43"/>
      <c r="F124" s="42"/>
      <c r="G124" s="42"/>
      <c r="H124" s="88"/>
    </row>
    <row r="125" spans="2:8" ht="100.05" customHeight="1" outlineLevel="1" x14ac:dyDescent="0.3">
      <c r="B125" s="42"/>
      <c r="C125" s="42"/>
      <c r="D125" s="42"/>
      <c r="E125" s="43"/>
      <c r="F125" s="42"/>
      <c r="G125" s="42"/>
      <c r="H125" s="88"/>
    </row>
    <row r="126" spans="2:8" ht="100.05" customHeight="1" outlineLevel="1" x14ac:dyDescent="0.3">
      <c r="B126" s="42"/>
      <c r="C126" s="42"/>
      <c r="D126" s="42"/>
      <c r="E126" s="43"/>
      <c r="F126" s="42"/>
      <c r="G126" s="42"/>
      <c r="H126" s="88"/>
    </row>
    <row r="127" spans="2:8" ht="100.05" customHeight="1" outlineLevel="1" x14ac:dyDescent="0.3">
      <c r="B127" s="42"/>
      <c r="C127" s="42"/>
      <c r="D127" s="42"/>
      <c r="E127" s="43"/>
      <c r="F127" s="42"/>
      <c r="G127" s="42"/>
      <c r="H127" s="88"/>
    </row>
    <row r="128" spans="2:8" ht="100.05" customHeight="1" outlineLevel="1" x14ac:dyDescent="0.3">
      <c r="B128" s="42"/>
      <c r="C128" s="42"/>
      <c r="D128" s="42"/>
      <c r="E128" s="43"/>
      <c r="F128" s="42"/>
      <c r="G128" s="42"/>
      <c r="H128" s="88"/>
    </row>
    <row r="129" spans="2:8" ht="100.05" customHeight="1" outlineLevel="1" x14ac:dyDescent="0.3">
      <c r="B129" s="42"/>
      <c r="C129" s="42"/>
      <c r="D129" s="42"/>
      <c r="E129" s="43"/>
      <c r="F129" s="42"/>
      <c r="G129" s="42"/>
      <c r="H129" s="88"/>
    </row>
    <row r="130" spans="2:8" ht="100.05" customHeight="1" outlineLevel="1" x14ac:dyDescent="0.3">
      <c r="B130" s="42"/>
      <c r="C130" s="42"/>
      <c r="D130" s="42"/>
      <c r="E130" s="43"/>
      <c r="F130" s="42"/>
      <c r="G130" s="42"/>
      <c r="H130" s="88"/>
    </row>
    <row r="131" spans="2:8" ht="100.05" customHeight="1" outlineLevel="1" x14ac:dyDescent="0.3">
      <c r="B131" s="42"/>
      <c r="C131" s="42"/>
      <c r="D131" s="42"/>
      <c r="E131" s="43"/>
      <c r="F131" s="42"/>
      <c r="G131" s="42"/>
      <c r="H131" s="88"/>
    </row>
    <row r="132" spans="2:8" ht="100.05" customHeight="1" outlineLevel="1" x14ac:dyDescent="0.3">
      <c r="B132" s="42"/>
      <c r="C132" s="42"/>
      <c r="D132" s="42"/>
      <c r="E132" s="43"/>
      <c r="F132" s="42"/>
      <c r="G132" s="42"/>
      <c r="H132" s="88"/>
    </row>
    <row r="133" spans="2:8" ht="100.05" customHeight="1" outlineLevel="1" x14ac:dyDescent="0.3">
      <c r="B133" s="42"/>
      <c r="C133" s="42"/>
      <c r="D133" s="42"/>
      <c r="E133" s="43"/>
      <c r="F133" s="42"/>
      <c r="G133" s="42"/>
      <c r="H133" s="88"/>
    </row>
    <row r="134" spans="2:8" ht="100.05" customHeight="1" outlineLevel="1" x14ac:dyDescent="0.3">
      <c r="B134" s="42"/>
      <c r="C134" s="42"/>
      <c r="D134" s="42"/>
      <c r="E134" s="43"/>
      <c r="F134" s="42"/>
      <c r="G134" s="42"/>
      <c r="H134" s="88"/>
    </row>
    <row r="135" spans="2:8" ht="100.05" customHeight="1" outlineLevel="1" x14ac:dyDescent="0.3">
      <c r="B135" s="42"/>
      <c r="C135" s="42"/>
      <c r="D135" s="42"/>
      <c r="E135" s="43"/>
      <c r="F135" s="42"/>
      <c r="G135" s="42"/>
      <c r="H135" s="88"/>
    </row>
    <row r="136" spans="2:8" ht="100.05" customHeight="1" outlineLevel="1" x14ac:dyDescent="0.3">
      <c r="B136" s="42"/>
      <c r="C136" s="42"/>
      <c r="D136" s="42"/>
      <c r="E136" s="43"/>
      <c r="F136" s="42"/>
      <c r="G136" s="42"/>
      <c r="H136" s="88"/>
    </row>
    <row r="137" spans="2:8" ht="100.05" customHeight="1" outlineLevel="1" x14ac:dyDescent="0.3">
      <c r="B137" s="42"/>
      <c r="C137" s="42"/>
      <c r="D137" s="42"/>
      <c r="E137" s="43"/>
      <c r="F137" s="42"/>
      <c r="G137" s="42"/>
      <c r="H137" s="88"/>
    </row>
    <row r="138" spans="2:8" ht="100.05" customHeight="1" outlineLevel="1" x14ac:dyDescent="0.3">
      <c r="B138" s="42"/>
      <c r="C138" s="42"/>
      <c r="D138" s="42"/>
      <c r="E138" s="43"/>
      <c r="F138" s="42"/>
      <c r="G138" s="42"/>
      <c r="H138" s="88"/>
    </row>
    <row r="139" spans="2:8" ht="100.05" customHeight="1" outlineLevel="1" x14ac:dyDescent="0.3">
      <c r="B139" s="42"/>
      <c r="C139" s="42"/>
      <c r="D139" s="42"/>
      <c r="E139" s="43"/>
      <c r="F139" s="42"/>
      <c r="G139" s="42"/>
      <c r="H139" s="88"/>
    </row>
    <row r="140" spans="2:8" ht="100.05" customHeight="1" outlineLevel="1" x14ac:dyDescent="0.3">
      <c r="B140" s="42"/>
      <c r="C140" s="42"/>
      <c r="D140" s="42"/>
      <c r="E140" s="43"/>
      <c r="F140" s="42"/>
      <c r="G140" s="42"/>
      <c r="H140" s="88"/>
    </row>
    <row r="141" spans="2:8" ht="100.05" customHeight="1" outlineLevel="1" x14ac:dyDescent="0.3">
      <c r="B141" s="42"/>
      <c r="C141" s="42"/>
      <c r="D141" s="42"/>
      <c r="E141" s="43"/>
      <c r="F141" s="42"/>
      <c r="G141" s="42"/>
      <c r="H141" s="88"/>
    </row>
    <row r="142" spans="2:8" ht="100.05" customHeight="1" outlineLevel="1" x14ac:dyDescent="0.3">
      <c r="B142" s="42"/>
      <c r="C142" s="42"/>
      <c r="D142" s="42"/>
      <c r="E142" s="43"/>
      <c r="F142" s="42"/>
      <c r="G142" s="42"/>
      <c r="H142" s="88"/>
    </row>
    <row r="143" spans="2:8" ht="100.05" customHeight="1" outlineLevel="1" x14ac:dyDescent="0.3">
      <c r="B143" s="42"/>
      <c r="C143" s="42"/>
      <c r="D143" s="42"/>
      <c r="E143" s="43"/>
      <c r="F143" s="42"/>
      <c r="G143" s="42"/>
      <c r="H143" s="88"/>
    </row>
    <row r="144" spans="2:8" ht="100.05" customHeight="1" outlineLevel="1" x14ac:dyDescent="0.3">
      <c r="B144" s="42"/>
      <c r="C144" s="42"/>
      <c r="D144" s="42"/>
      <c r="E144" s="43"/>
      <c r="F144" s="42"/>
      <c r="G144" s="42"/>
      <c r="H144" s="88"/>
    </row>
    <row r="145" spans="2:8" ht="100.05" customHeight="1" outlineLevel="1" x14ac:dyDescent="0.3">
      <c r="B145" s="42"/>
      <c r="C145" s="42"/>
      <c r="D145" s="42"/>
      <c r="E145" s="43"/>
      <c r="F145" s="42"/>
      <c r="G145" s="42"/>
      <c r="H145" s="88"/>
    </row>
    <row r="146" spans="2:8" ht="100.05" customHeight="1" outlineLevel="1" x14ac:dyDescent="0.3">
      <c r="B146" s="42"/>
      <c r="C146" s="42"/>
      <c r="D146" s="42"/>
      <c r="E146" s="43"/>
      <c r="F146" s="42"/>
      <c r="G146" s="42"/>
      <c r="H146" s="88"/>
    </row>
    <row r="147" spans="2:8" ht="100.05" customHeight="1" outlineLevel="1" x14ac:dyDescent="0.3">
      <c r="B147" s="42"/>
      <c r="C147" s="42"/>
      <c r="D147" s="42"/>
      <c r="E147" s="43"/>
      <c r="F147" s="42"/>
      <c r="G147" s="42"/>
      <c r="H147" s="88"/>
    </row>
    <row r="148" spans="2:8" ht="100.05" customHeight="1" outlineLevel="1" x14ac:dyDescent="0.3">
      <c r="B148" s="42"/>
      <c r="C148" s="42"/>
      <c r="D148" s="42"/>
      <c r="E148" s="43"/>
      <c r="F148" s="42"/>
      <c r="G148" s="42"/>
      <c r="H148" s="88"/>
    </row>
    <row r="149" spans="2:8" ht="100.05" customHeight="1" outlineLevel="1" x14ac:dyDescent="0.3">
      <c r="B149" s="42"/>
      <c r="C149" s="42"/>
      <c r="D149" s="42"/>
      <c r="E149" s="43"/>
      <c r="F149" s="42"/>
      <c r="G149" s="42"/>
      <c r="H149" s="88"/>
    </row>
    <row r="150" spans="2:8" ht="100.05" customHeight="1" outlineLevel="1" x14ac:dyDescent="0.3">
      <c r="B150" s="42"/>
      <c r="C150" s="42"/>
      <c r="D150" s="42"/>
      <c r="E150" s="43"/>
      <c r="F150" s="42"/>
      <c r="G150" s="42"/>
      <c r="H150" s="88"/>
    </row>
    <row r="151" spans="2:8" ht="100.05" customHeight="1" outlineLevel="1" x14ac:dyDescent="0.3">
      <c r="B151" s="42"/>
      <c r="C151" s="42"/>
      <c r="D151" s="42"/>
      <c r="E151" s="43"/>
      <c r="F151" s="42"/>
      <c r="G151" s="42"/>
      <c r="H151" s="88"/>
    </row>
    <row r="152" spans="2:8" ht="100.05" customHeight="1" outlineLevel="1" x14ac:dyDescent="0.3">
      <c r="B152" s="42"/>
      <c r="C152" s="42"/>
      <c r="D152" s="42"/>
      <c r="E152" s="43"/>
      <c r="F152" s="42"/>
      <c r="G152" s="42"/>
      <c r="H152" s="88"/>
    </row>
    <row r="153" spans="2:8" ht="100.05" customHeight="1" outlineLevel="1" x14ac:dyDescent="0.3">
      <c r="B153" s="42"/>
      <c r="C153" s="42"/>
      <c r="D153" s="42"/>
      <c r="E153" s="43"/>
      <c r="F153" s="42"/>
      <c r="G153" s="42"/>
      <c r="H153" s="88"/>
    </row>
    <row r="154" spans="2:8" ht="100.05" customHeight="1" outlineLevel="1" x14ac:dyDescent="0.3">
      <c r="B154" s="42"/>
      <c r="C154" s="42"/>
      <c r="D154" s="42"/>
      <c r="E154" s="43"/>
      <c r="F154" s="42"/>
      <c r="G154" s="42"/>
      <c r="H154" s="88"/>
    </row>
    <row r="155" spans="2:8" ht="100.05" customHeight="1" outlineLevel="1" x14ac:dyDescent="0.3">
      <c r="B155" s="42"/>
      <c r="C155" s="42"/>
      <c r="D155" s="42"/>
      <c r="E155" s="43"/>
      <c r="F155" s="42"/>
      <c r="G155" s="42"/>
      <c r="H155" s="88"/>
    </row>
    <row r="156" spans="2:8" ht="100.05" customHeight="1" outlineLevel="1" x14ac:dyDescent="0.3">
      <c r="B156" s="42"/>
      <c r="C156" s="42"/>
      <c r="D156" s="42"/>
      <c r="E156" s="43"/>
      <c r="F156" s="42"/>
      <c r="G156" s="42"/>
      <c r="H156" s="88"/>
    </row>
    <row r="157" spans="2:8" ht="100.05" customHeight="1" outlineLevel="1" x14ac:dyDescent="0.3">
      <c r="B157" s="42"/>
      <c r="C157" s="42"/>
      <c r="D157" s="42"/>
      <c r="E157" s="43"/>
      <c r="F157" s="42"/>
      <c r="G157" s="42"/>
      <c r="H157" s="88"/>
    </row>
    <row r="158" spans="2:8" ht="100.05" customHeight="1" outlineLevel="1" x14ac:dyDescent="0.3">
      <c r="B158" s="42"/>
      <c r="C158" s="42"/>
      <c r="D158" s="42"/>
      <c r="E158" s="43"/>
      <c r="F158" s="42"/>
      <c r="G158" s="42"/>
      <c r="H158" s="88"/>
    </row>
    <row r="159" spans="2:8" ht="100.05" customHeight="1" outlineLevel="1" x14ac:dyDescent="0.3">
      <c r="B159" s="42"/>
      <c r="C159" s="42"/>
      <c r="D159" s="42"/>
      <c r="E159" s="43"/>
      <c r="F159" s="42"/>
      <c r="G159" s="42"/>
      <c r="H159" s="88"/>
    </row>
    <row r="160" spans="2:8" ht="100.05" customHeight="1" outlineLevel="1" x14ac:dyDescent="0.3">
      <c r="B160" s="42"/>
      <c r="C160" s="42"/>
      <c r="D160" s="42"/>
      <c r="E160" s="43"/>
      <c r="F160" s="42"/>
      <c r="G160" s="42"/>
      <c r="H160" s="88"/>
    </row>
    <row r="161" spans="2:8" ht="100.05" customHeight="1" outlineLevel="1" x14ac:dyDescent="0.3">
      <c r="B161" s="42"/>
      <c r="C161" s="42"/>
      <c r="D161" s="42"/>
      <c r="E161" s="43"/>
      <c r="F161" s="42"/>
      <c r="G161" s="42"/>
      <c r="H161" s="88"/>
    </row>
    <row r="162" spans="2:8" ht="100.05" customHeight="1" outlineLevel="1" x14ac:dyDescent="0.3">
      <c r="B162" s="42"/>
      <c r="C162" s="42"/>
      <c r="D162" s="42"/>
      <c r="E162" s="43"/>
      <c r="F162" s="42"/>
      <c r="G162" s="42"/>
      <c r="H162" s="88"/>
    </row>
    <row r="163" spans="2:8" ht="100.05" customHeight="1" outlineLevel="1" x14ac:dyDescent="0.3">
      <c r="B163" s="42"/>
      <c r="C163" s="42"/>
      <c r="D163" s="42"/>
      <c r="E163" s="43"/>
      <c r="F163" s="42"/>
      <c r="G163" s="42"/>
      <c r="H163" s="88"/>
    </row>
    <row r="164" spans="2:8" ht="100.05" customHeight="1" outlineLevel="1" x14ac:dyDescent="0.3">
      <c r="B164" s="42"/>
      <c r="C164" s="42"/>
      <c r="D164" s="42"/>
      <c r="E164" s="43"/>
      <c r="F164" s="42"/>
      <c r="G164" s="42"/>
      <c r="H164" s="88"/>
    </row>
    <row r="165" spans="2:8" ht="100.05" customHeight="1" outlineLevel="1" x14ac:dyDescent="0.3">
      <c r="B165" s="42"/>
      <c r="C165" s="42"/>
      <c r="D165" s="42"/>
      <c r="E165" s="43"/>
      <c r="F165" s="42"/>
      <c r="G165" s="42"/>
      <c r="H165" s="88"/>
    </row>
    <row r="166" spans="2:8" ht="100.05" customHeight="1" outlineLevel="1" x14ac:dyDescent="0.3">
      <c r="B166" s="42"/>
      <c r="C166" s="42"/>
      <c r="D166" s="42"/>
      <c r="E166" s="43"/>
      <c r="F166" s="42"/>
      <c r="G166" s="42"/>
      <c r="H166" s="88"/>
    </row>
    <row r="167" spans="2:8" ht="100.05" customHeight="1" outlineLevel="1" x14ac:dyDescent="0.3">
      <c r="B167" s="42"/>
      <c r="C167" s="42"/>
      <c r="D167" s="42"/>
      <c r="E167" s="43"/>
      <c r="F167" s="42"/>
      <c r="G167" s="42"/>
      <c r="H167" s="88"/>
    </row>
    <row r="168" spans="2:8" ht="100.05" customHeight="1" outlineLevel="1" x14ac:dyDescent="0.3">
      <c r="B168" s="42"/>
      <c r="C168" s="42"/>
      <c r="D168" s="42"/>
      <c r="E168" s="43"/>
      <c r="F168" s="42"/>
      <c r="G168" s="42"/>
      <c r="H168" s="88"/>
    </row>
    <row r="169" spans="2:8" ht="100.05" customHeight="1" outlineLevel="1" x14ac:dyDescent="0.3">
      <c r="B169" s="42"/>
      <c r="C169" s="42"/>
      <c r="D169" s="42"/>
      <c r="E169" s="43"/>
      <c r="F169" s="42"/>
      <c r="G169" s="42"/>
      <c r="H169" s="88"/>
    </row>
    <row r="170" spans="2:8" ht="100.05" customHeight="1" outlineLevel="1" x14ac:dyDescent="0.3">
      <c r="B170" s="42"/>
      <c r="C170" s="42"/>
      <c r="D170" s="42"/>
      <c r="E170" s="43"/>
      <c r="F170" s="42"/>
      <c r="G170" s="42"/>
      <c r="H170" s="88"/>
    </row>
    <row r="171" spans="2:8" ht="100.05" customHeight="1" outlineLevel="1" x14ac:dyDescent="0.3">
      <c r="B171" s="42"/>
      <c r="C171" s="42"/>
      <c r="D171" s="42"/>
      <c r="E171" s="43"/>
      <c r="F171" s="42"/>
      <c r="G171" s="42"/>
      <c r="H171" s="88"/>
    </row>
    <row r="172" spans="2:8" ht="100.05" customHeight="1" outlineLevel="1" x14ac:dyDescent="0.3">
      <c r="B172" s="42"/>
      <c r="C172" s="42"/>
      <c r="D172" s="42"/>
      <c r="E172" s="43"/>
      <c r="F172" s="42"/>
      <c r="G172" s="42"/>
      <c r="H172" s="88"/>
    </row>
    <row r="173" spans="2:8" ht="100.05" customHeight="1" outlineLevel="1" x14ac:dyDescent="0.3">
      <c r="B173" s="42"/>
      <c r="C173" s="42"/>
      <c r="D173" s="42"/>
      <c r="E173" s="43"/>
      <c r="F173" s="42"/>
      <c r="G173" s="42"/>
      <c r="H173" s="88"/>
    </row>
    <row r="174" spans="2:8" ht="100.05" customHeight="1" outlineLevel="1" x14ac:dyDescent="0.3">
      <c r="B174" s="42"/>
      <c r="C174" s="42"/>
      <c r="D174" s="42"/>
      <c r="E174" s="43"/>
      <c r="F174" s="42"/>
      <c r="G174" s="42"/>
      <c r="H174" s="88"/>
    </row>
    <row r="175" spans="2:8" ht="100.05" customHeight="1" outlineLevel="1" x14ac:dyDescent="0.3">
      <c r="B175" s="42"/>
      <c r="C175" s="42"/>
      <c r="D175" s="42"/>
      <c r="E175" s="43"/>
      <c r="F175" s="42"/>
      <c r="G175" s="42"/>
      <c r="H175" s="88"/>
    </row>
    <row r="176" spans="2:8" ht="100.05" customHeight="1" outlineLevel="1" x14ac:dyDescent="0.3">
      <c r="B176" s="42"/>
      <c r="C176" s="42"/>
      <c r="D176" s="42"/>
      <c r="E176" s="43"/>
      <c r="F176" s="42"/>
      <c r="G176" s="42"/>
      <c r="H176" s="88"/>
    </row>
    <row r="177" spans="2:8" ht="100.05" customHeight="1" outlineLevel="1" x14ac:dyDescent="0.3">
      <c r="B177" s="42"/>
      <c r="C177" s="42"/>
      <c r="D177" s="42"/>
      <c r="E177" s="43"/>
      <c r="F177" s="42"/>
      <c r="G177" s="42"/>
      <c r="H177" s="88"/>
    </row>
    <row r="178" spans="2:8" ht="100.05" customHeight="1" outlineLevel="1" x14ac:dyDescent="0.3">
      <c r="B178" s="42"/>
      <c r="C178" s="42"/>
      <c r="D178" s="42"/>
      <c r="E178" s="43"/>
      <c r="F178" s="42"/>
      <c r="G178" s="42"/>
      <c r="H178" s="88"/>
    </row>
    <row r="179" spans="2:8" ht="100.05" customHeight="1" outlineLevel="1" x14ac:dyDescent="0.3">
      <c r="B179" s="42"/>
      <c r="C179" s="42"/>
      <c r="D179" s="42"/>
      <c r="E179" s="43"/>
      <c r="F179" s="42"/>
      <c r="G179" s="42"/>
      <c r="H179" s="88"/>
    </row>
    <row r="180" spans="2:8" ht="100.05" customHeight="1" outlineLevel="1" x14ac:dyDescent="0.3">
      <c r="B180" s="42"/>
      <c r="C180" s="42"/>
      <c r="D180" s="42"/>
      <c r="E180" s="43"/>
      <c r="F180" s="42"/>
      <c r="G180" s="42"/>
      <c r="H180" s="88"/>
    </row>
    <row r="181" spans="2:8" ht="100.05" customHeight="1" outlineLevel="1" x14ac:dyDescent="0.3">
      <c r="B181" s="42"/>
      <c r="C181" s="42"/>
      <c r="D181" s="42"/>
      <c r="E181" s="43"/>
      <c r="F181" s="42"/>
      <c r="G181" s="42"/>
      <c r="H181" s="88"/>
    </row>
    <row r="182" spans="2:8" ht="100.05" customHeight="1" outlineLevel="1" x14ac:dyDescent="0.3">
      <c r="B182" s="42"/>
      <c r="C182" s="42"/>
      <c r="D182" s="42"/>
      <c r="E182" s="43"/>
      <c r="F182" s="42"/>
      <c r="G182" s="42"/>
      <c r="H182" s="88"/>
    </row>
    <row r="183" spans="2:8" ht="100.05" customHeight="1" outlineLevel="1" x14ac:dyDescent="0.3">
      <c r="B183" s="42"/>
      <c r="C183" s="42"/>
      <c r="D183" s="42"/>
      <c r="E183" s="43"/>
      <c r="F183" s="42"/>
      <c r="G183" s="42"/>
      <c r="H183" s="88"/>
    </row>
    <row r="184" spans="2:8" ht="100.05" customHeight="1" outlineLevel="1" x14ac:dyDescent="0.3">
      <c r="B184" s="42"/>
      <c r="C184" s="42"/>
      <c r="D184" s="42"/>
      <c r="E184" s="43"/>
      <c r="F184" s="42"/>
      <c r="G184" s="42"/>
      <c r="H184" s="88"/>
    </row>
    <row r="185" spans="2:8" ht="100.05" customHeight="1" outlineLevel="1" x14ac:dyDescent="0.3">
      <c r="B185" s="42"/>
      <c r="C185" s="42"/>
      <c r="D185" s="42"/>
      <c r="E185" s="43"/>
      <c r="F185" s="42"/>
      <c r="G185" s="42"/>
      <c r="H185" s="88"/>
    </row>
    <row r="186" spans="2:8" ht="100.05" customHeight="1" outlineLevel="1" x14ac:dyDescent="0.3">
      <c r="B186" s="42"/>
      <c r="C186" s="42"/>
      <c r="D186" s="42"/>
      <c r="E186" s="43"/>
      <c r="F186" s="42"/>
      <c r="G186" s="42"/>
      <c r="H186" s="88"/>
    </row>
    <row r="187" spans="2:8" ht="100.05" customHeight="1" outlineLevel="1" x14ac:dyDescent="0.3">
      <c r="B187" s="42"/>
      <c r="C187" s="42"/>
      <c r="D187" s="42"/>
      <c r="E187" s="43"/>
      <c r="F187" s="42"/>
      <c r="G187" s="42"/>
      <c r="H187" s="88"/>
    </row>
    <row r="188" spans="2:8" ht="100.05" customHeight="1" outlineLevel="1" x14ac:dyDescent="0.3">
      <c r="B188" s="42"/>
      <c r="C188" s="42"/>
      <c r="D188" s="42"/>
      <c r="E188" s="43"/>
      <c r="F188" s="42"/>
      <c r="G188" s="42"/>
      <c r="H188" s="88"/>
    </row>
    <row r="189" spans="2:8" ht="100.05" customHeight="1" outlineLevel="1" x14ac:dyDescent="0.3">
      <c r="B189" s="42"/>
      <c r="C189" s="42"/>
      <c r="D189" s="42"/>
      <c r="E189" s="43"/>
      <c r="F189" s="42"/>
      <c r="G189" s="42"/>
      <c r="H189" s="88"/>
    </row>
    <row r="190" spans="2:8" ht="100.05" customHeight="1" outlineLevel="1" x14ac:dyDescent="0.3">
      <c r="B190" s="42"/>
      <c r="C190" s="42"/>
      <c r="D190" s="42"/>
      <c r="E190" s="43"/>
      <c r="F190" s="42"/>
      <c r="G190" s="42"/>
      <c r="H190" s="88"/>
    </row>
    <row r="191" spans="2:8" ht="100.05" customHeight="1" outlineLevel="1" x14ac:dyDescent="0.3">
      <c r="B191" s="42"/>
      <c r="C191" s="42"/>
      <c r="D191" s="42"/>
      <c r="E191" s="43"/>
      <c r="F191" s="42"/>
      <c r="G191" s="42"/>
      <c r="H191" s="88"/>
    </row>
    <row r="192" spans="2:8" ht="100.05" customHeight="1" outlineLevel="1" x14ac:dyDescent="0.3">
      <c r="B192" s="42"/>
      <c r="C192" s="42"/>
      <c r="D192" s="42"/>
      <c r="E192" s="43"/>
      <c r="F192" s="42"/>
      <c r="G192" s="42"/>
      <c r="H192" s="88"/>
    </row>
    <row r="193" spans="2:8" ht="100.05" customHeight="1" outlineLevel="1" x14ac:dyDescent="0.3">
      <c r="B193" s="42"/>
      <c r="C193" s="42"/>
      <c r="D193" s="42"/>
      <c r="E193" s="43"/>
      <c r="F193" s="42"/>
      <c r="G193" s="42"/>
      <c r="H193" s="88"/>
    </row>
    <row r="194" spans="2:8" ht="100.05" customHeight="1" outlineLevel="1" x14ac:dyDescent="0.3">
      <c r="B194" s="42"/>
      <c r="C194" s="42"/>
      <c r="D194" s="42"/>
      <c r="E194" s="43"/>
      <c r="F194" s="42"/>
      <c r="G194" s="42"/>
      <c r="H194" s="88"/>
    </row>
    <row r="195" spans="2:8" ht="100.05" customHeight="1" outlineLevel="1" x14ac:dyDescent="0.3">
      <c r="B195" s="42"/>
      <c r="C195" s="42"/>
      <c r="D195" s="42"/>
      <c r="E195" s="43"/>
      <c r="F195" s="42"/>
      <c r="G195" s="42"/>
      <c r="H195" s="88"/>
    </row>
    <row r="196" spans="2:8" ht="100.05" customHeight="1" outlineLevel="1" x14ac:dyDescent="0.3">
      <c r="B196" s="42"/>
      <c r="C196" s="42"/>
      <c r="D196" s="42"/>
      <c r="E196" s="43"/>
      <c r="F196" s="42"/>
      <c r="G196" s="42"/>
      <c r="H196" s="88"/>
    </row>
    <row r="197" spans="2:8" ht="100.05" customHeight="1" outlineLevel="1" x14ac:dyDescent="0.3">
      <c r="B197" s="42"/>
      <c r="C197" s="42"/>
      <c r="D197" s="42"/>
      <c r="E197" s="43"/>
      <c r="F197" s="42"/>
      <c r="G197" s="42"/>
      <c r="H197" s="88"/>
    </row>
    <row r="198" spans="2:8" ht="100.05" customHeight="1" outlineLevel="1" x14ac:dyDescent="0.3">
      <c r="B198" s="42"/>
      <c r="C198" s="42"/>
      <c r="D198" s="42"/>
      <c r="E198" s="43"/>
      <c r="F198" s="42"/>
      <c r="G198" s="42"/>
      <c r="H198" s="88"/>
    </row>
    <row r="199" spans="2:8" ht="100.05" customHeight="1" outlineLevel="1" x14ac:dyDescent="0.3">
      <c r="B199" s="42"/>
      <c r="C199" s="42"/>
      <c r="D199" s="42"/>
      <c r="E199" s="43"/>
      <c r="F199" s="42"/>
      <c r="G199" s="42"/>
      <c r="H199" s="88"/>
    </row>
    <row r="200" spans="2:8" ht="100.05" customHeight="1" outlineLevel="1" x14ac:dyDescent="0.3">
      <c r="B200" s="42"/>
      <c r="C200" s="42"/>
      <c r="D200" s="42"/>
      <c r="E200" s="43"/>
      <c r="F200" s="42"/>
      <c r="G200" s="42"/>
      <c r="H200" s="88"/>
    </row>
    <row r="201" spans="2:8" ht="100.05" customHeight="1" outlineLevel="1" x14ac:dyDescent="0.3">
      <c r="B201" s="42"/>
      <c r="C201" s="42"/>
      <c r="D201" s="42"/>
      <c r="E201" s="43"/>
      <c r="F201" s="42"/>
      <c r="G201" s="42"/>
      <c r="H201" s="88"/>
    </row>
    <row r="202" spans="2:8" ht="100.05" customHeight="1" outlineLevel="1" x14ac:dyDescent="0.3">
      <c r="B202" s="42"/>
      <c r="C202" s="42"/>
      <c r="D202" s="42"/>
      <c r="E202" s="43"/>
      <c r="F202" s="42"/>
      <c r="G202" s="42"/>
      <c r="H202" s="88"/>
    </row>
    <row r="203" spans="2:8" ht="100.05" customHeight="1" outlineLevel="1" x14ac:dyDescent="0.3">
      <c r="B203" s="42"/>
      <c r="C203" s="42"/>
      <c r="D203" s="42"/>
      <c r="E203" s="43"/>
      <c r="F203" s="42"/>
      <c r="G203" s="42"/>
      <c r="H203" s="88"/>
    </row>
    <row r="204" spans="2:8" ht="100.05" customHeight="1" outlineLevel="1" x14ac:dyDescent="0.3">
      <c r="B204" s="42"/>
      <c r="C204" s="42"/>
      <c r="D204" s="42"/>
      <c r="E204" s="43"/>
      <c r="F204" s="42"/>
      <c r="G204" s="42"/>
      <c r="H204" s="88"/>
    </row>
    <row r="205" spans="2:8" ht="100.05" customHeight="1" outlineLevel="1" x14ac:dyDescent="0.3">
      <c r="B205" s="42"/>
      <c r="C205" s="42"/>
      <c r="D205" s="42"/>
      <c r="E205" s="43"/>
      <c r="F205" s="42"/>
      <c r="G205" s="42"/>
      <c r="H205" s="88"/>
    </row>
    <row r="206" spans="2:8" ht="100.05" customHeight="1" outlineLevel="1" x14ac:dyDescent="0.3">
      <c r="B206" s="42"/>
      <c r="C206" s="42"/>
      <c r="D206" s="42"/>
      <c r="E206" s="43"/>
      <c r="F206" s="42"/>
      <c r="G206" s="42"/>
      <c r="H206" s="88"/>
    </row>
    <row r="207" spans="2:8" ht="100.05" customHeight="1" outlineLevel="1" x14ac:dyDescent="0.3">
      <c r="B207" s="42"/>
      <c r="C207" s="42"/>
      <c r="D207" s="42"/>
      <c r="E207" s="43"/>
      <c r="F207" s="42"/>
      <c r="G207" s="42"/>
      <c r="H207" s="88"/>
    </row>
    <row r="208" spans="2:8" ht="100.05" customHeight="1" outlineLevel="1" x14ac:dyDescent="0.3">
      <c r="B208" s="42"/>
      <c r="C208" s="42"/>
      <c r="D208" s="42"/>
      <c r="E208" s="43"/>
      <c r="F208" s="42"/>
      <c r="G208" s="42"/>
      <c r="H208" s="88"/>
    </row>
    <row r="209" spans="2:8" ht="100.05" customHeight="1" outlineLevel="1" x14ac:dyDescent="0.3">
      <c r="B209" s="42"/>
      <c r="C209" s="42"/>
      <c r="D209" s="42"/>
      <c r="E209" s="43"/>
      <c r="F209" s="42"/>
      <c r="G209" s="42"/>
      <c r="H209" s="88"/>
    </row>
    <row r="210" spans="2:8" ht="100.05" customHeight="1" outlineLevel="1" x14ac:dyDescent="0.3">
      <c r="B210" s="42"/>
      <c r="C210" s="42"/>
      <c r="D210" s="42"/>
      <c r="E210" s="43"/>
      <c r="F210" s="42"/>
      <c r="G210" s="42"/>
      <c r="H210" s="88"/>
    </row>
    <row r="211" spans="2:8" ht="100.05" customHeight="1" outlineLevel="1" x14ac:dyDescent="0.3">
      <c r="B211" s="42"/>
      <c r="C211" s="42"/>
      <c r="D211" s="42"/>
      <c r="E211" s="43"/>
      <c r="F211" s="42"/>
      <c r="G211" s="42"/>
      <c r="H211" s="88"/>
    </row>
    <row r="212" spans="2:8" ht="100.05" customHeight="1" outlineLevel="1" x14ac:dyDescent="0.3">
      <c r="B212" s="42"/>
      <c r="C212" s="42"/>
      <c r="D212" s="42"/>
      <c r="E212" s="43"/>
      <c r="F212" s="42"/>
      <c r="G212" s="42"/>
      <c r="H212" s="88"/>
    </row>
    <row r="213" spans="2:8" ht="100.05" customHeight="1" outlineLevel="1" x14ac:dyDescent="0.3">
      <c r="B213" s="42"/>
      <c r="C213" s="42"/>
      <c r="D213" s="42"/>
      <c r="E213" s="43"/>
      <c r="F213" s="42"/>
      <c r="G213" s="42"/>
      <c r="H213" s="88"/>
    </row>
    <row r="214" spans="2:8" ht="100.05" customHeight="1" outlineLevel="1" x14ac:dyDescent="0.3">
      <c r="B214" s="42"/>
      <c r="C214" s="42"/>
      <c r="D214" s="42"/>
      <c r="E214" s="43"/>
      <c r="F214" s="42"/>
      <c r="G214" s="42"/>
      <c r="H214" s="88"/>
    </row>
    <row r="215" spans="2:8" ht="100.05" customHeight="1" outlineLevel="1" x14ac:dyDescent="0.3">
      <c r="B215" s="42"/>
      <c r="C215" s="42"/>
      <c r="D215" s="42"/>
      <c r="E215" s="43"/>
      <c r="F215" s="42"/>
      <c r="G215" s="42"/>
      <c r="H215" s="88"/>
    </row>
    <row r="216" spans="2:8" ht="100.05" customHeight="1" outlineLevel="1" x14ac:dyDescent="0.3">
      <c r="B216" s="42"/>
      <c r="C216" s="42"/>
      <c r="D216" s="42"/>
      <c r="E216" s="43"/>
      <c r="F216" s="42"/>
      <c r="G216" s="42"/>
      <c r="H216" s="88"/>
    </row>
    <row r="217" spans="2:8" ht="100.05" customHeight="1" outlineLevel="1" x14ac:dyDescent="0.3">
      <c r="B217" s="42"/>
      <c r="C217" s="42"/>
      <c r="D217" s="42"/>
      <c r="E217" s="43"/>
      <c r="F217" s="42"/>
      <c r="G217" s="42"/>
      <c r="H217" s="88"/>
    </row>
    <row r="218" spans="2:8" ht="100.05" customHeight="1" outlineLevel="1" x14ac:dyDescent="0.3">
      <c r="B218" s="42"/>
      <c r="C218" s="42"/>
      <c r="D218" s="42"/>
      <c r="E218" s="43"/>
      <c r="F218" s="42"/>
      <c r="G218" s="42"/>
      <c r="H218" s="88"/>
    </row>
    <row r="219" spans="2:8" ht="100.05" customHeight="1" outlineLevel="1" x14ac:dyDescent="0.3">
      <c r="B219" s="42"/>
      <c r="C219" s="42"/>
      <c r="D219" s="42"/>
      <c r="E219" s="43"/>
      <c r="F219" s="42"/>
      <c r="G219" s="42"/>
      <c r="H219" s="88"/>
    </row>
    <row r="220" spans="2:8" ht="100.05" customHeight="1" outlineLevel="1" x14ac:dyDescent="0.3">
      <c r="B220" s="42"/>
      <c r="C220" s="42"/>
      <c r="D220" s="42"/>
      <c r="E220" s="43"/>
      <c r="F220" s="42"/>
      <c r="G220" s="42"/>
      <c r="H220" s="88"/>
    </row>
    <row r="221" spans="2:8" ht="100.05" customHeight="1" outlineLevel="1" x14ac:dyDescent="0.3">
      <c r="B221" s="42"/>
      <c r="C221" s="42"/>
      <c r="D221" s="42"/>
      <c r="E221" s="43"/>
      <c r="F221" s="42"/>
      <c r="G221" s="42"/>
      <c r="H221" s="88"/>
    </row>
    <row r="222" spans="2:8" ht="100.05" customHeight="1" outlineLevel="1" x14ac:dyDescent="0.3">
      <c r="B222" s="42"/>
      <c r="C222" s="42"/>
      <c r="D222" s="42"/>
      <c r="E222" s="43"/>
      <c r="F222" s="42"/>
      <c r="G222" s="42"/>
      <c r="H222" s="88"/>
    </row>
    <row r="223" spans="2:8" ht="100.05" customHeight="1" outlineLevel="1" x14ac:dyDescent="0.3">
      <c r="B223" s="42"/>
      <c r="C223" s="42"/>
      <c r="D223" s="42"/>
      <c r="E223" s="43"/>
      <c r="F223" s="42"/>
      <c r="G223" s="42"/>
      <c r="H223" s="88"/>
    </row>
    <row r="224" spans="2:8" ht="100.05" customHeight="1" outlineLevel="1" x14ac:dyDescent="0.3">
      <c r="B224" s="42"/>
      <c r="C224" s="42"/>
      <c r="D224" s="42"/>
      <c r="E224" s="43"/>
      <c r="F224" s="42"/>
      <c r="G224" s="42"/>
      <c r="H224" s="88"/>
    </row>
    <row r="225" spans="2:8" ht="100.05" customHeight="1" outlineLevel="1" x14ac:dyDescent="0.3">
      <c r="B225" s="42"/>
      <c r="C225" s="42"/>
      <c r="D225" s="42"/>
      <c r="E225" s="43"/>
      <c r="F225" s="42"/>
      <c r="G225" s="42"/>
      <c r="H225" s="88"/>
    </row>
    <row r="226" spans="2:8" ht="100.05" customHeight="1" outlineLevel="1" x14ac:dyDescent="0.3">
      <c r="B226" s="42"/>
      <c r="C226" s="42"/>
      <c r="D226" s="42"/>
      <c r="E226" s="43"/>
      <c r="F226" s="42"/>
      <c r="G226" s="42"/>
      <c r="H226" s="88"/>
    </row>
    <row r="227" spans="2:8" ht="100.05" customHeight="1" outlineLevel="1" x14ac:dyDescent="0.3">
      <c r="B227" s="42"/>
      <c r="C227" s="42"/>
      <c r="D227" s="42"/>
      <c r="E227" s="43"/>
      <c r="F227" s="42"/>
      <c r="G227" s="42"/>
      <c r="H227" s="88"/>
    </row>
    <row r="228" spans="2:8" ht="100.05" customHeight="1" outlineLevel="1" x14ac:dyDescent="0.3">
      <c r="B228" s="42"/>
      <c r="C228" s="42"/>
      <c r="D228" s="42"/>
      <c r="E228" s="43"/>
      <c r="F228" s="42"/>
      <c r="G228" s="42"/>
      <c r="H228" s="88"/>
    </row>
    <row r="229" spans="2:8" ht="100.05" customHeight="1" outlineLevel="1" x14ac:dyDescent="0.3">
      <c r="B229" s="42"/>
      <c r="C229" s="42"/>
      <c r="D229" s="42"/>
      <c r="E229" s="43"/>
      <c r="F229" s="42"/>
      <c r="G229" s="42"/>
      <c r="H229" s="88"/>
    </row>
    <row r="230" spans="2:8" ht="100.05" customHeight="1" outlineLevel="1" x14ac:dyDescent="0.3">
      <c r="B230" s="42"/>
      <c r="C230" s="42"/>
      <c r="D230" s="42"/>
      <c r="E230" s="43"/>
      <c r="F230" s="42"/>
      <c r="G230" s="42"/>
      <c r="H230" s="88"/>
    </row>
    <row r="231" spans="2:8" ht="100.05" customHeight="1" outlineLevel="1" x14ac:dyDescent="0.3">
      <c r="B231" s="42"/>
      <c r="C231" s="42"/>
      <c r="D231" s="42"/>
      <c r="E231" s="43"/>
      <c r="F231" s="42"/>
      <c r="G231" s="42"/>
      <c r="H231" s="88"/>
    </row>
    <row r="232" spans="2:8" ht="100.05" customHeight="1" outlineLevel="1" x14ac:dyDescent="0.3">
      <c r="B232" s="42"/>
      <c r="C232" s="42"/>
      <c r="D232" s="42"/>
      <c r="E232" s="43"/>
      <c r="F232" s="42"/>
      <c r="G232" s="42"/>
      <c r="H232" s="88"/>
    </row>
    <row r="233" spans="2:8" ht="100.05" customHeight="1" outlineLevel="1" x14ac:dyDescent="0.3">
      <c r="B233" s="42"/>
      <c r="C233" s="42"/>
      <c r="D233" s="42"/>
      <c r="E233" s="43"/>
      <c r="F233" s="42"/>
      <c r="G233" s="42"/>
      <c r="H233" s="88"/>
    </row>
    <row r="234" spans="2:8" ht="100.05" customHeight="1" outlineLevel="1" x14ac:dyDescent="0.3">
      <c r="B234" s="42"/>
      <c r="C234" s="42"/>
      <c r="D234" s="42"/>
      <c r="E234" s="43"/>
      <c r="F234" s="42"/>
      <c r="G234" s="42"/>
      <c r="H234" s="88"/>
    </row>
    <row r="235" spans="2:8" ht="100.05" customHeight="1" outlineLevel="1" x14ac:dyDescent="0.3">
      <c r="B235" s="42"/>
      <c r="C235" s="42"/>
      <c r="D235" s="42"/>
      <c r="E235" s="43"/>
      <c r="F235" s="42"/>
      <c r="G235" s="42"/>
      <c r="H235" s="88"/>
    </row>
    <row r="236" spans="2:8" ht="100.05" customHeight="1" outlineLevel="1" x14ac:dyDescent="0.3">
      <c r="B236" s="42"/>
      <c r="C236" s="42"/>
      <c r="D236" s="42"/>
      <c r="E236" s="43"/>
      <c r="F236" s="42"/>
      <c r="G236" s="42"/>
      <c r="H236" s="88"/>
    </row>
    <row r="237" spans="2:8" ht="100.05" customHeight="1" outlineLevel="1" x14ac:dyDescent="0.3">
      <c r="B237" s="42"/>
      <c r="C237" s="42"/>
      <c r="D237" s="42"/>
      <c r="E237" s="43"/>
      <c r="F237" s="42"/>
      <c r="G237" s="42"/>
      <c r="H237" s="88"/>
    </row>
    <row r="238" spans="2:8" ht="100.05" customHeight="1" outlineLevel="1" x14ac:dyDescent="0.3">
      <c r="B238" s="42"/>
      <c r="C238" s="42"/>
      <c r="D238" s="42"/>
      <c r="E238" s="43"/>
      <c r="F238" s="42"/>
      <c r="G238" s="42"/>
      <c r="H238" s="88"/>
    </row>
    <row r="239" spans="2:8" ht="100.05" customHeight="1" outlineLevel="1" x14ac:dyDescent="0.3">
      <c r="B239" s="42"/>
      <c r="C239" s="42"/>
      <c r="D239" s="42"/>
      <c r="E239" s="43"/>
      <c r="F239" s="42"/>
      <c r="G239" s="42"/>
      <c r="H239" s="88"/>
    </row>
    <row r="240" spans="2:8" ht="100.05" customHeight="1" outlineLevel="1" x14ac:dyDescent="0.3">
      <c r="B240" s="42"/>
      <c r="C240" s="42"/>
      <c r="D240" s="42"/>
      <c r="E240" s="43"/>
      <c r="F240" s="42"/>
      <c r="G240" s="42"/>
      <c r="H240" s="88"/>
    </row>
    <row r="241" spans="2:8" ht="100.05" customHeight="1" outlineLevel="1" x14ac:dyDescent="0.3">
      <c r="B241" s="42"/>
      <c r="C241" s="42"/>
      <c r="D241" s="42"/>
      <c r="E241" s="43"/>
      <c r="F241" s="42"/>
      <c r="G241" s="42"/>
      <c r="H241" s="88"/>
    </row>
    <row r="242" spans="2:8" ht="100.05" customHeight="1" outlineLevel="1" x14ac:dyDescent="0.3">
      <c r="B242" s="42"/>
      <c r="C242" s="42"/>
      <c r="D242" s="42"/>
      <c r="E242" s="43"/>
      <c r="F242" s="42"/>
      <c r="G242" s="42"/>
      <c r="H242" s="88"/>
    </row>
    <row r="243" spans="2:8" ht="100.05" customHeight="1" outlineLevel="1" x14ac:dyDescent="0.3">
      <c r="B243" s="42"/>
      <c r="C243" s="42"/>
      <c r="D243" s="42"/>
      <c r="E243" s="43"/>
      <c r="F243" s="42"/>
      <c r="G243" s="42"/>
      <c r="H243" s="88"/>
    </row>
    <row r="244" spans="2:8" ht="100.05" customHeight="1" outlineLevel="1" x14ac:dyDescent="0.3">
      <c r="B244" s="42"/>
      <c r="C244" s="42"/>
      <c r="D244" s="42"/>
      <c r="E244" s="43"/>
      <c r="F244" s="42"/>
      <c r="G244" s="42"/>
      <c r="H244" s="88"/>
    </row>
    <row r="245" spans="2:8" ht="100.05" customHeight="1" outlineLevel="1" x14ac:dyDescent="0.3">
      <c r="B245" s="42"/>
      <c r="C245" s="42"/>
      <c r="D245" s="42"/>
      <c r="E245" s="43"/>
      <c r="F245" s="42"/>
      <c r="G245" s="42"/>
      <c r="H245" s="88"/>
    </row>
    <row r="246" spans="2:8" ht="100.05" customHeight="1" outlineLevel="1" x14ac:dyDescent="0.3">
      <c r="B246" s="42"/>
      <c r="C246" s="42"/>
      <c r="D246" s="42"/>
      <c r="E246" s="43"/>
      <c r="F246" s="42"/>
      <c r="G246" s="42"/>
      <c r="H246" s="88"/>
    </row>
    <row r="247" spans="2:8" ht="100.05" customHeight="1" outlineLevel="1" x14ac:dyDescent="0.3">
      <c r="B247" s="42"/>
      <c r="C247" s="42"/>
      <c r="D247" s="42"/>
      <c r="E247" s="43"/>
      <c r="F247" s="42"/>
      <c r="G247" s="42"/>
      <c r="H247" s="88"/>
    </row>
    <row r="248" spans="2:8" ht="100.05" customHeight="1" outlineLevel="1" x14ac:dyDescent="0.3">
      <c r="B248" s="42"/>
      <c r="C248" s="42"/>
      <c r="D248" s="42"/>
      <c r="E248" s="43"/>
      <c r="F248" s="42"/>
      <c r="G248" s="42"/>
      <c r="H248" s="88"/>
    </row>
    <row r="249" spans="2:8" ht="100.05" customHeight="1" outlineLevel="1" x14ac:dyDescent="0.3">
      <c r="B249" s="42"/>
      <c r="C249" s="42"/>
      <c r="D249" s="42"/>
      <c r="E249" s="43"/>
      <c r="F249" s="42"/>
      <c r="G249" s="42"/>
      <c r="H249" s="88"/>
    </row>
    <row r="250" spans="2:8" ht="100.05" customHeight="1" outlineLevel="1" x14ac:dyDescent="0.3">
      <c r="B250" s="42"/>
      <c r="C250" s="42"/>
      <c r="D250" s="42"/>
      <c r="E250" s="43"/>
      <c r="F250" s="42"/>
      <c r="G250" s="42"/>
      <c r="H250" s="88"/>
    </row>
    <row r="251" spans="2:8" ht="100.05" customHeight="1" outlineLevel="1" x14ac:dyDescent="0.3">
      <c r="B251" s="42"/>
      <c r="C251" s="42"/>
      <c r="D251" s="42"/>
      <c r="E251" s="43"/>
      <c r="F251" s="42"/>
      <c r="G251" s="42"/>
      <c r="H251" s="88"/>
    </row>
    <row r="252" spans="2:8" ht="100.05" customHeight="1" outlineLevel="1" x14ac:dyDescent="0.3">
      <c r="B252" s="42"/>
      <c r="C252" s="42"/>
      <c r="D252" s="42"/>
      <c r="E252" s="43"/>
      <c r="F252" s="42"/>
      <c r="G252" s="42"/>
      <c r="H252" s="88"/>
    </row>
    <row r="253" spans="2:8" ht="100.05" customHeight="1" outlineLevel="1" x14ac:dyDescent="0.3">
      <c r="B253" s="42"/>
      <c r="C253" s="42"/>
      <c r="D253" s="42"/>
      <c r="E253" s="43"/>
      <c r="F253" s="42"/>
      <c r="G253" s="42"/>
      <c r="H253" s="88"/>
    </row>
    <row r="254" spans="2:8" ht="100.05" customHeight="1" outlineLevel="1" x14ac:dyDescent="0.3">
      <c r="B254" s="42"/>
      <c r="C254" s="42"/>
      <c r="D254" s="42"/>
      <c r="E254" s="43"/>
      <c r="F254" s="42"/>
      <c r="G254" s="42"/>
      <c r="H254" s="88"/>
    </row>
    <row r="255" spans="2:8" ht="100.05" customHeight="1" outlineLevel="1" x14ac:dyDescent="0.3">
      <c r="B255" s="42"/>
      <c r="C255" s="42"/>
      <c r="D255" s="42"/>
      <c r="E255" s="43"/>
      <c r="F255" s="42"/>
      <c r="G255" s="42"/>
      <c r="H255" s="88"/>
    </row>
    <row r="256" spans="2:8" ht="100.05" customHeight="1" outlineLevel="1" x14ac:dyDescent="0.3">
      <c r="B256" s="42"/>
      <c r="C256" s="42"/>
      <c r="D256" s="42"/>
      <c r="E256" s="43"/>
      <c r="F256" s="42"/>
      <c r="G256" s="42"/>
      <c r="H256" s="88"/>
    </row>
    <row r="257" spans="2:8" ht="100.05" customHeight="1" outlineLevel="1" x14ac:dyDescent="0.3">
      <c r="B257" s="42"/>
      <c r="C257" s="42"/>
      <c r="D257" s="42"/>
      <c r="E257" s="43"/>
      <c r="F257" s="42"/>
      <c r="G257" s="42"/>
      <c r="H257" s="88"/>
    </row>
    <row r="258" spans="2:8" ht="100.05" customHeight="1" outlineLevel="1" x14ac:dyDescent="0.3">
      <c r="B258" s="42"/>
      <c r="C258" s="42"/>
      <c r="D258" s="42"/>
      <c r="E258" s="43"/>
      <c r="F258" s="42"/>
      <c r="G258" s="42"/>
      <c r="H258" s="88"/>
    </row>
    <row r="259" spans="2:8" ht="100.05" customHeight="1" outlineLevel="1" x14ac:dyDescent="0.3">
      <c r="B259" s="42"/>
      <c r="C259" s="42"/>
      <c r="D259" s="42"/>
      <c r="E259" s="43"/>
      <c r="F259" s="42"/>
      <c r="G259" s="42"/>
      <c r="H259" s="88"/>
    </row>
    <row r="260" spans="2:8" ht="100.05" customHeight="1" outlineLevel="1" x14ac:dyDescent="0.3">
      <c r="B260" s="42"/>
      <c r="C260" s="42"/>
      <c r="D260" s="42"/>
      <c r="E260" s="43"/>
      <c r="F260" s="42"/>
      <c r="G260" s="42"/>
      <c r="H260" s="88"/>
    </row>
    <row r="261" spans="2:8" ht="100.05" customHeight="1" outlineLevel="1" x14ac:dyDescent="0.3">
      <c r="B261" s="42"/>
      <c r="C261" s="42"/>
      <c r="D261" s="42"/>
      <c r="E261" s="43"/>
      <c r="F261" s="42"/>
      <c r="G261" s="42"/>
      <c r="H261" s="88"/>
    </row>
    <row r="262" spans="2:8" ht="100.05" customHeight="1" outlineLevel="1" x14ac:dyDescent="0.3">
      <c r="B262" s="42"/>
      <c r="C262" s="42"/>
      <c r="D262" s="42"/>
      <c r="E262" s="43"/>
      <c r="F262" s="42"/>
      <c r="G262" s="42"/>
      <c r="H262" s="88"/>
    </row>
    <row r="263" spans="2:8" ht="100.05" customHeight="1" outlineLevel="1" x14ac:dyDescent="0.3">
      <c r="B263" s="42"/>
      <c r="C263" s="42"/>
      <c r="D263" s="42"/>
      <c r="E263" s="43"/>
      <c r="F263" s="42"/>
      <c r="G263" s="42"/>
      <c r="H263" s="88"/>
    </row>
    <row r="264" spans="2:8" ht="100.05" customHeight="1" outlineLevel="1" x14ac:dyDescent="0.3">
      <c r="B264" s="42"/>
      <c r="C264" s="42"/>
      <c r="D264" s="42"/>
      <c r="E264" s="43"/>
      <c r="F264" s="42"/>
      <c r="G264" s="42"/>
      <c r="H264" s="88"/>
    </row>
    <row r="265" spans="2:8" ht="100.05" customHeight="1" outlineLevel="1" x14ac:dyDescent="0.3">
      <c r="B265" s="42"/>
      <c r="C265" s="42"/>
      <c r="D265" s="42"/>
      <c r="E265" s="43"/>
      <c r="F265" s="42"/>
      <c r="G265" s="42"/>
      <c r="H265" s="88"/>
    </row>
    <row r="266" spans="2:8" ht="100.05" customHeight="1" outlineLevel="1" x14ac:dyDescent="0.3">
      <c r="B266" s="42"/>
      <c r="C266" s="42"/>
      <c r="D266" s="42"/>
      <c r="E266" s="43"/>
      <c r="F266" s="42"/>
      <c r="G266" s="42"/>
      <c r="H266" s="88"/>
    </row>
    <row r="267" spans="2:8" ht="100.05" customHeight="1" outlineLevel="1" x14ac:dyDescent="0.3">
      <c r="B267" s="42"/>
      <c r="C267" s="42"/>
      <c r="D267" s="42"/>
      <c r="E267" s="43"/>
      <c r="F267" s="42"/>
      <c r="G267" s="42"/>
      <c r="H267" s="88"/>
    </row>
    <row r="268" spans="2:8" ht="100.05" customHeight="1" outlineLevel="1" x14ac:dyDescent="0.3">
      <c r="B268" s="42"/>
      <c r="C268" s="42"/>
      <c r="D268" s="42"/>
      <c r="E268" s="43"/>
      <c r="F268" s="42"/>
      <c r="G268" s="42"/>
      <c r="H268" s="88"/>
    </row>
    <row r="269" spans="2:8" ht="100.05" customHeight="1" outlineLevel="1" x14ac:dyDescent="0.3">
      <c r="B269" s="42"/>
      <c r="C269" s="42"/>
      <c r="D269" s="42"/>
      <c r="E269" s="43"/>
      <c r="F269" s="42"/>
      <c r="G269" s="42"/>
      <c r="H269" s="88"/>
    </row>
    <row r="270" spans="2:8" ht="100.05" customHeight="1" outlineLevel="1" x14ac:dyDescent="0.3">
      <c r="B270" s="42"/>
      <c r="C270" s="42"/>
      <c r="D270" s="42"/>
      <c r="E270" s="43"/>
      <c r="F270" s="42"/>
      <c r="G270" s="42"/>
      <c r="H270" s="88"/>
    </row>
    <row r="271" spans="2:8" ht="100.05" customHeight="1" outlineLevel="1" x14ac:dyDescent="0.3">
      <c r="B271" s="42"/>
      <c r="C271" s="42"/>
      <c r="D271" s="42"/>
      <c r="E271" s="43"/>
      <c r="F271" s="42"/>
      <c r="G271" s="42"/>
      <c r="H271" s="88"/>
    </row>
    <row r="272" spans="2:8" ht="100.05" customHeight="1" outlineLevel="1" x14ac:dyDescent="0.3">
      <c r="B272" s="42"/>
      <c r="C272" s="42"/>
      <c r="D272" s="42"/>
      <c r="E272" s="43"/>
      <c r="F272" s="42"/>
      <c r="G272" s="42"/>
      <c r="H272" s="88"/>
    </row>
    <row r="273" spans="2:8" ht="100.05" customHeight="1" outlineLevel="1" x14ac:dyDescent="0.3">
      <c r="B273" s="42"/>
      <c r="C273" s="42"/>
      <c r="D273" s="42"/>
      <c r="E273" s="43"/>
      <c r="F273" s="42"/>
      <c r="G273" s="42"/>
      <c r="H273" s="88"/>
    </row>
    <row r="274" spans="2:8" ht="100.05" customHeight="1" outlineLevel="1" x14ac:dyDescent="0.3">
      <c r="B274" s="42"/>
      <c r="C274" s="42"/>
      <c r="D274" s="42"/>
      <c r="E274" s="43"/>
      <c r="F274" s="42"/>
      <c r="G274" s="42"/>
      <c r="H274" s="88"/>
    </row>
    <row r="275" spans="2:8" ht="100.05" customHeight="1" outlineLevel="1" x14ac:dyDescent="0.3">
      <c r="B275" s="42"/>
      <c r="C275" s="42"/>
      <c r="D275" s="42"/>
      <c r="E275" s="43"/>
      <c r="F275" s="42"/>
      <c r="G275" s="42"/>
      <c r="H275" s="88"/>
    </row>
    <row r="276" spans="2:8" ht="100.05" customHeight="1" outlineLevel="1" x14ac:dyDescent="0.3">
      <c r="B276" s="42"/>
      <c r="C276" s="42"/>
      <c r="D276" s="42"/>
      <c r="E276" s="43"/>
      <c r="F276" s="42"/>
      <c r="G276" s="42"/>
      <c r="H276" s="88"/>
    </row>
    <row r="277" spans="2:8" ht="100.05" customHeight="1" outlineLevel="1" x14ac:dyDescent="0.3">
      <c r="B277" s="42"/>
      <c r="C277" s="42"/>
      <c r="D277" s="42"/>
      <c r="E277" s="43"/>
      <c r="F277" s="42"/>
      <c r="G277" s="42"/>
      <c r="H277" s="88"/>
    </row>
    <row r="278" spans="2:8" ht="100.05" customHeight="1" outlineLevel="1" x14ac:dyDescent="0.3">
      <c r="B278" s="42"/>
      <c r="C278" s="42"/>
      <c r="D278" s="42"/>
      <c r="E278" s="43"/>
      <c r="F278" s="42"/>
      <c r="G278" s="42"/>
      <c r="H278" s="88"/>
    </row>
    <row r="279" spans="2:8" ht="100.05" customHeight="1" outlineLevel="1" x14ac:dyDescent="0.3">
      <c r="B279" s="42"/>
      <c r="C279" s="42"/>
      <c r="D279" s="42"/>
      <c r="E279" s="43"/>
      <c r="F279" s="42"/>
      <c r="G279" s="42"/>
      <c r="H279" s="88"/>
    </row>
    <row r="280" spans="2:8" ht="100.05" customHeight="1" outlineLevel="1" x14ac:dyDescent="0.3">
      <c r="B280" s="42"/>
      <c r="C280" s="42"/>
      <c r="D280" s="42"/>
      <c r="E280" s="43"/>
      <c r="F280" s="42"/>
      <c r="G280" s="42"/>
      <c r="H280" s="88"/>
    </row>
    <row r="281" spans="2:8" ht="100.05" customHeight="1" outlineLevel="1" x14ac:dyDescent="0.3">
      <c r="B281" s="42"/>
      <c r="C281" s="42"/>
      <c r="D281" s="42"/>
      <c r="E281" s="43"/>
      <c r="F281" s="42"/>
      <c r="G281" s="42"/>
      <c r="H281" s="88"/>
    </row>
    <row r="282" spans="2:8" ht="100.05" customHeight="1" outlineLevel="1" x14ac:dyDescent="0.3">
      <c r="B282" s="42"/>
      <c r="C282" s="42"/>
      <c r="D282" s="42"/>
      <c r="E282" s="43"/>
      <c r="F282" s="42"/>
      <c r="G282" s="42"/>
      <c r="H282" s="88"/>
    </row>
    <row r="283" spans="2:8" ht="100.05" customHeight="1" outlineLevel="1" x14ac:dyDescent="0.3">
      <c r="B283" s="42"/>
      <c r="C283" s="42"/>
      <c r="D283" s="42"/>
      <c r="E283" s="43"/>
      <c r="F283" s="42"/>
      <c r="G283" s="42"/>
      <c r="H283" s="88"/>
    </row>
    <row r="284" spans="2:8" ht="100.05" customHeight="1" outlineLevel="1" x14ac:dyDescent="0.3">
      <c r="B284" s="42"/>
      <c r="C284" s="42"/>
      <c r="D284" s="42"/>
      <c r="E284" s="43"/>
      <c r="F284" s="42"/>
      <c r="G284" s="42"/>
      <c r="H284" s="88"/>
    </row>
    <row r="285" spans="2:8" ht="100.05" customHeight="1" outlineLevel="1" x14ac:dyDescent="0.3">
      <c r="B285" s="42"/>
      <c r="C285" s="42"/>
      <c r="D285" s="42"/>
      <c r="E285" s="43"/>
      <c r="F285" s="42"/>
      <c r="G285" s="42"/>
      <c r="H285" s="88"/>
    </row>
    <row r="286" spans="2:8" ht="100.05" customHeight="1" outlineLevel="1" x14ac:dyDescent="0.3">
      <c r="B286" s="42"/>
      <c r="C286" s="42"/>
      <c r="D286" s="42"/>
      <c r="E286" s="43"/>
      <c r="F286" s="42"/>
      <c r="G286" s="42"/>
      <c r="H286" s="88"/>
    </row>
    <row r="287" spans="2:8" ht="100.05" customHeight="1" outlineLevel="1" x14ac:dyDescent="0.3">
      <c r="B287" s="42"/>
      <c r="C287" s="42"/>
      <c r="D287" s="42"/>
      <c r="E287" s="43"/>
      <c r="F287" s="42"/>
      <c r="G287" s="42"/>
      <c r="H287" s="88"/>
    </row>
    <row r="288" spans="2:8" ht="100.05" customHeight="1" outlineLevel="1" x14ac:dyDescent="0.3">
      <c r="B288" s="42"/>
      <c r="C288" s="42"/>
      <c r="D288" s="42"/>
      <c r="E288" s="43"/>
      <c r="F288" s="42"/>
      <c r="G288" s="42"/>
      <c r="H288" s="88"/>
    </row>
    <row r="289" spans="2:8" ht="100.05" customHeight="1" outlineLevel="1" x14ac:dyDescent="0.3">
      <c r="B289" s="42"/>
      <c r="C289" s="42"/>
      <c r="D289" s="42"/>
      <c r="E289" s="43"/>
      <c r="F289" s="42"/>
      <c r="G289" s="42"/>
      <c r="H289" s="88"/>
    </row>
    <row r="290" spans="2:8" ht="100.05" customHeight="1" outlineLevel="1" x14ac:dyDescent="0.3">
      <c r="B290" s="42"/>
      <c r="C290" s="42"/>
      <c r="D290" s="42"/>
      <c r="E290" s="43"/>
      <c r="F290" s="42"/>
      <c r="G290" s="42"/>
      <c r="H290" s="88"/>
    </row>
    <row r="291" spans="2:8" ht="100.05" customHeight="1" outlineLevel="1" x14ac:dyDescent="0.3">
      <c r="B291" s="42"/>
      <c r="C291" s="42"/>
      <c r="D291" s="42"/>
      <c r="E291" s="43"/>
      <c r="F291" s="42"/>
      <c r="G291" s="42"/>
      <c r="H291" s="88"/>
    </row>
    <row r="292" spans="2:8" ht="100.05" customHeight="1" outlineLevel="1" x14ac:dyDescent="0.3">
      <c r="B292" s="42"/>
      <c r="C292" s="42"/>
      <c r="D292" s="42"/>
      <c r="E292" s="43"/>
      <c r="F292" s="42"/>
      <c r="G292" s="42"/>
      <c r="H292" s="88"/>
    </row>
    <row r="293" spans="2:8" ht="100.05" customHeight="1" outlineLevel="1" x14ac:dyDescent="0.3">
      <c r="B293" s="42"/>
      <c r="C293" s="42"/>
      <c r="D293" s="42"/>
      <c r="E293" s="43"/>
      <c r="F293" s="42"/>
      <c r="G293" s="42"/>
      <c r="H293" s="88"/>
    </row>
    <row r="294" spans="2:8" ht="100.05" customHeight="1" outlineLevel="1" x14ac:dyDescent="0.3">
      <c r="B294" s="42"/>
      <c r="C294" s="42"/>
      <c r="D294" s="42"/>
      <c r="E294" s="43"/>
      <c r="F294" s="42"/>
      <c r="G294" s="42"/>
      <c r="H294" s="88"/>
    </row>
    <row r="295" spans="2:8" ht="100.05" customHeight="1" outlineLevel="1" x14ac:dyDescent="0.3">
      <c r="B295" s="42"/>
      <c r="C295" s="42"/>
      <c r="D295" s="42"/>
      <c r="E295" s="43"/>
      <c r="F295" s="42"/>
      <c r="G295" s="42"/>
      <c r="H295" s="88"/>
    </row>
    <row r="296" spans="2:8" ht="100.05" customHeight="1" outlineLevel="1" x14ac:dyDescent="0.3">
      <c r="B296" s="42"/>
      <c r="C296" s="42"/>
      <c r="D296" s="42"/>
      <c r="E296" s="43"/>
      <c r="F296" s="42"/>
      <c r="G296" s="42"/>
      <c r="H296" s="88"/>
    </row>
    <row r="297" spans="2:8" ht="100.05" customHeight="1" outlineLevel="1" x14ac:dyDescent="0.3">
      <c r="B297" s="42"/>
      <c r="C297" s="42"/>
      <c r="D297" s="42"/>
      <c r="E297" s="43"/>
      <c r="F297" s="42"/>
      <c r="G297" s="42"/>
      <c r="H297" s="88"/>
    </row>
    <row r="298" spans="2:8" ht="100.05" customHeight="1" outlineLevel="1" x14ac:dyDescent="0.3">
      <c r="B298" s="42"/>
      <c r="C298" s="42"/>
      <c r="D298" s="42"/>
      <c r="E298" s="43"/>
      <c r="F298" s="42"/>
      <c r="G298" s="42"/>
      <c r="H298" s="88"/>
    </row>
    <row r="299" spans="2:8" ht="100.05" customHeight="1" outlineLevel="1" x14ac:dyDescent="0.3">
      <c r="B299" s="42"/>
      <c r="C299" s="42"/>
      <c r="D299" s="42"/>
      <c r="E299" s="43"/>
      <c r="F299" s="42"/>
      <c r="G299" s="42"/>
      <c r="H299" s="88"/>
    </row>
    <row r="300" spans="2:8" ht="100.05" customHeight="1" outlineLevel="1" x14ac:dyDescent="0.3">
      <c r="B300" s="42"/>
      <c r="C300" s="42"/>
      <c r="D300" s="42"/>
      <c r="E300" s="43"/>
      <c r="F300" s="42"/>
      <c r="G300" s="42"/>
      <c r="H300" s="88"/>
    </row>
    <row r="301" spans="2:8" ht="100.05" customHeight="1" outlineLevel="1" x14ac:dyDescent="0.3">
      <c r="B301" s="42"/>
      <c r="C301" s="42"/>
      <c r="D301" s="42"/>
      <c r="E301" s="43"/>
      <c r="F301" s="42"/>
      <c r="G301" s="42"/>
      <c r="H301" s="88"/>
    </row>
    <row r="302" spans="2:8" ht="100.05" customHeight="1" outlineLevel="1" x14ac:dyDescent="0.3">
      <c r="B302" s="42"/>
      <c r="C302" s="42"/>
      <c r="D302" s="42"/>
      <c r="E302" s="43"/>
      <c r="F302" s="42"/>
      <c r="G302" s="42"/>
      <c r="H302" s="88"/>
    </row>
    <row r="303" spans="2:8" ht="100.05" customHeight="1" outlineLevel="1" x14ac:dyDescent="0.3">
      <c r="B303" s="42"/>
      <c r="C303" s="42"/>
      <c r="D303" s="42"/>
      <c r="E303" s="43"/>
      <c r="F303" s="42"/>
      <c r="G303" s="42"/>
      <c r="H303" s="88"/>
    </row>
    <row r="304" spans="2:8" ht="100.05" customHeight="1" outlineLevel="1" x14ac:dyDescent="0.3">
      <c r="B304" s="42"/>
      <c r="C304" s="42"/>
      <c r="D304" s="42"/>
      <c r="E304" s="43"/>
      <c r="F304" s="42"/>
      <c r="G304" s="42"/>
      <c r="H304" s="88"/>
    </row>
    <row r="305" spans="2:8" ht="100.05" customHeight="1" outlineLevel="1" x14ac:dyDescent="0.3">
      <c r="B305" s="42"/>
      <c r="C305" s="42"/>
      <c r="D305" s="42"/>
      <c r="E305" s="43"/>
      <c r="F305" s="42"/>
      <c r="G305" s="42"/>
      <c r="H305" s="88"/>
    </row>
    <row r="306" spans="2:8" ht="100.05" customHeight="1" outlineLevel="1" x14ac:dyDescent="0.3">
      <c r="B306" s="42"/>
      <c r="C306" s="42"/>
      <c r="D306" s="42"/>
      <c r="E306" s="43"/>
      <c r="F306" s="42"/>
      <c r="G306" s="42"/>
      <c r="H306" s="88"/>
    </row>
    <row r="307" spans="2:8" ht="100.05" customHeight="1" outlineLevel="1" x14ac:dyDescent="0.3">
      <c r="B307" s="42"/>
      <c r="C307" s="42"/>
      <c r="D307" s="42"/>
      <c r="E307" s="43"/>
      <c r="F307" s="42"/>
      <c r="G307" s="42"/>
      <c r="H307" s="88"/>
    </row>
    <row r="308" spans="2:8" ht="100.05" customHeight="1" outlineLevel="1" x14ac:dyDescent="0.3">
      <c r="B308" s="42"/>
      <c r="C308" s="42"/>
      <c r="D308" s="42"/>
      <c r="E308" s="43"/>
      <c r="F308" s="42"/>
      <c r="G308" s="42"/>
      <c r="H308" s="88"/>
    </row>
    <row r="309" spans="2:8" ht="100.05" customHeight="1" outlineLevel="1" x14ac:dyDescent="0.3">
      <c r="B309" s="42"/>
      <c r="C309" s="42"/>
      <c r="D309" s="42"/>
      <c r="E309" s="43"/>
      <c r="F309" s="42"/>
      <c r="G309" s="42"/>
      <c r="H309" s="88"/>
    </row>
    <row r="310" spans="2:8" ht="100.05" customHeight="1" outlineLevel="1" x14ac:dyDescent="0.3">
      <c r="B310" s="42"/>
      <c r="C310" s="42"/>
      <c r="D310" s="42"/>
      <c r="E310" s="43"/>
      <c r="F310" s="42"/>
      <c r="G310" s="42"/>
      <c r="H310" s="88"/>
    </row>
    <row r="311" spans="2:8" ht="100.05" customHeight="1" outlineLevel="1" x14ac:dyDescent="0.3">
      <c r="B311" s="42"/>
      <c r="C311" s="42"/>
      <c r="D311" s="42"/>
      <c r="E311" s="43"/>
      <c r="F311" s="42"/>
      <c r="G311" s="42"/>
      <c r="H311" s="88"/>
    </row>
    <row r="312" spans="2:8" ht="100.05" customHeight="1" outlineLevel="1" x14ac:dyDescent="0.3">
      <c r="B312" s="42"/>
      <c r="C312" s="42"/>
      <c r="D312" s="42"/>
      <c r="E312" s="43"/>
      <c r="F312" s="42"/>
      <c r="G312" s="42"/>
      <c r="H312" s="88"/>
    </row>
    <row r="313" spans="2:8" ht="100.05" customHeight="1" outlineLevel="1" x14ac:dyDescent="0.3">
      <c r="B313" s="42"/>
      <c r="C313" s="42"/>
      <c r="D313" s="42"/>
      <c r="E313" s="43"/>
      <c r="F313" s="42"/>
      <c r="G313" s="42"/>
      <c r="H313" s="88"/>
    </row>
    <row r="314" spans="2:8" ht="100.05" customHeight="1" outlineLevel="1" x14ac:dyDescent="0.3">
      <c r="B314" s="42"/>
      <c r="C314" s="42"/>
      <c r="D314" s="42"/>
      <c r="E314" s="43"/>
      <c r="F314" s="42"/>
      <c r="G314" s="42"/>
      <c r="H314" s="88"/>
    </row>
    <row r="315" spans="2:8" ht="100.05" customHeight="1" outlineLevel="1" x14ac:dyDescent="0.3">
      <c r="B315" s="42"/>
      <c r="C315" s="42"/>
      <c r="D315" s="42"/>
      <c r="E315" s="43"/>
      <c r="F315" s="42"/>
      <c r="G315" s="42"/>
      <c r="H315" s="88"/>
    </row>
    <row r="316" spans="2:8" ht="100.05" customHeight="1" outlineLevel="1" x14ac:dyDescent="0.3">
      <c r="B316" s="42"/>
      <c r="C316" s="42"/>
      <c r="D316" s="42"/>
      <c r="E316" s="43"/>
      <c r="F316" s="42"/>
      <c r="G316" s="42"/>
      <c r="H316" s="88"/>
    </row>
    <row r="317" spans="2:8" ht="100.05" customHeight="1" outlineLevel="1" x14ac:dyDescent="0.3">
      <c r="B317" s="42"/>
      <c r="C317" s="42"/>
      <c r="D317" s="42"/>
      <c r="E317" s="43"/>
      <c r="F317" s="42"/>
      <c r="G317" s="42"/>
      <c r="H317" s="88"/>
    </row>
    <row r="318" spans="2:8" ht="100.05" customHeight="1" outlineLevel="1" x14ac:dyDescent="0.3">
      <c r="B318" s="42"/>
      <c r="C318" s="42"/>
      <c r="D318" s="42"/>
      <c r="E318" s="43"/>
      <c r="F318" s="42"/>
      <c r="G318" s="42"/>
      <c r="H318" s="88"/>
    </row>
    <row r="319" spans="2:8" ht="100.05" customHeight="1" outlineLevel="1" thickBot="1" x14ac:dyDescent="0.35">
      <c r="B319" s="40"/>
      <c r="C319" s="40"/>
      <c r="D319" s="40"/>
      <c r="E319" s="41"/>
      <c r="F319" s="40"/>
      <c r="G319" s="40"/>
      <c r="H319" s="89"/>
    </row>
    <row r="320" spans="2:8" ht="100.05" customHeight="1" outlineLevel="1" thickTop="1" thickBot="1" x14ac:dyDescent="0.35"/>
    <row r="321" spans="2:8" ht="100.05" customHeight="1" outlineLevel="1" thickTop="1" thickBot="1" x14ac:dyDescent="0.35"/>
    <row r="322" spans="2:8" ht="100.05" customHeight="1" outlineLevel="1" thickTop="1" thickBot="1" x14ac:dyDescent="0.35"/>
    <row r="323" spans="2:8" ht="100.05" customHeight="1" outlineLevel="1" thickTop="1" thickBot="1" x14ac:dyDescent="0.35">
      <c r="B323" s="131" t="s">
        <v>194</v>
      </c>
      <c r="C323" s="31">
        <f>SUBTOTAL(9,C4:C322)</f>
        <v>2632</v>
      </c>
      <c r="G323" s="31">
        <f>SUBTOTAL(9,G4:G322)</f>
        <v>790</v>
      </c>
      <c r="H323" s="87">
        <f>SUBTOTAL(9,H4:H322)</f>
        <v>3.3500940868935269</v>
      </c>
    </row>
    <row r="325" spans="2:8" ht="100.05" customHeight="1" x14ac:dyDescent="0.35"/>
  </sheetData>
  <sortState ref="E47:H49">
    <sortCondition descending="1" ref="G47:G49"/>
  </sortState>
  <mergeCells count="60">
    <mergeCell ref="C55:C58"/>
    <mergeCell ref="B52:B53"/>
    <mergeCell ref="C60:C62"/>
    <mergeCell ref="C64:C66"/>
    <mergeCell ref="C68:C71"/>
    <mergeCell ref="B68:B71"/>
    <mergeCell ref="B64:B66"/>
    <mergeCell ref="C48"/>
    <mergeCell ref="D48"/>
    <mergeCell ref="B48"/>
    <mergeCell ref="C52:C53"/>
    <mergeCell ref="D52:D53"/>
    <mergeCell ref="B11"/>
    <mergeCell ref="D11"/>
    <mergeCell ref="C4"/>
    <mergeCell ref="C6:C7"/>
    <mergeCell ref="C9"/>
    <mergeCell ref="C11"/>
    <mergeCell ref="B39:B40"/>
    <mergeCell ref="C15:C18"/>
    <mergeCell ref="C20:C21"/>
    <mergeCell ref="B29"/>
    <mergeCell ref="D29"/>
    <mergeCell ref="D37"/>
    <mergeCell ref="B37"/>
    <mergeCell ref="C37"/>
    <mergeCell ref="C25:C27"/>
    <mergeCell ref="C29"/>
    <mergeCell ref="D25:D27"/>
    <mergeCell ref="B25:B27"/>
    <mergeCell ref="D64:D66"/>
    <mergeCell ref="B73:B75"/>
    <mergeCell ref="D73:D75"/>
    <mergeCell ref="D68:D71"/>
    <mergeCell ref="C73:C75"/>
    <mergeCell ref="D2"/>
    <mergeCell ref="B2"/>
    <mergeCell ref="D4"/>
    <mergeCell ref="B4"/>
    <mergeCell ref="D9"/>
    <mergeCell ref="B9"/>
    <mergeCell ref="C2"/>
    <mergeCell ref="D6:D7"/>
    <mergeCell ref="B6:B7"/>
    <mergeCell ref="D55:D58"/>
    <mergeCell ref="B55:B58"/>
    <mergeCell ref="D60:D62"/>
    <mergeCell ref="B60:B62"/>
    <mergeCell ref="D15:D18"/>
    <mergeCell ref="B15:B18"/>
    <mergeCell ref="D20:D21"/>
    <mergeCell ref="B20:B21"/>
    <mergeCell ref="D46"/>
    <mergeCell ref="B46"/>
    <mergeCell ref="C42"/>
    <mergeCell ref="D42"/>
    <mergeCell ref="B42"/>
    <mergeCell ref="C46"/>
    <mergeCell ref="C39:C40"/>
    <mergeCell ref="D39:D40"/>
  </mergeCell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D4" sqref="D4"/>
    </sheetView>
  </sheetViews>
  <sheetFormatPr defaultRowHeight="22.2" thickTop="1" thickBottom="1" x14ac:dyDescent="0.35"/>
  <cols>
    <col min="2" max="2" width="8.6640625" style="1" customWidth="1"/>
    <col min="3" max="3" width="48.77734375" style="1" customWidth="1"/>
    <col min="5" max="5" width="11.33203125" style="92" customWidth="1"/>
  </cols>
  <sheetData>
    <row r="1" spans="2:5" ht="64.2" thickTop="1" thickBot="1" x14ac:dyDescent="0.35">
      <c r="B1" s="51" t="s">
        <v>133</v>
      </c>
      <c r="C1" s="51" t="s">
        <v>134</v>
      </c>
      <c r="D1" s="51" t="s">
        <v>132</v>
      </c>
      <c r="E1" s="92" t="s">
        <v>166</v>
      </c>
    </row>
    <row r="2" spans="2:5" ht="32.4" thickTop="1" thickBot="1" x14ac:dyDescent="0.35">
      <c r="B2" s="33">
        <v>83</v>
      </c>
      <c r="C2" s="33" t="s">
        <v>29</v>
      </c>
      <c r="D2" s="31">
        <v>23</v>
      </c>
      <c r="E2" s="92">
        <f>D2/B2</f>
        <v>0.27710843373493976</v>
      </c>
    </row>
    <row r="3" spans="2:5" ht="31.2" thickTop="1" thickBot="1" x14ac:dyDescent="0.35">
      <c r="B3" s="121">
        <v>241</v>
      </c>
      <c r="C3" s="32" t="s">
        <v>120</v>
      </c>
      <c r="D3" s="31">
        <v>1</v>
      </c>
      <c r="E3" s="92">
        <f>D3/241</f>
        <v>4.1493775933609959E-3</v>
      </c>
    </row>
    <row r="4" spans="2:5" ht="31.2" thickTop="1" thickBot="1" x14ac:dyDescent="0.35">
      <c r="B4" s="121"/>
      <c r="C4" s="32" t="s">
        <v>35</v>
      </c>
      <c r="D4" s="31">
        <v>4</v>
      </c>
      <c r="E4" s="92">
        <f>D4/241</f>
        <v>1.6597510373443983E-2</v>
      </c>
    </row>
    <row r="5" spans="2:5" ht="31.2" thickTop="1" thickBot="1" x14ac:dyDescent="0.35">
      <c r="B5" s="121"/>
      <c r="C5" s="32" t="s">
        <v>14</v>
      </c>
      <c r="D5" s="31">
        <v>4</v>
      </c>
      <c r="E5" s="92">
        <f>D5/241</f>
        <v>1.6597510373443983E-2</v>
      </c>
    </row>
    <row r="6" spans="2:5" ht="31.2" thickTop="1" thickBot="1" x14ac:dyDescent="0.35">
      <c r="B6" s="121"/>
      <c r="C6" s="32" t="s">
        <v>13</v>
      </c>
      <c r="D6" s="31">
        <v>23</v>
      </c>
      <c r="E6" s="92">
        <f>D6/241</f>
        <v>9.5435684647302899E-2</v>
      </c>
    </row>
    <row r="7" spans="2:5" ht="31.2" thickTop="1" thickBot="1" x14ac:dyDescent="0.35">
      <c r="B7" s="121"/>
      <c r="C7" s="32" t="s">
        <v>15</v>
      </c>
      <c r="D7" s="31">
        <v>3</v>
      </c>
      <c r="E7" s="92">
        <f>D7/241</f>
        <v>1.2448132780082987E-2</v>
      </c>
    </row>
    <row r="8" spans="2:5" thickTop="1" thickBot="1" x14ac:dyDescent="0.35">
      <c r="B8" s="53"/>
      <c r="C8" s="32" t="s">
        <v>5</v>
      </c>
      <c r="D8" s="70">
        <v>10</v>
      </c>
    </row>
    <row r="9" spans="2:5" thickTop="1" thickBot="1" x14ac:dyDescent="0.35">
      <c r="B9" s="32"/>
      <c r="C9" s="32" t="s">
        <v>0</v>
      </c>
      <c r="D9" s="31">
        <v>3</v>
      </c>
    </row>
    <row r="10" spans="2:5" ht="32.4" thickTop="1" thickBot="1" x14ac:dyDescent="0.35">
      <c r="B10" s="33"/>
      <c r="C10" s="33" t="s">
        <v>42</v>
      </c>
      <c r="D10" s="31">
        <v>3</v>
      </c>
    </row>
    <row r="11" spans="2:5" thickTop="1" thickBot="1" x14ac:dyDescent="0.35">
      <c r="B11" s="33"/>
      <c r="C11" s="33" t="s">
        <v>30</v>
      </c>
      <c r="D11" s="31">
        <v>2</v>
      </c>
    </row>
    <row r="12" spans="2:5" thickTop="1" thickBot="1" x14ac:dyDescent="0.35">
      <c r="B12" s="52"/>
      <c r="C12" s="52" t="s">
        <v>126</v>
      </c>
      <c r="D12" s="31">
        <v>2</v>
      </c>
    </row>
    <row r="13" spans="2:5" thickTop="1" thickBot="1" x14ac:dyDescent="0.35">
      <c r="B13" s="33"/>
      <c r="C13" s="33" t="s">
        <v>46</v>
      </c>
      <c r="D13" s="31">
        <v>2</v>
      </c>
    </row>
    <row r="14" spans="2:5" thickTop="1" thickBot="1" x14ac:dyDescent="0.35">
      <c r="B14" s="32"/>
      <c r="C14" s="32" t="s">
        <v>1</v>
      </c>
      <c r="D14" s="31">
        <v>1</v>
      </c>
    </row>
    <row r="15" spans="2:5" ht="31.2" thickTop="1" thickBot="1" x14ac:dyDescent="0.35">
      <c r="B15" s="53"/>
      <c r="C15" s="32" t="s">
        <v>122</v>
      </c>
      <c r="D15" s="54">
        <v>1</v>
      </c>
    </row>
    <row r="16" spans="2:5" ht="31.2" thickTop="1" thickBot="1" x14ac:dyDescent="0.35">
      <c r="B16" s="53"/>
      <c r="C16" s="32" t="s">
        <v>41</v>
      </c>
      <c r="D16" s="70">
        <v>1</v>
      </c>
    </row>
    <row r="17" spans="2:6" thickTop="1" thickBot="1" x14ac:dyDescent="0.35">
      <c r="B17" s="52"/>
      <c r="C17" s="52" t="s">
        <v>2</v>
      </c>
      <c r="D17" s="31">
        <v>1</v>
      </c>
    </row>
    <row r="18" spans="2:6" thickTop="1" thickBot="1" x14ac:dyDescent="0.35">
      <c r="B18" s="32"/>
      <c r="C18" s="32"/>
      <c r="D18" s="93">
        <f>SUM(D2:D16)</f>
        <v>83</v>
      </c>
      <c r="E18" s="94"/>
    </row>
    <row r="19" spans="2:6" ht="21.6" thickTop="1" x14ac:dyDescent="0.3">
      <c r="D19" s="96"/>
      <c r="E19" s="97"/>
      <c r="F19" s="96"/>
    </row>
    <row r="20" spans="2:6" ht="21" x14ac:dyDescent="0.3">
      <c r="D20" s="96"/>
      <c r="E20" s="97"/>
      <c r="F20" s="96"/>
    </row>
    <row r="21" spans="2:6" ht="21" x14ac:dyDescent="0.3">
      <c r="D21" s="96"/>
      <c r="E21" s="97"/>
      <c r="F21" s="96"/>
    </row>
    <row r="22" spans="2:6" ht="21" x14ac:dyDescent="0.3">
      <c r="D22" s="96"/>
      <c r="E22" s="97"/>
      <c r="F22" s="96"/>
    </row>
    <row r="23" spans="2:6" ht="21" x14ac:dyDescent="0.3">
      <c r="D23" s="96"/>
      <c r="E23" s="97"/>
      <c r="F23" s="96"/>
    </row>
    <row r="24" spans="2:6" ht="21" x14ac:dyDescent="0.3">
      <c r="D24" s="96"/>
      <c r="E24" s="97"/>
      <c r="F24" s="96"/>
    </row>
    <row r="25" spans="2:6" ht="21" x14ac:dyDescent="0.3">
      <c r="D25" s="96"/>
      <c r="E25" s="97"/>
      <c r="F25" s="96"/>
    </row>
    <row r="26" spans="2:6" ht="21" x14ac:dyDescent="0.3">
      <c r="D26" s="96"/>
      <c r="E26" s="97"/>
      <c r="F26" s="96"/>
    </row>
    <row r="27" spans="2:6" ht="21" x14ac:dyDescent="0.3">
      <c r="D27" s="96"/>
      <c r="E27" s="97"/>
      <c r="F27" s="96"/>
    </row>
    <row r="28" spans="2:6" ht="21" x14ac:dyDescent="0.3">
      <c r="D28" s="96"/>
      <c r="E28" s="97"/>
      <c r="F28" s="96"/>
    </row>
    <row r="29" spans="2:6" ht="21" x14ac:dyDescent="0.3">
      <c r="D29" s="96"/>
      <c r="E29" s="97"/>
      <c r="F29" s="96"/>
    </row>
    <row r="30" spans="2:6" ht="21" x14ac:dyDescent="0.3">
      <c r="D30" s="96"/>
      <c r="E30" s="97"/>
      <c r="F30" s="96"/>
    </row>
    <row r="31" spans="2:6" ht="21" x14ac:dyDescent="0.3">
      <c r="D31" s="96"/>
      <c r="E31" s="97"/>
      <c r="F31" s="96"/>
    </row>
    <row r="32" spans="2:6" ht="21" x14ac:dyDescent="0.3">
      <c r="D32" s="96"/>
      <c r="E32" s="97"/>
      <c r="F32" s="96"/>
    </row>
    <row r="33" spans="4:6" ht="21" x14ac:dyDescent="0.3">
      <c r="D33" s="96"/>
      <c r="E33" s="97"/>
      <c r="F33" s="96"/>
    </row>
    <row r="34" spans="4:6" ht="21.6" thickBot="1" x14ac:dyDescent="0.35">
      <c r="E34" s="95"/>
    </row>
    <row r="36" spans="4:6" ht="21" x14ac:dyDescent="0.3"/>
  </sheetData>
  <sortState ref="B9:E18">
    <sortCondition descending="1" ref="D9:D18"/>
  </sortState>
  <mergeCells count="1">
    <mergeCell ref="B3:B7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F12"/>
  <sheetViews>
    <sheetView workbookViewId="0">
      <selection activeCell="L1" sqref="L1"/>
    </sheetView>
  </sheetViews>
  <sheetFormatPr defaultRowHeight="15.6" thickTop="1" thickBottom="1" x14ac:dyDescent="0.35"/>
  <cols>
    <col min="4" max="4" width="37.77734375" customWidth="1"/>
    <col min="5" max="5" width="22.44140625" customWidth="1"/>
    <col min="6" max="6" width="8.88671875" style="87"/>
  </cols>
  <sheetData>
    <row r="1" spans="3:6" ht="43.2" thickTop="1" thickBot="1" x14ac:dyDescent="0.35">
      <c r="C1" s="51" t="s">
        <v>133</v>
      </c>
      <c r="D1" s="51" t="s">
        <v>134</v>
      </c>
      <c r="E1" s="98" t="s">
        <v>132</v>
      </c>
      <c r="F1" s="92" t="s">
        <v>165</v>
      </c>
    </row>
    <row r="2" spans="3:6" ht="32.4" thickTop="1" thickBot="1" x14ac:dyDescent="0.35">
      <c r="C2" s="31"/>
      <c r="D2" s="33" t="s">
        <v>55</v>
      </c>
      <c r="E2" s="99">
        <v>44</v>
      </c>
    </row>
    <row r="3" spans="3:6" ht="59.4" customHeight="1" thickTop="1" thickBot="1" x14ac:dyDescent="0.35">
      <c r="C3" s="31">
        <v>138</v>
      </c>
      <c r="D3" s="33" t="s">
        <v>47</v>
      </c>
      <c r="E3" s="100">
        <v>18</v>
      </c>
      <c r="F3" s="87">
        <f>E3/C3</f>
        <v>0.13043478260869565</v>
      </c>
    </row>
    <row r="4" spans="3:6" ht="48" thickTop="1" thickBot="1" x14ac:dyDescent="0.35">
      <c r="C4" s="31"/>
      <c r="D4" s="33" t="s">
        <v>52</v>
      </c>
      <c r="E4" s="101">
        <v>5</v>
      </c>
    </row>
    <row r="5" spans="3:6" ht="48" thickTop="1" thickBot="1" x14ac:dyDescent="0.35">
      <c r="C5" s="31">
        <v>27</v>
      </c>
      <c r="D5" s="33" t="s">
        <v>48</v>
      </c>
      <c r="E5" s="101">
        <v>4</v>
      </c>
      <c r="F5" s="87">
        <f>E5/C5</f>
        <v>0.14814814814814814</v>
      </c>
    </row>
    <row r="6" spans="3:6" ht="16.2" thickTop="1" thickBot="1" x14ac:dyDescent="0.35">
      <c r="C6" s="31"/>
      <c r="D6" s="32" t="s">
        <v>57</v>
      </c>
      <c r="E6" s="99">
        <v>3</v>
      </c>
    </row>
    <row r="7" spans="3:6" ht="55.8" thickTop="1" thickBot="1" x14ac:dyDescent="0.35">
      <c r="C7" s="31">
        <v>7</v>
      </c>
      <c r="D7" s="33" t="s">
        <v>49</v>
      </c>
      <c r="E7" s="101">
        <v>1</v>
      </c>
      <c r="F7" s="87">
        <f>E7/C7</f>
        <v>0.14285714285714285</v>
      </c>
    </row>
    <row r="8" spans="3:6" ht="48" thickTop="1" thickBot="1" x14ac:dyDescent="0.35">
      <c r="C8" s="31">
        <v>34</v>
      </c>
      <c r="D8" s="33" t="s">
        <v>50</v>
      </c>
      <c r="E8" s="99">
        <v>1</v>
      </c>
      <c r="F8" s="87">
        <f>E8/C8</f>
        <v>2.9411764705882353E-2</v>
      </c>
    </row>
    <row r="9" spans="3:6" ht="46.2" thickTop="1" thickBot="1" x14ac:dyDescent="0.35">
      <c r="C9" s="31">
        <v>5</v>
      </c>
      <c r="D9" s="32" t="s">
        <v>51</v>
      </c>
      <c r="E9" s="99">
        <v>1</v>
      </c>
      <c r="F9" s="87">
        <f>E9/C9</f>
        <v>0.2</v>
      </c>
    </row>
    <row r="10" spans="3:6" ht="48" thickTop="1" thickBot="1" x14ac:dyDescent="0.35">
      <c r="C10" s="31"/>
      <c r="D10" s="33" t="s">
        <v>53</v>
      </c>
      <c r="E10" s="101">
        <v>1</v>
      </c>
    </row>
    <row r="11" spans="3:6" ht="32.4" thickTop="1" thickBot="1" x14ac:dyDescent="0.35">
      <c r="C11" s="31"/>
      <c r="D11" s="33" t="s">
        <v>54</v>
      </c>
      <c r="E11" s="101">
        <v>1</v>
      </c>
    </row>
    <row r="12" spans="3:6" ht="16.8" thickTop="1" thickBot="1" x14ac:dyDescent="0.35">
      <c r="C12" s="31"/>
      <c r="D12" s="33" t="s">
        <v>56</v>
      </c>
      <c r="E12" s="101">
        <v>1</v>
      </c>
    </row>
  </sheetData>
  <sortState ref="C2:E12">
    <sortCondition descending="1" ref="E2:E1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2025-05-10T10:08:50Z</dcterms:modified>
</cp:coreProperties>
</file>