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nagib_swr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Sheet1!$E$31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Sheet1!$E$16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" i="1" l="1"/>
  <c r="C61" i="1"/>
  <c r="G59" i="1"/>
  <c r="C59" i="1"/>
  <c r="G57" i="1"/>
  <c r="C57" i="1"/>
  <c r="G55" i="1"/>
  <c r="C55" i="1"/>
  <c r="G52" i="1"/>
  <c r="C52" i="1"/>
  <c r="G50" i="1"/>
  <c r="C50" i="1"/>
  <c r="G48" i="1"/>
  <c r="C48" i="1"/>
  <c r="G46" i="1"/>
  <c r="C46" i="1"/>
  <c r="G44" i="1"/>
  <c r="C44" i="1"/>
  <c r="G42" i="1"/>
  <c r="C42" i="1"/>
  <c r="G40" i="1"/>
  <c r="C40" i="1"/>
  <c r="G37" i="1"/>
  <c r="C37" i="1"/>
  <c r="G34" i="1"/>
  <c r="C34" i="1"/>
  <c r="G32" i="1"/>
  <c r="C32" i="1"/>
  <c r="G30" i="1"/>
  <c r="C30" i="1"/>
  <c r="G27" i="1"/>
  <c r="C27" i="1"/>
  <c r="G25" i="1"/>
  <c r="C25" i="1"/>
  <c r="G23" i="1"/>
  <c r="C23" i="1"/>
  <c r="G21" i="1"/>
  <c r="C21" i="1"/>
  <c r="G19" i="1"/>
  <c r="C19" i="1"/>
  <c r="G17" i="1"/>
  <c r="C17" i="1"/>
  <c r="G15" i="1"/>
  <c r="C15" i="1"/>
  <c r="G13" i="1"/>
  <c r="C13" i="1"/>
  <c r="G11" i="1"/>
  <c r="C11" i="1"/>
  <c r="G9" i="1"/>
  <c r="C9" i="1"/>
  <c r="G7" i="1"/>
  <c r="C7" i="1"/>
  <c r="G5" i="1"/>
  <c r="C5" i="1"/>
  <c r="G3" i="1"/>
  <c r="C3" i="1"/>
  <c r="E5" i="3" l="1"/>
  <c r="E5" i="2"/>
  <c r="E6" i="2"/>
  <c r="E4" i="2"/>
  <c r="E2" i="2"/>
  <c r="H54" i="1"/>
  <c r="H36" i="1"/>
  <c r="H53" i="1"/>
  <c r="H55" i="1" s="1"/>
  <c r="H39" i="1"/>
  <c r="H35" i="1"/>
  <c r="H37" i="1" s="1"/>
  <c r="H29" i="1"/>
  <c r="H4" i="1"/>
  <c r="H5" i="1" s="1"/>
  <c r="H6" i="1"/>
  <c r="H7" i="1" s="1"/>
  <c r="H8" i="1"/>
  <c r="H9" i="1" s="1"/>
  <c r="H10" i="1"/>
  <c r="H11" i="1" s="1"/>
  <c r="H12" i="1"/>
  <c r="H13" i="1" s="1"/>
  <c r="H14" i="1"/>
  <c r="H15" i="1" s="1"/>
  <c r="H16" i="1"/>
  <c r="H17" i="1" s="1"/>
  <c r="H18" i="1"/>
  <c r="H19" i="1" s="1"/>
  <c r="H20" i="1"/>
  <c r="H21" i="1" s="1"/>
  <c r="H22" i="1"/>
  <c r="H23" i="1" s="1"/>
  <c r="H24" i="1"/>
  <c r="H25" i="1" s="1"/>
  <c r="H26" i="1"/>
  <c r="H27" i="1" s="1"/>
  <c r="H28" i="1"/>
  <c r="H30" i="1" s="1"/>
  <c r="H31" i="1"/>
  <c r="H32" i="1" s="1"/>
  <c r="H33" i="1"/>
  <c r="H34" i="1" s="1"/>
  <c r="H38" i="1"/>
  <c r="H40" i="1" s="1"/>
  <c r="H41" i="1"/>
  <c r="H42" i="1" s="1"/>
  <c r="H43" i="1"/>
  <c r="H44" i="1" s="1"/>
  <c r="H45" i="1"/>
  <c r="H46" i="1" s="1"/>
  <c r="H47" i="1"/>
  <c r="H48" i="1" s="1"/>
  <c r="H49" i="1"/>
  <c r="H50" i="1" s="1"/>
  <c r="H51" i="1"/>
  <c r="H52" i="1" s="1"/>
  <c r="H56" i="1"/>
  <c r="H57" i="1" s="1"/>
  <c r="H58" i="1"/>
  <c r="H59" i="1" s="1"/>
  <c r="H60" i="1"/>
  <c r="H61" i="1" s="1"/>
  <c r="H2" i="1"/>
  <c r="H3" i="1" s="1"/>
</calcChain>
</file>

<file path=xl/sharedStrings.xml><?xml version="1.0" encoding="utf-8"?>
<sst xmlns="http://schemas.openxmlformats.org/spreadsheetml/2006/main" count="152" uniqueCount="148">
  <si>
    <t>Vowel  nasalization</t>
  </si>
  <si>
    <t>Diphthongization</t>
  </si>
  <si>
    <t>substitution of [r] with [ɻ]</t>
  </si>
  <si>
    <t>substitution of [l] with [r]</t>
  </si>
  <si>
    <t>substitution of [q] with [k]</t>
  </si>
  <si>
    <t>Epenthesis(insertion of [ æ] phone between consonant cluster)</t>
  </si>
  <si>
    <t>Epenthesis(insertion of [ ɑ] phone between consonant cluster)</t>
  </si>
  <si>
    <t>substitution of [ɣ] with [ʕ]</t>
  </si>
  <si>
    <t xml:space="preserve">Aspiration ( substitution of [k]with [kʰ]) , </t>
  </si>
  <si>
    <t xml:space="preserve">Aspiration ( substitution of [t]with [tʰ]) </t>
  </si>
  <si>
    <t xml:space="preserve"> depharyngealization(substitution of [ðˤ] with [ð]), </t>
  </si>
  <si>
    <t>depharyngealization and aspiration (substitution of [tˤ] with [tʰ]),</t>
  </si>
  <si>
    <t>degemination(reduce consonant cluster to one single consonant)</t>
  </si>
  <si>
    <t>germination</t>
  </si>
  <si>
    <t>substitution of [h]with [χ]</t>
  </si>
  <si>
    <t>substitution of [ħ]with [h]</t>
  </si>
  <si>
    <t>substitution of [h]with [ħ]</t>
  </si>
  <si>
    <t>Epenthesis(insert vowel [ʊ] between  consnant cluster)</t>
  </si>
  <si>
    <t>devoicing(substitution of [d]with [t])</t>
  </si>
  <si>
    <t>devoicing(substitution of [ɣ]with [χ])</t>
  </si>
  <si>
    <t>devoicing(substitution of [b]with [p]), Aspiration ( substitution of [p]with [pʰ]) ,</t>
  </si>
  <si>
    <t>syllable structure process (consonant deletion of  [n] phone)</t>
  </si>
  <si>
    <t>substitution of [d͡ʒ] with [l]</t>
  </si>
  <si>
    <t>interdentalization(substitution of [s] with [θ])</t>
  </si>
  <si>
    <t>Definite Article deletion</t>
  </si>
  <si>
    <t>replace the Modern Standard Arabic diphthong [æw]with the colloquial arabic vowel[o:]</t>
  </si>
  <si>
    <t>final consonant deletion affected by colloquial arabic</t>
  </si>
  <si>
    <t>consonant deletion  of [ʔ] phone affected by colloquial Arabic</t>
  </si>
  <si>
    <t>colloquial Arabic word</t>
  </si>
  <si>
    <t>consonant insertion of  [h] phone in final position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</si>
  <si>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</si>
  <si>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</si>
  <si>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</si>
  <si>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</si>
  <si>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</si>
  <si>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</si>
  <si>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</si>
  <si>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</si>
  <si>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</si>
  <si>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</si>
  <si>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</si>
  <si>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</si>
  <si>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</si>
  <si>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</si>
  <si>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</si>
  <si>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</si>
  <si>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</si>
  <si>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</si>
  <si>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</si>
  <si>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</si>
  <si>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</si>
  <si>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</si>
  <si>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</si>
  <si>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</si>
  <si>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</si>
  <si>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</si>
  <si>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</si>
  <si>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</si>
  <si>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</si>
  <si>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</si>
  <si>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</si>
  <si>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</si>
  <si>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</si>
  <si>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</si>
  <si>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</si>
  <si>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</si>
  <si>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</si>
  <si>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</si>
  <si>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</si>
  <si>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</si>
  <si>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</si>
  <si>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</si>
  <si>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</si>
  <si>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</si>
  <si>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</si>
  <si>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</si>
  <si>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</si>
  <si>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</si>
  <si>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</si>
  <si>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</si>
  <si>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</si>
  <si>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</si>
  <si>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</si>
  <si>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</si>
  <si>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</si>
  <si>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</si>
  <si>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 xml:space="preserve">devoicing(substitution of [d]with [d̥])  </t>
  </si>
  <si>
    <t>devoicing(substitution of [dˤ]with [tˤ])</t>
  </si>
  <si>
    <t xml:space="preserve">syllable structure process (first syllable deletion) </t>
  </si>
  <si>
    <t>syllable structure process (consonant insertion of  [j] phone)</t>
  </si>
  <si>
    <t>assimilation (the  [ʃ] phone changes to  [s] to become  similar to the nearby  phone[ s])</t>
  </si>
  <si>
    <t>gliding(substitution of [ʔ] with [j])</t>
  </si>
  <si>
    <t>gliding(substitution of [ʔ] with [w])</t>
  </si>
  <si>
    <t>[ɻ]</t>
  </si>
  <si>
    <t>[r]</t>
  </si>
  <si>
    <t>[θ]</t>
  </si>
  <si>
    <t>[ð]</t>
  </si>
  <si>
    <t>[kʰ]</t>
  </si>
  <si>
    <t>[l]</t>
  </si>
  <si>
    <t>[k]</t>
  </si>
  <si>
    <t>[s]</t>
  </si>
  <si>
    <t>[χ]</t>
  </si>
  <si>
    <t>[ʕ]</t>
  </si>
  <si>
    <t>[h]</t>
  </si>
  <si>
    <t>[ħ]</t>
  </si>
  <si>
    <t>[j]</t>
  </si>
  <si>
    <t>[w]</t>
  </si>
  <si>
    <t>[pʰ]</t>
  </si>
  <si>
    <t>[tʰ]</t>
  </si>
  <si>
    <t>[t]</t>
  </si>
  <si>
    <t>[d̥]</t>
  </si>
  <si>
    <t>[tˤ]</t>
  </si>
  <si>
    <t>[-]</t>
  </si>
  <si>
    <t>percentage</t>
  </si>
  <si>
    <t>letter</t>
  </si>
  <si>
    <t>total</t>
  </si>
  <si>
    <t>arabic letter</t>
  </si>
  <si>
    <t>phonological_processes</t>
  </si>
  <si>
    <t>allpohone</t>
  </si>
  <si>
    <t>number of error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</si>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</sst>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03">
    <xf numFmtId="0" fontId="0" fillId="0" borderId="0" xfId="0"/>
    <xf numFmtId="0" fontId="0" fillId="0" borderId="0" xfId="0" applyAlignment="1">
      <alignment wrapText="1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2" fillId="4" borderId="1" xfId="3" applyFont="1" applyBorder="1" applyAlignment="1">
      <alignment vertical="center" wrapText="1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wrapText="1"/>
    </xf>
    <xf numFmtId="0" fontId="1" fillId="9" borderId="1" xfId="8" applyBorder="1"/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4" fillId="4" borderId="1" xfId="3" applyBorder="1" applyAlignment="1">
      <alignment vertical="center" wrapText="1"/>
    </xf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12" fillId="3" borderId="1" xfId="2" applyFont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4" borderId="1" xfId="3" applyFont="1" applyBorder="1" applyAlignment="1">
      <alignment vertical="center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0" fillId="7" borderId="1" xfId="6" applyFont="1" applyBorder="1" applyAlignment="1">
      <alignment vertical="center" wrapText="1"/>
    </xf>
    <xf numFmtId="0" fontId="1" fillId="7" borderId="1" xfId="6" applyBorder="1" applyAlignment="1">
      <alignment vertical="center"/>
    </xf>
    <xf numFmtId="0" fontId="12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vertical="center" wrapText="1"/>
    </xf>
    <xf numFmtId="0" fontId="1" fillId="6" borderId="1" xfId="5" applyBorder="1" applyAlignment="1">
      <alignment vertical="center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12" fillId="2" borderId="1" xfId="1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0" fillId="0" borderId="1" xfId="0" applyBorder="1"/>
    <xf numFmtId="0" fontId="0" fillId="11" borderId="1" xfId="0" applyFill="1" applyBorder="1"/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2" borderId="1" xfId="1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 wrapText="1" readingOrder="2"/>
    </xf>
    <xf numFmtId="0" fontId="0" fillId="7" borderId="1" xfId="6" applyFont="1" applyBorder="1" applyAlignment="1">
      <alignment vertical="center"/>
    </xf>
    <xf numFmtId="10" fontId="0" fillId="0" borderId="1" xfId="0" applyNumberFormat="1" applyBorder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/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9" borderId="1" xfId="8" applyNumberFormat="1" applyBorder="1" applyAlignment="1">
      <alignment vertical="center"/>
    </xf>
    <xf numFmtId="10" fontId="5" fillId="4" borderId="1" xfId="3" applyNumberFormat="1" applyFon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" fillId="10" borderId="1" xfId="9" applyNumberFormat="1" applyBorder="1" applyAlignment="1">
      <alignment vertical="center"/>
    </xf>
    <xf numFmtId="10" fontId="0" fillId="0" borderId="0" xfId="0" applyNumberFormat="1"/>
    <xf numFmtId="10" fontId="0" fillId="0" borderId="1" xfId="0" applyNumberFormat="1" applyBorder="1" applyAlignment="1">
      <alignment wrapText="1"/>
    </xf>
    <xf numFmtId="0" fontId="1" fillId="5" borderId="1" xfId="4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0" fontId="15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0" fontId="16" fillId="4" borderId="1" xfId="3" applyFont="1" applyBorder="1" applyAlignment="1">
      <alignment horizontal="center" vertical="center"/>
    </xf>
    <xf numFmtId="0" fontId="17" fillId="3" borderId="1" xfId="2" applyFont="1" applyBorder="1" applyAlignment="1">
      <alignment horizontal="center" vertical="center"/>
    </xf>
    <xf numFmtId="0" fontId="18" fillId="2" borderId="1" xfId="1" applyFont="1" applyBorder="1" applyAlignment="1">
      <alignment horizontal="center" vertical="center"/>
    </xf>
    <xf numFmtId="0" fontId="14" fillId="9" borderId="1" xfId="8" applyFont="1" applyBorder="1" applyAlignment="1">
      <alignment horizontal="center" vertical="center"/>
    </xf>
    <xf numFmtId="0" fontId="14" fillId="7" borderId="1" xfId="6" applyFont="1" applyBorder="1" applyAlignment="1">
      <alignment horizontal="center" vertical="center"/>
    </xf>
    <xf numFmtId="0" fontId="14" fillId="5" borderId="1" xfId="4" applyFont="1" applyBorder="1" applyAlignment="1">
      <alignment horizontal="center" vertical="center"/>
    </xf>
    <xf numFmtId="0" fontId="14" fillId="6" borderId="1" xfId="5" applyFont="1" applyBorder="1" applyAlignment="1">
      <alignment horizontal="center" vertical="center"/>
    </xf>
    <xf numFmtId="0" fontId="14" fillId="8" borderId="1" xfId="7" applyFont="1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 wrapText="1"/>
    </xf>
    <xf numFmtId="0" fontId="3" fillId="3" borderId="0" xfId="2" applyBorder="1" applyAlignment="1">
      <alignment vertical="center"/>
    </xf>
    <xf numFmtId="10" fontId="3" fillId="3" borderId="0" xfId="2" applyNumberFormat="1" applyBorder="1" applyAlignment="1">
      <alignment vertical="center"/>
    </xf>
    <xf numFmtId="0" fontId="17" fillId="3" borderId="0" xfId="2" applyFont="1" applyBorder="1" applyAlignment="1">
      <alignment horizontal="center" vertical="center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[ɻ]</c:v>
                </c:pt>
              </c:strCache>
            </c:strRef>
          </c:cat>
          <c:val>
            <c:numRef>
              <c:f>Sheet1!$G$2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6-4FFF-AB27-2FAF74A234E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[ɻ]</c:v>
                </c:pt>
              </c:strCache>
            </c:strRef>
          </c:cat>
          <c:val>
            <c:numRef>
              <c:f>Sheet1!$H$2</c:f>
              <c:numCache>
                <c:formatCode>0.00%</c:formatCode>
                <c:ptCount val="1"/>
                <c:pt idx="0">
                  <c:v>7.1428571428571425E-2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A6-4FFF-AB27-2FAF74A2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42720"/>
        <c:axId val="31148128"/>
      </c:barChart>
      <c:catAx>
        <c:axId val="311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8128"/>
        <c:crosses val="autoZero"/>
        <c:auto val="1"/>
        <c:lblAlgn val="ctr"/>
        <c:lblOffset val="100"/>
        <c:noMultiLvlLbl val="0"/>
      </c:catAx>
      <c:valAx>
        <c:axId val="3114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27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</c:f>
              <c:strCache>
                <c:ptCount val="1"/>
                <c:pt idx="0">
                  <c:v>[r]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A-4291-ACA9-F0ADE690EBE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</c:f>
              <c:strCache>
                <c:ptCount val="1"/>
                <c:pt idx="0">
                  <c:v>[r]</c:v>
                </c:pt>
              </c:strCache>
            </c:strRef>
          </c:cat>
          <c:val>
            <c:numRef>
              <c:f>Sheet1!$H$4</c:f>
              <c:numCache>
                <c:formatCode>0.00%</c:formatCode>
                <c:ptCount val="1"/>
                <c:pt idx="0">
                  <c:v>2.4390243902439025E-2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AA-4291-ACA9-F0ADE690E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63664"/>
        <c:axId val="41957008"/>
      </c:barChart>
      <c:catAx>
        <c:axId val="4196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7008"/>
        <c:crosses val="autoZero"/>
        <c:auto val="1"/>
        <c:lblAlgn val="ctr"/>
        <c:lblOffset val="100"/>
        <c:noMultiLvlLbl val="0"/>
      </c:catAx>
      <c:valAx>
        <c:axId val="4195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3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Sheet1!$G$6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E-489C-BA04-C14545A8B7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Sheet1!$H$6</c:f>
              <c:numCache>
                <c:formatCode>0.00%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E-489C-BA04-C14545A8B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57424"/>
        <c:axId val="41957840"/>
      </c:barChart>
      <c:catAx>
        <c:axId val="4195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7840"/>
        <c:crosses val="autoZero"/>
        <c:auto val="1"/>
        <c:lblAlgn val="ctr"/>
        <c:lblOffset val="100"/>
        <c:noMultiLvlLbl val="0"/>
      </c:catAx>
      <c:valAx>
        <c:axId val="4195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7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Sheet1!$F$14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Sheet1!$G$14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6-4E5B-9527-EA0B088D383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Sheet1!$F$14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Sheet1!$H$14</c:f>
              <c:numCache>
                <c:formatCode>0.00%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6-4E5B-9527-EA0B088D3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43136"/>
        <c:axId val="31144384"/>
      </c:barChart>
      <c:catAx>
        <c:axId val="311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4384"/>
        <c:crosses val="autoZero"/>
        <c:auto val="1"/>
        <c:lblAlgn val="ctr"/>
        <c:lblOffset val="100"/>
        <c:noMultiLvlLbl val="0"/>
      </c:catAx>
      <c:valAx>
        <c:axId val="3114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3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Sheet1!$F$18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Sheet1!$G$18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6-40E8-AD82-6CFB863E90B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Sheet1!$F$18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Sheet1!$H$18</c:f>
              <c:numCache>
                <c:formatCode>0.00%</c:formatCode>
                <c:ptCount val="1"/>
                <c:pt idx="0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6-40E8-AD82-6CFB863E9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945520"/>
        <c:axId val="2071914800"/>
      </c:barChart>
      <c:catAx>
        <c:axId val="206094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14800"/>
        <c:crosses val="autoZero"/>
        <c:auto val="1"/>
        <c:lblAlgn val="ctr"/>
        <c:lblOffset val="100"/>
        <c:noMultiLvlLbl val="0"/>
      </c:catAx>
      <c:valAx>
        <c:axId val="20719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455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[k]</c:v>
                </c:pt>
              </c:strCache>
            </c:strRef>
          </c:cat>
          <c:val>
            <c:numRef>
              <c:f>Sheet1!$G$22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B-4972-9BAC-7C3DD38A18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[k]</c:v>
                </c:pt>
              </c:strCache>
            </c:strRef>
          </c:cat>
          <c:val>
            <c:numRef>
              <c:f>Sheet1!$H$22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B-4972-9BAC-7C3DD38A1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80560"/>
        <c:axId val="42570992"/>
      </c:barChart>
      <c:catAx>
        <c:axId val="425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0992"/>
        <c:crosses val="autoZero"/>
        <c:auto val="1"/>
        <c:lblAlgn val="ctr"/>
        <c:lblOffset val="100"/>
        <c:noMultiLvlLbl val="0"/>
      </c:catAx>
      <c:valAx>
        <c:axId val="425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0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[ʃ]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Sheet1!$F$24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E76-9320-BAEFF33CC5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Sheet1!$F$24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Sheet1!$H$24</c:f>
              <c:numCache>
                <c:formatCode>0.00%</c:formatCode>
                <c:ptCount val="1"/>
                <c:pt idx="0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E76-9320-BAEFF33CC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919792"/>
        <c:axId val="2071920624"/>
      </c:barChart>
      <c:catAx>
        <c:axId val="207191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20624"/>
        <c:crosses val="autoZero"/>
        <c:auto val="1"/>
        <c:lblAlgn val="ctr"/>
        <c:lblOffset val="100"/>
        <c:noMultiLvlLbl val="0"/>
      </c:catAx>
      <c:valAx>
        <c:axId val="20719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19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Sheet1!$F$28:$F$29</c:f>
              <c:strCache>
                <c:ptCount val="2"/>
                <c:pt idx="0">
                  <c:v>[χ]</c:v>
                </c:pt>
                <c:pt idx="1">
                  <c:v>[ʕ]</c:v>
                </c:pt>
              </c:strCache>
            </c:strRef>
          </c:cat>
          <c:val>
            <c:numRef>
              <c:f>Sheet1!$G$28:$G$29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0-4F34-A720-9B3B7DCDB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76816"/>
        <c:axId val="4257723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Sheet1!$F$28:$F$29</c:f>
              <c:strCache>
                <c:ptCount val="2"/>
                <c:pt idx="0">
                  <c:v>[χ]</c:v>
                </c:pt>
                <c:pt idx="1">
                  <c:v>[ʕ]</c:v>
                </c:pt>
              </c:strCache>
            </c:strRef>
          </c:cat>
          <c:val>
            <c:numRef>
              <c:f>Sheet1!$H$28:$H$29</c:f>
              <c:numCache>
                <c:formatCode>0.00%</c:formatCode>
                <c:ptCount val="2"/>
                <c:pt idx="0">
                  <c:v>0.4</c:v>
                </c:pt>
                <c:pt idx="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0-4F34-A720-9B3B7DCDB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76816"/>
        <c:axId val="42577232"/>
      </c:lineChart>
      <c:catAx>
        <c:axId val="4257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7232"/>
        <c:crosses val="autoZero"/>
        <c:auto val="1"/>
        <c:lblAlgn val="ctr"/>
        <c:lblOffset val="100"/>
        <c:noMultiLvlLbl val="0"/>
      </c:catAx>
      <c:valAx>
        <c:axId val="4257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6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Sheet1!$G$33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4-4AA7-9A59-7007BF6AEF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Sheet1!$H$33</c:f>
              <c:numCache>
                <c:formatCode>0.00%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4-4AA7-9A59-7007BF6A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87680"/>
        <c:axId val="43986016"/>
      </c:barChart>
      <c:catAx>
        <c:axId val="439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6016"/>
        <c:crosses val="autoZero"/>
        <c:auto val="1"/>
        <c:lblAlgn val="ctr"/>
        <c:lblOffset val="100"/>
        <c:noMultiLvlLbl val="0"/>
      </c:catAx>
      <c:valAx>
        <c:axId val="439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7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Sheet1!$F$35:$F$36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Sheet1!$G$35:$G$36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B-48C6-806A-91F436E4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79728"/>
        <c:axId val="4258014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Sheet1!$F$35:$F$36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Sheet1!$H$35:$H$36</c:f>
              <c:numCache>
                <c:formatCode>0.00%</c:formatCode>
                <c:ptCount val="2"/>
                <c:pt idx="0">
                  <c:v>0.25</c:v>
                </c:pt>
                <c:pt idx="1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DB-48C6-806A-91F436E4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79728"/>
        <c:axId val="42580144"/>
      </c:lineChart>
      <c:catAx>
        <c:axId val="4257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0144"/>
        <c:crosses val="autoZero"/>
        <c:auto val="1"/>
        <c:lblAlgn val="ctr"/>
        <c:lblOffset val="100"/>
        <c:noMultiLvlLbl val="0"/>
      </c:catAx>
      <c:valAx>
        <c:axId val="425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9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Sheet1!$F$38:$F$39</c:f>
              <c:strCache>
                <c:ptCount val="2"/>
                <c:pt idx="0">
                  <c:v>[j]</c:v>
                </c:pt>
                <c:pt idx="1">
                  <c:v>[w]</c:v>
                </c:pt>
              </c:strCache>
            </c:strRef>
          </c:cat>
          <c:val>
            <c:numRef>
              <c:f>Sheet1!$G$38:$G$39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3-4497-BE40-DB0C61D2E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950512"/>
        <c:axId val="206095134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Sheet1!$F$38:$F$39</c:f>
              <c:strCache>
                <c:ptCount val="2"/>
                <c:pt idx="0">
                  <c:v>[j]</c:v>
                </c:pt>
                <c:pt idx="1">
                  <c:v>[w]</c:v>
                </c:pt>
              </c:strCache>
            </c:strRef>
          </c:cat>
          <c:val>
            <c:numRef>
              <c:f>Sheet1!$H$38:$H$39</c:f>
              <c:numCache>
                <c:formatCode>0.00%</c:formatCode>
                <c:ptCount val="2"/>
                <c:pt idx="0">
                  <c:v>0.08</c:v>
                </c:pt>
                <c:pt idx="1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3-4497-BE40-DB0C61D2E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61168"/>
        <c:axId val="41960752"/>
      </c:lineChart>
      <c:catAx>
        <c:axId val="206095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51344"/>
        <c:crosses val="autoZero"/>
        <c:auto val="1"/>
        <c:lblAlgn val="ctr"/>
        <c:lblOffset val="100"/>
        <c:noMultiLvlLbl val="0"/>
      </c:catAx>
      <c:valAx>
        <c:axId val="20609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50512"/>
        <c:crosses val="autoZero"/>
        <c:crossBetween val="between"/>
      </c:valAx>
      <c:valAx>
        <c:axId val="4196075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1168"/>
        <c:crosses val="max"/>
        <c:crossBetween val="between"/>
      </c:valAx>
      <c:catAx>
        <c:axId val="41961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96075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Sheet1!$F$43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Sheet1!$G$43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A-464C-B956-DBC5DD641A1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Sheet1!$F$43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Sheet1!$H$43</c:f>
              <c:numCache>
                <c:formatCode>0.00%</c:formatCode>
                <c:ptCount val="1"/>
                <c:pt idx="0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A-464C-B956-DBC5DD641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71824"/>
        <c:axId val="42566832"/>
      </c:barChart>
      <c:catAx>
        <c:axId val="425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6832"/>
        <c:crosses val="autoZero"/>
        <c:auto val="1"/>
        <c:lblAlgn val="ctr"/>
        <c:lblOffset val="100"/>
        <c:noMultiLvlLbl val="0"/>
      </c:catAx>
      <c:valAx>
        <c:axId val="425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1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Sheet1!$F$47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Sheet1!$G$47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C-4181-930F-4D43524DC8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Sheet1!$F$47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Sheet1!$H$47</c:f>
              <c:numCache>
                <c:formatCode>0.00%</c:formatCode>
                <c:ptCount val="1"/>
                <c:pt idx="0">
                  <c:v>0.23809523809523808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3C-4181-930F-4D43524DC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94752"/>
        <c:axId val="43993088"/>
      </c:barChart>
      <c:catAx>
        <c:axId val="4399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3088"/>
        <c:crosses val="autoZero"/>
        <c:auto val="1"/>
        <c:lblAlgn val="ctr"/>
        <c:lblOffset val="100"/>
        <c:noMultiLvlLbl val="0"/>
      </c:catAx>
      <c:valAx>
        <c:axId val="439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4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Sheet1!$F$49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Sheet1!$G$49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3-486D-8000-35267040EE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Sheet1!$F$49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Sheet1!$H$49</c:f>
              <c:numCache>
                <c:formatCode>0.00%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3-486D-8000-35267040E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80608"/>
        <c:axId val="43982272"/>
      </c:barChart>
      <c:catAx>
        <c:axId val="439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2272"/>
        <c:crosses val="autoZero"/>
        <c:auto val="1"/>
        <c:lblAlgn val="ctr"/>
        <c:lblOffset val="100"/>
        <c:noMultiLvlLbl val="0"/>
      </c:catAx>
      <c:valAx>
        <c:axId val="4398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0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Sheet1!$F$51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Sheet1!$G$51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1-4940-AE7B-9F0DC07BB7C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Sheet1!$F$51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Sheet1!$H$51</c:f>
              <c:numCache>
                <c:formatCode>0.00%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1-4940-AE7B-9F0DC07BB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948016"/>
        <c:axId val="2060948848"/>
      </c:barChart>
      <c:catAx>
        <c:axId val="206094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48848"/>
        <c:crosses val="autoZero"/>
        <c:auto val="1"/>
        <c:lblAlgn val="ctr"/>
        <c:lblOffset val="100"/>
        <c:noMultiLvlLbl val="0"/>
      </c:catAx>
      <c:valAx>
        <c:axId val="20609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4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Sheet1!$F$53:$F$54</c:f>
              <c:strCache>
                <c:ptCount val="2"/>
                <c:pt idx="0">
                  <c:v>[d̥]</c:v>
                </c:pt>
                <c:pt idx="1">
                  <c:v>[t]</c:v>
                </c:pt>
              </c:strCache>
            </c:strRef>
          </c:cat>
          <c:val>
            <c:numRef>
              <c:f>Sheet1!$G$53:$G$54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F-4364-8C82-07B12472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91840"/>
        <c:axId val="4398310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Sheet1!$F$53:$F$54</c:f>
              <c:strCache>
                <c:ptCount val="2"/>
                <c:pt idx="0">
                  <c:v>[d̥]</c:v>
                </c:pt>
                <c:pt idx="1">
                  <c:v>[t]</c:v>
                </c:pt>
              </c:strCache>
            </c:strRef>
          </c:cat>
          <c:val>
            <c:numRef>
              <c:f>Sheet1!$H$53:$H$54</c:f>
              <c:numCache>
                <c:formatCode>0.00%</c:formatCode>
                <c:ptCount val="2"/>
                <c:pt idx="0">
                  <c:v>0.1</c:v>
                </c:pt>
                <c:pt idx="1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F-4364-8C82-07B12472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90176"/>
        <c:axId val="43983936"/>
      </c:lineChart>
      <c:catAx>
        <c:axId val="4399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3104"/>
        <c:crosses val="autoZero"/>
        <c:auto val="1"/>
        <c:lblAlgn val="ctr"/>
        <c:lblOffset val="100"/>
        <c:noMultiLvlLbl val="0"/>
      </c:catAx>
      <c:valAx>
        <c:axId val="439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1840"/>
        <c:crosses val="autoZero"/>
        <c:crossBetween val="between"/>
      </c:valAx>
      <c:valAx>
        <c:axId val="4398393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0176"/>
        <c:crosses val="max"/>
        <c:crossBetween val="between"/>
      </c:valAx>
      <c:catAx>
        <c:axId val="43990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8393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Sheet1!$F$56</c:f>
              <c:strCache>
                <c:ptCount val="1"/>
                <c:pt idx="0">
                  <c:v>[tˤ]</c:v>
                </c:pt>
              </c:strCache>
            </c:strRef>
          </c:cat>
          <c:val>
            <c:numRef>
              <c:f>Sheet1!$G$56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D-4DC5-8F52-66B1C6E532D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Sheet1!$F$56</c:f>
              <c:strCache>
                <c:ptCount val="1"/>
                <c:pt idx="0">
                  <c:v>[tˤ]</c:v>
                </c:pt>
              </c:strCache>
            </c:strRef>
          </c:cat>
          <c:val>
            <c:numRef>
              <c:f>Sheet1!$H$56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D-4DC5-8F52-66B1C6E53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67664"/>
        <c:axId val="42574320"/>
      </c:barChart>
      <c:catAx>
        <c:axId val="4256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4320"/>
        <c:crosses val="autoZero"/>
        <c:auto val="1"/>
        <c:lblAlgn val="ctr"/>
        <c:lblOffset val="100"/>
        <c:noMultiLvlLbl val="0"/>
      </c:catAx>
      <c:valAx>
        <c:axId val="425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7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Sheet2!$C$2:$C$10</c:f>
              <c:strCache>
                <c:ptCount val="9"/>
                <c:pt idx="0">
                  <c:v>degemination(reduce consonant cluster to one single consonant)</c:v>
                </c:pt>
                <c:pt idx="1">
                  <c:v>Diphthongization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syllable structure process (first syllable deletion) </c:v>
                </c:pt>
                <c:pt idx="6">
                  <c:v>Vowel  nasalization</c:v>
                </c:pt>
                <c:pt idx="7">
                  <c:v>germination</c:v>
                </c:pt>
                <c:pt idx="8">
                  <c:v>syllable structure process (consonant insertion of  [j] phone)</c:v>
                </c:pt>
              </c:strCache>
            </c:strRef>
          </c:cat>
          <c:val>
            <c:numRef>
              <c:f>Sheet2!$D$2:$D$10</c:f>
              <c:numCache>
                <c:formatCode>General</c:formatCode>
                <c:ptCount val="9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8-4752-A8B4-AD85979E8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92672"/>
        <c:axId val="4398352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Sheet2!$C$2:$C$10</c:f>
              <c:strCache>
                <c:ptCount val="9"/>
                <c:pt idx="0">
                  <c:v>degemination(reduce consonant cluster to one single consonant)</c:v>
                </c:pt>
                <c:pt idx="1">
                  <c:v>Diphthongization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syllable structure process (first syllable deletion) </c:v>
                </c:pt>
                <c:pt idx="6">
                  <c:v>Vowel  nasalization</c:v>
                </c:pt>
                <c:pt idx="7">
                  <c:v>germination</c:v>
                </c:pt>
                <c:pt idx="8">
                  <c:v>syllable structure process (consonant insertion of  [j] phone)</c:v>
                </c:pt>
              </c:strCache>
            </c:strRef>
          </c:cat>
          <c:val>
            <c:numRef>
              <c:f>Sheet2!$E$2:$E$10</c:f>
              <c:numCache>
                <c:formatCode>0.00%</c:formatCode>
                <c:ptCount val="9"/>
                <c:pt idx="0">
                  <c:v>0.35294117647058826</c:v>
                </c:pt>
                <c:pt idx="2">
                  <c:v>3.5714285714285712E-2</c:v>
                </c:pt>
                <c:pt idx="3">
                  <c:v>0.10714285714285714</c:v>
                </c:pt>
                <c:pt idx="4">
                  <c:v>0.10714285714285714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8-4752-A8B4-AD85979E8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86432"/>
        <c:axId val="43985600"/>
      </c:lineChart>
      <c:catAx>
        <c:axId val="4399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3520"/>
        <c:crosses val="autoZero"/>
        <c:auto val="1"/>
        <c:lblAlgn val="ctr"/>
        <c:lblOffset val="100"/>
        <c:noMultiLvlLbl val="0"/>
      </c:catAx>
      <c:valAx>
        <c:axId val="4398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2672"/>
        <c:crosses val="autoZero"/>
        <c:crossBetween val="between"/>
      </c:valAx>
      <c:valAx>
        <c:axId val="43985600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43986432"/>
        <c:crosses val="max"/>
        <c:crossBetween val="between"/>
      </c:valAx>
      <c:catAx>
        <c:axId val="4398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856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Sheet3!$C$3:$C$7</c:f>
              <c:strCache>
                <c:ptCount val="5"/>
                <c:pt idx="0">
                  <c:v>colloquial Arabic word</c:v>
                </c:pt>
                <c:pt idx="1">
                  <c:v>consonant insertion of  [h] phone in final position</c:v>
                </c:pt>
                <c:pt idx="2">
                  <c:v>replace the Modern Standard Arabic diphthong [æw]with the colloquial arabic vowel[o:]</c:v>
                </c:pt>
                <c:pt idx="3">
                  <c:v>consonant deletion  of [ʔ] phone affected by colloquial Arabic</c:v>
                </c:pt>
                <c:pt idx="4">
                  <c:v>final consonant deletion affected by colloquial arabic</c:v>
                </c:pt>
              </c:strCache>
            </c:strRef>
          </c:cat>
          <c:val>
            <c:numRef>
              <c:f>Sheet3!$D$3:$D$7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0-436A-90E3-D25BFAAE4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66000"/>
        <c:axId val="4256849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Sheet3!$C$3:$C$7</c:f>
              <c:strCache>
                <c:ptCount val="5"/>
                <c:pt idx="0">
                  <c:v>colloquial Arabic word</c:v>
                </c:pt>
                <c:pt idx="1">
                  <c:v>consonant insertion of  [h] phone in final position</c:v>
                </c:pt>
                <c:pt idx="2">
                  <c:v>replace the Modern Standard Arabic diphthong [æw]with the colloquial arabic vowel[o:]</c:v>
                </c:pt>
                <c:pt idx="3">
                  <c:v>consonant deletion  of [ʔ] phone affected by colloquial Arabic</c:v>
                </c:pt>
                <c:pt idx="4">
                  <c:v>final consonant deletion affected by colloquial arabic</c:v>
                </c:pt>
              </c:strCache>
            </c:strRef>
          </c:cat>
          <c:val>
            <c:numRef>
              <c:f>Sheet3!$E$3:$E$7</c:f>
              <c:numCache>
                <c:formatCode>0.00%</c:formatCode>
                <c:ptCount val="5"/>
                <c:pt idx="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0-436A-90E3-D25BFAAE4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914384"/>
        <c:axId val="42572240"/>
      </c:lineChart>
      <c:catAx>
        <c:axId val="4256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8496"/>
        <c:crosses val="autoZero"/>
        <c:auto val="1"/>
        <c:lblAlgn val="ctr"/>
        <c:lblOffset val="100"/>
        <c:noMultiLvlLbl val="0"/>
      </c:catAx>
      <c:valAx>
        <c:axId val="4256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6000"/>
        <c:crosses val="autoZero"/>
        <c:crossBetween val="between"/>
      </c:valAx>
      <c:valAx>
        <c:axId val="42572240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2071914384"/>
        <c:crosses val="max"/>
        <c:crossBetween val="between"/>
      </c:valAx>
      <c:catAx>
        <c:axId val="2071914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5722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0</xdr:row>
      <xdr:rowOff>377190</xdr:rowOff>
    </xdr:from>
    <xdr:to>
      <xdr:col>15</xdr:col>
      <xdr:colOff>297180</xdr:colOff>
      <xdr:row>1</xdr:row>
      <xdr:rowOff>2179320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</xdr:colOff>
      <xdr:row>3</xdr:row>
      <xdr:rowOff>68580</xdr:rowOff>
    </xdr:from>
    <xdr:to>
      <xdr:col>15</xdr:col>
      <xdr:colOff>365760</xdr:colOff>
      <xdr:row>3</xdr:row>
      <xdr:rowOff>2065020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83820</xdr:colOff>
      <xdr:row>5</xdr:row>
      <xdr:rowOff>38100</xdr:rowOff>
    </xdr:from>
    <xdr:to>
      <xdr:col>15</xdr:col>
      <xdr:colOff>388620</xdr:colOff>
      <xdr:row>5</xdr:row>
      <xdr:rowOff>2095500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</xdr:colOff>
      <xdr:row>13</xdr:row>
      <xdr:rowOff>45720</xdr:rowOff>
    </xdr:from>
    <xdr:to>
      <xdr:col>15</xdr:col>
      <xdr:colOff>350520</xdr:colOff>
      <xdr:row>13</xdr:row>
      <xdr:rowOff>1805940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68580</xdr:colOff>
      <xdr:row>17</xdr:row>
      <xdr:rowOff>53340</xdr:rowOff>
    </xdr:from>
    <xdr:to>
      <xdr:col>15</xdr:col>
      <xdr:colOff>373380</xdr:colOff>
      <xdr:row>17</xdr:row>
      <xdr:rowOff>2209800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99060</xdr:colOff>
      <xdr:row>21</xdr:row>
      <xdr:rowOff>91440</xdr:rowOff>
    </xdr:from>
    <xdr:to>
      <xdr:col>15</xdr:col>
      <xdr:colOff>403860</xdr:colOff>
      <xdr:row>21</xdr:row>
      <xdr:rowOff>1554480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99060</xdr:colOff>
      <xdr:row>23</xdr:row>
      <xdr:rowOff>60960</xdr:rowOff>
    </xdr:from>
    <xdr:to>
      <xdr:col>15</xdr:col>
      <xdr:colOff>403860</xdr:colOff>
      <xdr:row>23</xdr:row>
      <xdr:rowOff>2011680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30480</xdr:colOff>
      <xdr:row>27</xdr:row>
      <xdr:rowOff>83820</xdr:rowOff>
    </xdr:from>
    <xdr:to>
      <xdr:col>15</xdr:col>
      <xdr:colOff>335280</xdr:colOff>
      <xdr:row>28</xdr:row>
      <xdr:rowOff>1249680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15240</xdr:colOff>
      <xdr:row>32</xdr:row>
      <xdr:rowOff>53340</xdr:rowOff>
    </xdr:from>
    <xdr:to>
      <xdr:col>15</xdr:col>
      <xdr:colOff>320040</xdr:colOff>
      <xdr:row>32</xdr:row>
      <xdr:rowOff>2118360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68580</xdr:colOff>
      <xdr:row>34</xdr:row>
      <xdr:rowOff>114300</xdr:rowOff>
    </xdr:from>
    <xdr:to>
      <xdr:col>15</xdr:col>
      <xdr:colOff>373380</xdr:colOff>
      <xdr:row>35</xdr:row>
      <xdr:rowOff>1173480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60960</xdr:colOff>
      <xdr:row>37</xdr:row>
      <xdr:rowOff>38100</xdr:rowOff>
    </xdr:from>
    <xdr:to>
      <xdr:col>15</xdr:col>
      <xdr:colOff>365760</xdr:colOff>
      <xdr:row>38</xdr:row>
      <xdr:rowOff>1211580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83820</xdr:colOff>
      <xdr:row>42</xdr:row>
      <xdr:rowOff>26670</xdr:rowOff>
    </xdr:from>
    <xdr:to>
      <xdr:col>15</xdr:col>
      <xdr:colOff>388620</xdr:colOff>
      <xdr:row>42</xdr:row>
      <xdr:rowOff>1714500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60960</xdr:colOff>
      <xdr:row>46</xdr:row>
      <xdr:rowOff>76200</xdr:rowOff>
    </xdr:from>
    <xdr:to>
      <xdr:col>15</xdr:col>
      <xdr:colOff>365760</xdr:colOff>
      <xdr:row>46</xdr:row>
      <xdr:rowOff>1905000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45720</xdr:colOff>
      <xdr:row>48</xdr:row>
      <xdr:rowOff>68580</xdr:rowOff>
    </xdr:from>
    <xdr:to>
      <xdr:col>15</xdr:col>
      <xdr:colOff>350520</xdr:colOff>
      <xdr:row>48</xdr:row>
      <xdr:rowOff>2225040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15240</xdr:colOff>
      <xdr:row>50</xdr:row>
      <xdr:rowOff>45720</xdr:rowOff>
    </xdr:from>
    <xdr:to>
      <xdr:col>15</xdr:col>
      <xdr:colOff>320040</xdr:colOff>
      <xdr:row>50</xdr:row>
      <xdr:rowOff>2049780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38100</xdr:colOff>
      <xdr:row>52</xdr:row>
      <xdr:rowOff>60960</xdr:rowOff>
    </xdr:from>
    <xdr:to>
      <xdr:col>15</xdr:col>
      <xdr:colOff>342900</xdr:colOff>
      <xdr:row>53</xdr:row>
      <xdr:rowOff>1219200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45720</xdr:colOff>
      <xdr:row>55</xdr:row>
      <xdr:rowOff>60960</xdr:rowOff>
    </xdr:from>
    <xdr:to>
      <xdr:col>15</xdr:col>
      <xdr:colOff>350520</xdr:colOff>
      <xdr:row>57</xdr:row>
      <xdr:rowOff>45720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0</xdr:row>
      <xdr:rowOff>171450</xdr:rowOff>
    </xdr:from>
    <xdr:to>
      <xdr:col>16</xdr:col>
      <xdr:colOff>327660</xdr:colOff>
      <xdr:row>10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0</xdr:row>
      <xdr:rowOff>0</xdr:rowOff>
    </xdr:from>
    <xdr:to>
      <xdr:col>16</xdr:col>
      <xdr:colOff>91440</xdr:colOff>
      <xdr:row>7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1"/>
  <sheetViews>
    <sheetView tabSelected="1" zoomScaleNormal="100" workbookViewId="0">
      <selection activeCell="D62" sqref="D62"/>
    </sheetView>
  </sheetViews>
  <sheetFormatPr defaultRowHeight="79.95" customHeight="1" outlineLevelRow="2" x14ac:dyDescent="0.3"/>
  <cols>
    <col min="2" max="2" width="12.6640625" customWidth="1"/>
    <col min="3" max="4" width="10.33203125" customWidth="1"/>
    <col min="5" max="5" width="36.21875" style="1" customWidth="1"/>
    <col min="6" max="7" width="6.21875" customWidth="1"/>
    <col min="8" max="8" width="9.5546875" style="75" customWidth="1"/>
  </cols>
  <sheetData>
    <row r="1" spans="2:8" s="89" customFormat="1" ht="36.6" customHeight="1" thickTop="1" thickBot="1" x14ac:dyDescent="0.45">
      <c r="B1" s="86" t="s">
        <v>114</v>
      </c>
      <c r="C1" s="86" t="s">
        <v>115</v>
      </c>
      <c r="D1" s="86" t="s">
        <v>116</v>
      </c>
      <c r="E1" s="87" t="s">
        <v>117</v>
      </c>
      <c r="F1" s="87" t="s">
        <v>118</v>
      </c>
      <c r="G1" s="87" t="s">
        <v>119</v>
      </c>
      <c r="H1" s="88" t="s">
        <v>113</v>
      </c>
    </row>
    <row r="2" spans="2:8" ht="175.2" customHeight="1" outlineLevel="2" thickTop="1" thickBot="1" x14ac:dyDescent="0.35">
      <c r="B2" s="2" t="s">
        <v>58</v>
      </c>
      <c r="C2" s="3">
        <v>14</v>
      </c>
      <c r="D2" s="3" t="s">
        <v>56</v>
      </c>
      <c r="E2" s="4" t="s">
        <v>2</v>
      </c>
      <c r="F2" s="5" t="s">
        <v>93</v>
      </c>
      <c r="G2" s="5">
        <v>1</v>
      </c>
      <c r="H2" s="62">
        <f>G2/C2</f>
        <v>7.1428571428571425E-2</v>
      </c>
    </row>
    <row r="3" spans="2:8" ht="25.2" customHeight="1" outlineLevel="1" thickTop="1" thickBot="1" x14ac:dyDescent="0.35">
      <c r="B3" s="90" t="s">
        <v>120</v>
      </c>
      <c r="C3" s="3">
        <f>SUBTOTAL(9,C2:C2)</f>
        <v>14</v>
      </c>
      <c r="D3" s="3"/>
      <c r="E3" s="4"/>
      <c r="F3" s="5"/>
      <c r="G3" s="5">
        <f>SUBTOTAL(9,G2:G2)</f>
        <v>1</v>
      </c>
      <c r="H3" s="62">
        <f>SUBTOTAL(9,H2:H2)</f>
        <v>7.1428571428571425E-2</v>
      </c>
    </row>
    <row r="4" spans="2:8" ht="172.8" customHeight="1" outlineLevel="2" thickTop="1" thickBot="1" x14ac:dyDescent="0.35">
      <c r="B4" s="6" t="s">
        <v>59</v>
      </c>
      <c r="C4" s="7">
        <v>41</v>
      </c>
      <c r="D4" s="7" t="s">
        <v>57</v>
      </c>
      <c r="E4" s="8" t="s">
        <v>3</v>
      </c>
      <c r="F4" s="9" t="s">
        <v>94</v>
      </c>
      <c r="G4" s="9">
        <v>1</v>
      </c>
      <c r="H4" s="63">
        <f t="shared" ref="H4:H60" si="0">G4/C4</f>
        <v>2.4390243902439025E-2</v>
      </c>
    </row>
    <row r="5" spans="2:8" ht="19.8" customHeight="1" outlineLevel="1" thickTop="1" thickBot="1" x14ac:dyDescent="0.35">
      <c r="B5" s="91" t="s">
        <v>121</v>
      </c>
      <c r="C5" s="58">
        <f>SUBTOTAL(9,C4:C4)</f>
        <v>41</v>
      </c>
      <c r="D5" s="58"/>
      <c r="E5" s="8"/>
      <c r="F5" s="9"/>
      <c r="G5" s="9">
        <f>SUBTOTAL(9,G4:G4)</f>
        <v>1</v>
      </c>
      <c r="H5" s="63">
        <f>SUBTOTAL(9,H4:H4)</f>
        <v>2.4390243902439025E-2</v>
      </c>
    </row>
    <row r="6" spans="2:8" ht="169.2" customHeight="1" outlineLevel="2" thickTop="1" thickBot="1" x14ac:dyDescent="0.35">
      <c r="B6" s="10" t="s">
        <v>60</v>
      </c>
      <c r="C6" s="11">
        <v>20</v>
      </c>
      <c r="D6" s="11" t="s">
        <v>30</v>
      </c>
      <c r="E6" s="12" t="s">
        <v>23</v>
      </c>
      <c r="F6" s="13" t="s">
        <v>95</v>
      </c>
      <c r="G6" s="13">
        <v>1</v>
      </c>
      <c r="H6" s="64">
        <f t="shared" si="0"/>
        <v>0.05</v>
      </c>
    </row>
    <row r="7" spans="2:8" ht="14.4" customHeight="1" outlineLevel="1" thickTop="1" thickBot="1" x14ac:dyDescent="0.35">
      <c r="B7" s="92" t="s">
        <v>122</v>
      </c>
      <c r="C7" s="56">
        <f>SUBTOTAL(9,C6:C6)</f>
        <v>20</v>
      </c>
      <c r="D7" s="56"/>
      <c r="E7" s="12"/>
      <c r="F7" s="13"/>
      <c r="G7" s="13">
        <f>SUBTOTAL(9,G6:G6)</f>
        <v>1</v>
      </c>
      <c r="H7" s="64">
        <f>SUBTOTAL(9,H6:H6)</f>
        <v>0.05</v>
      </c>
    </row>
    <row r="8" spans="2:8" ht="17.399999999999999" customHeight="1" outlineLevel="2" thickTop="1" thickBot="1" x14ac:dyDescent="0.35">
      <c r="B8" s="14" t="s">
        <v>61</v>
      </c>
      <c r="C8" s="15">
        <v>4</v>
      </c>
      <c r="D8" s="15" t="s">
        <v>31</v>
      </c>
      <c r="E8" s="16">
        <v>0</v>
      </c>
      <c r="F8" s="17">
        <v>0</v>
      </c>
      <c r="G8" s="17">
        <v>0</v>
      </c>
      <c r="H8" s="65">
        <f t="shared" si="0"/>
        <v>0</v>
      </c>
    </row>
    <row r="9" spans="2:8" ht="17.399999999999999" customHeight="1" outlineLevel="1" thickTop="1" thickBot="1" x14ac:dyDescent="0.35">
      <c r="B9" s="93" t="s">
        <v>123</v>
      </c>
      <c r="C9" s="15">
        <f>SUBTOTAL(9,C8:C8)</f>
        <v>4</v>
      </c>
      <c r="D9" s="15"/>
      <c r="E9" s="16"/>
      <c r="F9" s="17"/>
      <c r="G9" s="17">
        <f>SUBTOTAL(9,G8:G8)</f>
        <v>0</v>
      </c>
      <c r="H9" s="65">
        <f>SUBTOTAL(9,H8:H8)</f>
        <v>0</v>
      </c>
    </row>
    <row r="10" spans="2:8" ht="18.600000000000001" customHeight="1" outlineLevel="2" thickTop="1" thickBot="1" x14ac:dyDescent="0.35">
      <c r="B10" s="6" t="s">
        <v>62</v>
      </c>
      <c r="C10" s="7">
        <v>3</v>
      </c>
      <c r="D10" s="7" t="s">
        <v>32</v>
      </c>
      <c r="E10" s="18">
        <v>0</v>
      </c>
      <c r="F10" s="19">
        <v>0</v>
      </c>
      <c r="G10" s="19">
        <v>0</v>
      </c>
      <c r="H10" s="66">
        <f t="shared" si="0"/>
        <v>0</v>
      </c>
    </row>
    <row r="11" spans="2:8" ht="18.600000000000001" customHeight="1" outlineLevel="1" thickTop="1" thickBot="1" x14ac:dyDescent="0.35">
      <c r="B11" s="91" t="s">
        <v>124</v>
      </c>
      <c r="C11" s="58">
        <f>SUBTOTAL(9,C10:C10)</f>
        <v>3</v>
      </c>
      <c r="D11" s="58"/>
      <c r="E11" s="18"/>
      <c r="F11" s="19"/>
      <c r="G11" s="19">
        <f>SUBTOTAL(9,G10:G10)</f>
        <v>0</v>
      </c>
      <c r="H11" s="66">
        <f>SUBTOTAL(9,H10:H10)</f>
        <v>0</v>
      </c>
    </row>
    <row r="12" spans="2:8" ht="16.2" customHeight="1" outlineLevel="2" thickTop="1" thickBot="1" x14ac:dyDescent="0.35">
      <c r="B12" s="10" t="s">
        <v>63</v>
      </c>
      <c r="C12" s="11">
        <v>7</v>
      </c>
      <c r="D12" s="11" t="s">
        <v>33</v>
      </c>
      <c r="E12" s="20">
        <v>0</v>
      </c>
      <c r="F12" s="21">
        <v>0</v>
      </c>
      <c r="G12" s="21">
        <v>0</v>
      </c>
      <c r="H12" s="67">
        <f t="shared" si="0"/>
        <v>0</v>
      </c>
    </row>
    <row r="13" spans="2:8" ht="16.2" customHeight="1" outlineLevel="1" thickTop="1" thickBot="1" x14ac:dyDescent="0.35">
      <c r="B13" s="92" t="s">
        <v>125</v>
      </c>
      <c r="C13" s="56">
        <f>SUBTOTAL(9,C12:C12)</f>
        <v>7</v>
      </c>
      <c r="D13" s="56"/>
      <c r="E13" s="20"/>
      <c r="F13" s="21"/>
      <c r="G13" s="21">
        <f>SUBTOTAL(9,G12:G12)</f>
        <v>0</v>
      </c>
      <c r="H13" s="67">
        <f>SUBTOTAL(9,H12:H12)</f>
        <v>0</v>
      </c>
    </row>
    <row r="14" spans="2:8" ht="146.4" customHeight="1" outlineLevel="2" thickTop="1" thickBot="1" x14ac:dyDescent="0.35">
      <c r="B14" s="2" t="s">
        <v>64</v>
      </c>
      <c r="C14" s="3">
        <v>3</v>
      </c>
      <c r="D14" s="3" t="s">
        <v>34</v>
      </c>
      <c r="E14" s="22" t="s">
        <v>10</v>
      </c>
      <c r="F14" s="5" t="s">
        <v>96</v>
      </c>
      <c r="G14" s="5">
        <v>1</v>
      </c>
      <c r="H14" s="62">
        <f t="shared" si="0"/>
        <v>0.33333333333333331</v>
      </c>
    </row>
    <row r="15" spans="2:8" ht="18" customHeight="1" outlineLevel="1" thickTop="1" thickBot="1" x14ac:dyDescent="0.35">
      <c r="B15" s="90" t="s">
        <v>126</v>
      </c>
      <c r="C15" s="3">
        <f>SUBTOTAL(9,C14:C14)</f>
        <v>3</v>
      </c>
      <c r="D15" s="3"/>
      <c r="E15" s="22"/>
      <c r="F15" s="5"/>
      <c r="G15" s="5">
        <f>SUBTOTAL(9,G14:G14)</f>
        <v>1</v>
      </c>
      <c r="H15" s="62">
        <f>SUBTOTAL(9,H14:H14)</f>
        <v>0.33333333333333331</v>
      </c>
    </row>
    <row r="16" spans="2:8" ht="20.399999999999999" customHeight="1" outlineLevel="2" thickTop="1" thickBot="1" x14ac:dyDescent="0.35">
      <c r="B16" s="14" t="s">
        <v>65</v>
      </c>
      <c r="C16" s="14">
        <v>1</v>
      </c>
      <c r="D16" s="14" t="s">
        <v>35</v>
      </c>
      <c r="E16" s="23">
        <v>0</v>
      </c>
      <c r="F16" s="24">
        <v>0</v>
      </c>
      <c r="G16" s="24">
        <v>0</v>
      </c>
      <c r="H16" s="68">
        <f t="shared" si="0"/>
        <v>0</v>
      </c>
    </row>
    <row r="17" spans="2:8" ht="20.399999999999999" customHeight="1" outlineLevel="1" thickTop="1" thickBot="1" x14ac:dyDescent="0.35">
      <c r="B17" s="93" t="s">
        <v>127</v>
      </c>
      <c r="C17" s="14">
        <f>SUBTOTAL(9,C16:C16)</f>
        <v>1</v>
      </c>
      <c r="D17" s="14"/>
      <c r="E17" s="23"/>
      <c r="F17" s="24"/>
      <c r="G17" s="24">
        <f>SUBTOTAL(9,G16:G16)</f>
        <v>0</v>
      </c>
      <c r="H17" s="68">
        <f>SUBTOTAL(9,H16:H16)</f>
        <v>0</v>
      </c>
    </row>
    <row r="18" spans="2:8" ht="180" customHeight="1" outlineLevel="2" thickTop="1" thickBot="1" x14ac:dyDescent="0.35">
      <c r="B18" s="6" t="s">
        <v>66</v>
      </c>
      <c r="C18" s="7">
        <v>13</v>
      </c>
      <c r="D18" s="7" t="s">
        <v>36</v>
      </c>
      <c r="E18" s="25" t="s">
        <v>8</v>
      </c>
      <c r="F18" s="9" t="s">
        <v>97</v>
      </c>
      <c r="G18" s="9">
        <v>5</v>
      </c>
      <c r="H18" s="63">
        <f t="shared" si="0"/>
        <v>0.38461538461538464</v>
      </c>
    </row>
    <row r="19" spans="2:8" ht="18.600000000000001" customHeight="1" outlineLevel="1" thickTop="1" thickBot="1" x14ac:dyDescent="0.35">
      <c r="B19" s="91" t="s">
        <v>128</v>
      </c>
      <c r="C19" s="58">
        <f>SUBTOTAL(9,C18:C18)</f>
        <v>13</v>
      </c>
      <c r="D19" s="58"/>
      <c r="E19" s="25"/>
      <c r="F19" s="9"/>
      <c r="G19" s="9">
        <f>SUBTOTAL(9,G18:G18)</f>
        <v>5</v>
      </c>
      <c r="H19" s="63">
        <f>SUBTOTAL(9,H18:H18)</f>
        <v>0.38461538461538464</v>
      </c>
    </row>
    <row r="20" spans="2:8" ht="24.6" customHeight="1" outlineLevel="2" thickTop="1" thickBot="1" x14ac:dyDescent="0.35">
      <c r="B20" s="10" t="s">
        <v>67</v>
      </c>
      <c r="C20" s="11">
        <v>2</v>
      </c>
      <c r="D20" s="11" t="s">
        <v>37</v>
      </c>
      <c r="E20" s="12" t="s">
        <v>22</v>
      </c>
      <c r="F20" s="13" t="s">
        <v>98</v>
      </c>
      <c r="G20" s="13">
        <v>0</v>
      </c>
      <c r="H20" s="64">
        <f t="shared" si="0"/>
        <v>0</v>
      </c>
    </row>
    <row r="21" spans="2:8" ht="24.6" customHeight="1" outlineLevel="1" thickTop="1" thickBot="1" x14ac:dyDescent="0.35">
      <c r="B21" s="92" t="s">
        <v>129</v>
      </c>
      <c r="C21" s="56">
        <f>SUBTOTAL(9,C20:C20)</f>
        <v>2</v>
      </c>
      <c r="D21" s="56"/>
      <c r="E21" s="12"/>
      <c r="F21" s="13"/>
      <c r="G21" s="13">
        <f>SUBTOTAL(9,G20:G20)</f>
        <v>0</v>
      </c>
      <c r="H21" s="64">
        <f>SUBTOTAL(9,H20:H20)</f>
        <v>0</v>
      </c>
    </row>
    <row r="22" spans="2:8" ht="127.8" customHeight="1" outlineLevel="2" thickTop="1" thickBot="1" x14ac:dyDescent="0.35">
      <c r="B22" s="2" t="s">
        <v>68</v>
      </c>
      <c r="C22" s="3">
        <v>1</v>
      </c>
      <c r="D22" s="3" t="s">
        <v>38</v>
      </c>
      <c r="E22" s="26" t="s">
        <v>4</v>
      </c>
      <c r="F22" s="27" t="s">
        <v>99</v>
      </c>
      <c r="G22" s="27">
        <v>1</v>
      </c>
      <c r="H22" s="69">
        <f t="shared" si="0"/>
        <v>1</v>
      </c>
    </row>
    <row r="23" spans="2:8" ht="22.2" customHeight="1" outlineLevel="1" thickTop="1" thickBot="1" x14ac:dyDescent="0.35">
      <c r="B23" s="90" t="s">
        <v>130</v>
      </c>
      <c r="C23" s="3">
        <f>SUBTOTAL(9,C22:C22)</f>
        <v>1</v>
      </c>
      <c r="D23" s="3"/>
      <c r="E23" s="26"/>
      <c r="F23" s="27"/>
      <c r="G23" s="27">
        <f>SUBTOTAL(9,G22:G22)</f>
        <v>1</v>
      </c>
      <c r="H23" s="69">
        <f>SUBTOTAL(9,H22:H22)</f>
        <v>1</v>
      </c>
    </row>
    <row r="24" spans="2:8" ht="163.80000000000001" customHeight="1" outlineLevel="2" thickTop="1" thickBot="1" x14ac:dyDescent="0.35">
      <c r="B24" s="28" t="s">
        <v>69</v>
      </c>
      <c r="C24" s="29">
        <v>6</v>
      </c>
      <c r="D24" s="29" t="s">
        <v>39</v>
      </c>
      <c r="E24" s="30" t="s">
        <v>90</v>
      </c>
      <c r="F24" s="31" t="s">
        <v>100</v>
      </c>
      <c r="G24" s="31">
        <v>1</v>
      </c>
      <c r="H24" s="70">
        <f t="shared" si="0"/>
        <v>0.16666666666666666</v>
      </c>
    </row>
    <row r="25" spans="2:8" ht="25.8" customHeight="1" outlineLevel="1" thickTop="1" thickBot="1" x14ac:dyDescent="0.35">
      <c r="B25" s="94" t="s">
        <v>131</v>
      </c>
      <c r="C25" s="29">
        <f>SUBTOTAL(9,C24:C24)</f>
        <v>6</v>
      </c>
      <c r="D25" s="29"/>
      <c r="E25" s="30"/>
      <c r="F25" s="31"/>
      <c r="G25" s="31">
        <f>SUBTOTAL(9,G24:G24)</f>
        <v>1</v>
      </c>
      <c r="H25" s="70">
        <f>SUBTOTAL(9,H24:H24)</f>
        <v>0.16666666666666666</v>
      </c>
    </row>
    <row r="26" spans="2:8" ht="12.6" customHeight="1" outlineLevel="2" thickTop="1" thickBot="1" x14ac:dyDescent="0.35">
      <c r="B26" s="6" t="s">
        <v>70</v>
      </c>
      <c r="C26" s="7">
        <v>2</v>
      </c>
      <c r="D26" s="7" t="s">
        <v>40</v>
      </c>
      <c r="E26" s="8">
        <v>0</v>
      </c>
      <c r="F26" s="9">
        <v>0</v>
      </c>
      <c r="G26" s="9">
        <v>0</v>
      </c>
      <c r="H26" s="63">
        <f t="shared" si="0"/>
        <v>0</v>
      </c>
    </row>
    <row r="27" spans="2:8" ht="12.6" customHeight="1" outlineLevel="1" thickTop="1" thickBot="1" x14ac:dyDescent="0.35">
      <c r="B27" s="91" t="s">
        <v>132</v>
      </c>
      <c r="C27" s="58">
        <f>SUBTOTAL(9,C26:C26)</f>
        <v>2</v>
      </c>
      <c r="D27" s="58"/>
      <c r="E27" s="8"/>
      <c r="F27" s="9"/>
      <c r="G27" s="9">
        <f>SUBTOTAL(9,G26:G26)</f>
        <v>0</v>
      </c>
      <c r="H27" s="63">
        <f>SUBTOTAL(9,H26:H26)</f>
        <v>0</v>
      </c>
    </row>
    <row r="28" spans="2:8" ht="79.95" customHeight="1" outlineLevel="2" thickTop="1" thickBot="1" x14ac:dyDescent="0.35">
      <c r="B28" s="78" t="s">
        <v>71</v>
      </c>
      <c r="C28" s="77">
        <v>5</v>
      </c>
      <c r="D28" s="77" t="s">
        <v>41</v>
      </c>
      <c r="E28" s="32" t="s">
        <v>19</v>
      </c>
      <c r="F28" s="33" t="s">
        <v>101</v>
      </c>
      <c r="G28" s="33">
        <v>2</v>
      </c>
      <c r="H28" s="71">
        <f t="shared" si="0"/>
        <v>0.4</v>
      </c>
    </row>
    <row r="29" spans="2:8" ht="103.2" customHeight="1" outlineLevel="2" thickTop="1" thickBot="1" x14ac:dyDescent="0.35">
      <c r="B29" s="78"/>
      <c r="C29" s="77"/>
      <c r="D29" s="77"/>
      <c r="E29" s="34" t="s">
        <v>7</v>
      </c>
      <c r="F29" s="33" t="s">
        <v>102</v>
      </c>
      <c r="G29" s="33">
        <v>1</v>
      </c>
      <c r="H29" s="71">
        <f>G29/C28</f>
        <v>0.2</v>
      </c>
    </row>
    <row r="30" spans="2:8" ht="21.6" customHeight="1" outlineLevel="1" thickTop="1" thickBot="1" x14ac:dyDescent="0.35">
      <c r="B30" s="95" t="s">
        <v>133</v>
      </c>
      <c r="C30" s="59">
        <f>SUBTOTAL(9,C28:C29)</f>
        <v>5</v>
      </c>
      <c r="D30" s="59"/>
      <c r="E30" s="34"/>
      <c r="F30" s="33"/>
      <c r="G30" s="33">
        <f>SUBTOTAL(9,G28:G29)</f>
        <v>3</v>
      </c>
      <c r="H30" s="71">
        <f>SUBTOTAL(9,H28:H29)</f>
        <v>0.60000000000000009</v>
      </c>
    </row>
    <row r="31" spans="2:8" ht="13.8" customHeight="1" outlineLevel="2" thickTop="1" thickBot="1" x14ac:dyDescent="0.35">
      <c r="B31" s="35" t="s">
        <v>72</v>
      </c>
      <c r="C31" s="36">
        <v>21</v>
      </c>
      <c r="D31" s="36" t="s">
        <v>42</v>
      </c>
      <c r="E31" s="37">
        <v>0</v>
      </c>
      <c r="F31" s="38">
        <v>0</v>
      </c>
      <c r="G31" s="38">
        <v>0</v>
      </c>
      <c r="H31" s="72">
        <f t="shared" si="0"/>
        <v>0</v>
      </c>
    </row>
    <row r="32" spans="2:8" ht="13.8" customHeight="1" outlineLevel="1" thickTop="1" thickBot="1" x14ac:dyDescent="0.35">
      <c r="B32" s="96" t="s">
        <v>134</v>
      </c>
      <c r="C32" s="36">
        <f>SUBTOTAL(9,C31:C31)</f>
        <v>21</v>
      </c>
      <c r="D32" s="36"/>
      <c r="E32" s="37"/>
      <c r="F32" s="38"/>
      <c r="G32" s="38">
        <f>SUBTOTAL(9,G31:G31)</f>
        <v>0</v>
      </c>
      <c r="H32" s="72">
        <f>SUBTOTAL(9,H31:H31)</f>
        <v>0</v>
      </c>
    </row>
    <row r="33" spans="2:8" ht="172.8" customHeight="1" outlineLevel="2" thickTop="1" thickBot="1" x14ac:dyDescent="0.35">
      <c r="B33" s="10" t="s">
        <v>73</v>
      </c>
      <c r="C33" s="11">
        <v>8</v>
      </c>
      <c r="D33" s="11" t="s">
        <v>43</v>
      </c>
      <c r="E33" s="20" t="s">
        <v>15</v>
      </c>
      <c r="F33" s="21" t="s">
        <v>103</v>
      </c>
      <c r="G33" s="21">
        <v>1</v>
      </c>
      <c r="H33" s="67">
        <f t="shared" si="0"/>
        <v>0.125</v>
      </c>
    </row>
    <row r="34" spans="2:8" ht="25.8" customHeight="1" outlineLevel="1" thickTop="1" thickBot="1" x14ac:dyDescent="0.35">
      <c r="B34" s="92" t="s">
        <v>135</v>
      </c>
      <c r="C34" s="56">
        <f>SUBTOTAL(9,C33:C33)</f>
        <v>8</v>
      </c>
      <c r="D34" s="56"/>
      <c r="E34" s="20"/>
      <c r="F34" s="21"/>
      <c r="G34" s="21">
        <f>SUBTOTAL(9,G33:G33)</f>
        <v>1</v>
      </c>
      <c r="H34" s="67">
        <f>SUBTOTAL(9,H33:H33)</f>
        <v>0.125</v>
      </c>
    </row>
    <row r="35" spans="2:8" ht="105.6" customHeight="1" outlineLevel="2" thickTop="1" thickBot="1" x14ac:dyDescent="0.35">
      <c r="B35" s="81" t="s">
        <v>74</v>
      </c>
      <c r="C35" s="82">
        <v>12</v>
      </c>
      <c r="D35" s="82" t="s">
        <v>44</v>
      </c>
      <c r="E35" s="39" t="s">
        <v>16</v>
      </c>
      <c r="F35" s="40" t="s">
        <v>104</v>
      </c>
      <c r="G35" s="40">
        <v>2</v>
      </c>
      <c r="H35" s="73">
        <f>G35/C33</f>
        <v>0.25</v>
      </c>
    </row>
    <row r="36" spans="2:8" ht="97.8" customHeight="1" outlineLevel="2" thickTop="1" thickBot="1" x14ac:dyDescent="0.35">
      <c r="B36" s="81"/>
      <c r="C36" s="82"/>
      <c r="D36" s="82"/>
      <c r="E36" s="39" t="s">
        <v>14</v>
      </c>
      <c r="F36" s="40" t="s">
        <v>101</v>
      </c>
      <c r="G36" s="40">
        <v>1</v>
      </c>
      <c r="H36" s="73">
        <f>G36/C35</f>
        <v>8.3333333333333329E-2</v>
      </c>
    </row>
    <row r="37" spans="2:8" ht="25.2" customHeight="1" outlineLevel="1" thickTop="1" thickBot="1" x14ac:dyDescent="0.35">
      <c r="B37" s="97" t="s">
        <v>136</v>
      </c>
      <c r="C37" s="57">
        <f>SUBTOTAL(9,C35:C36)</f>
        <v>12</v>
      </c>
      <c r="D37" s="57"/>
      <c r="E37" s="39"/>
      <c r="F37" s="40"/>
      <c r="G37" s="40">
        <f>SUBTOTAL(9,G35:G36)</f>
        <v>3</v>
      </c>
      <c r="H37" s="73">
        <f>SUBTOTAL(9,H35:H36)</f>
        <v>0.33333333333333331</v>
      </c>
    </row>
    <row r="38" spans="2:8" ht="99" customHeight="1" outlineLevel="2" thickTop="1" thickBot="1" x14ac:dyDescent="0.35">
      <c r="B38" s="84" t="s">
        <v>75</v>
      </c>
      <c r="C38" s="83">
        <v>25</v>
      </c>
      <c r="D38" s="83" t="s">
        <v>45</v>
      </c>
      <c r="E38" s="8" t="s">
        <v>91</v>
      </c>
      <c r="F38" s="9" t="s">
        <v>105</v>
      </c>
      <c r="G38" s="9">
        <v>2</v>
      </c>
      <c r="H38" s="63">
        <f t="shared" si="0"/>
        <v>0.08</v>
      </c>
    </row>
    <row r="39" spans="2:8" ht="100.2" customHeight="1" outlineLevel="2" thickTop="1" thickBot="1" x14ac:dyDescent="0.35">
      <c r="B39" s="84"/>
      <c r="C39" s="83"/>
      <c r="D39" s="83"/>
      <c r="E39" s="8" t="s">
        <v>92</v>
      </c>
      <c r="F39" s="9" t="s">
        <v>106</v>
      </c>
      <c r="G39" s="9">
        <v>1</v>
      </c>
      <c r="H39" s="63">
        <f>G39/C38</f>
        <v>0.04</v>
      </c>
    </row>
    <row r="40" spans="2:8" ht="15.6" customHeight="1" outlineLevel="1" thickTop="1" thickBot="1" x14ac:dyDescent="0.35">
      <c r="B40" s="91" t="s">
        <v>137</v>
      </c>
      <c r="C40" s="58">
        <f>SUBTOTAL(9,C38:C39)</f>
        <v>25</v>
      </c>
      <c r="D40" s="58"/>
      <c r="E40" s="8"/>
      <c r="F40" s="9"/>
      <c r="G40" s="9">
        <f>SUBTOTAL(9,G38:G39)</f>
        <v>3</v>
      </c>
      <c r="H40" s="63">
        <f>SUBTOTAL(9,H38:H39)</f>
        <v>0.12</v>
      </c>
    </row>
    <row r="41" spans="2:8" ht="20.399999999999999" customHeight="1" outlineLevel="2" thickTop="1" thickBot="1" x14ac:dyDescent="0.35">
      <c r="B41" s="2" t="s">
        <v>76</v>
      </c>
      <c r="C41" s="3">
        <v>8</v>
      </c>
      <c r="D41" s="3" t="s">
        <v>46</v>
      </c>
      <c r="E41" s="22">
        <v>0</v>
      </c>
      <c r="F41" s="5">
        <v>0</v>
      </c>
      <c r="G41" s="5">
        <v>0</v>
      </c>
      <c r="H41" s="62">
        <f t="shared" si="0"/>
        <v>0</v>
      </c>
    </row>
    <row r="42" spans="2:8" ht="20.399999999999999" customHeight="1" outlineLevel="1" thickTop="1" thickBot="1" x14ac:dyDescent="0.35">
      <c r="B42" s="90" t="s">
        <v>138</v>
      </c>
      <c r="C42" s="3">
        <f>SUBTOTAL(9,C41:C41)</f>
        <v>8</v>
      </c>
      <c r="D42" s="3"/>
      <c r="E42" s="22"/>
      <c r="F42" s="5"/>
      <c r="G42" s="5">
        <f>SUBTOTAL(9,G41:G41)</f>
        <v>0</v>
      </c>
      <c r="H42" s="62">
        <f>SUBTOTAL(9,H41:H41)</f>
        <v>0</v>
      </c>
    </row>
    <row r="43" spans="2:8" ht="137.4" customHeight="1" outlineLevel="2" thickTop="1" thickBot="1" x14ac:dyDescent="0.35">
      <c r="B43" s="28" t="s">
        <v>77</v>
      </c>
      <c r="C43" s="29">
        <v>27</v>
      </c>
      <c r="D43" s="29" t="s">
        <v>47</v>
      </c>
      <c r="E43" s="30" t="s">
        <v>21</v>
      </c>
      <c r="F43" s="60" t="s">
        <v>112</v>
      </c>
      <c r="G43" s="31">
        <v>1</v>
      </c>
      <c r="H43" s="70">
        <f t="shared" si="0"/>
        <v>3.7037037037037035E-2</v>
      </c>
    </row>
    <row r="44" spans="2:8" ht="17.399999999999999" customHeight="1" outlineLevel="1" thickTop="1" thickBot="1" x14ac:dyDescent="0.35">
      <c r="B44" s="94" t="s">
        <v>139</v>
      </c>
      <c r="C44" s="29">
        <f>SUBTOTAL(9,C43:C43)</f>
        <v>27</v>
      </c>
      <c r="D44" s="29"/>
      <c r="E44" s="30"/>
      <c r="F44" s="60"/>
      <c r="G44" s="31">
        <f>SUBTOTAL(9,G43:G43)</f>
        <v>1</v>
      </c>
      <c r="H44" s="70">
        <f>SUBTOTAL(9,H43:H43)</f>
        <v>3.7037037037037035E-2</v>
      </c>
    </row>
    <row r="45" spans="2:8" ht="19.8" customHeight="1" outlineLevel="2" thickTop="1" thickBot="1" x14ac:dyDescent="0.35">
      <c r="B45" s="10" t="s">
        <v>78</v>
      </c>
      <c r="C45" s="11">
        <v>30</v>
      </c>
      <c r="D45" s="11" t="s">
        <v>48</v>
      </c>
      <c r="E45" s="20">
        <v>0</v>
      </c>
      <c r="F45" s="21">
        <v>0</v>
      </c>
      <c r="G45" s="21">
        <v>0</v>
      </c>
      <c r="H45" s="67">
        <f t="shared" si="0"/>
        <v>0</v>
      </c>
    </row>
    <row r="46" spans="2:8" ht="19.8" customHeight="1" outlineLevel="1" thickTop="1" thickBot="1" x14ac:dyDescent="0.35">
      <c r="B46" s="92" t="s">
        <v>140</v>
      </c>
      <c r="C46" s="56">
        <f>SUBTOTAL(9,C45:C45)</f>
        <v>30</v>
      </c>
      <c r="D46" s="56"/>
      <c r="E46" s="20"/>
      <c r="F46" s="21"/>
      <c r="G46" s="21">
        <f>SUBTOTAL(9,G45:G45)</f>
        <v>0</v>
      </c>
      <c r="H46" s="67">
        <f>SUBTOTAL(9,H45:H45)</f>
        <v>0</v>
      </c>
    </row>
    <row r="47" spans="2:8" ht="156" customHeight="1" outlineLevel="2" thickTop="1" thickBot="1" x14ac:dyDescent="0.35">
      <c r="B47" s="2" t="s">
        <v>79</v>
      </c>
      <c r="C47" s="3">
        <v>21</v>
      </c>
      <c r="D47" s="3" t="s">
        <v>49</v>
      </c>
      <c r="E47" s="22" t="s">
        <v>20</v>
      </c>
      <c r="F47" s="5" t="s">
        <v>107</v>
      </c>
      <c r="G47" s="5">
        <v>5</v>
      </c>
      <c r="H47" s="62">
        <f t="shared" si="0"/>
        <v>0.23809523809523808</v>
      </c>
    </row>
    <row r="48" spans="2:8" ht="18" customHeight="1" outlineLevel="1" thickTop="1" thickBot="1" x14ac:dyDescent="0.35">
      <c r="B48" s="90" t="s">
        <v>141</v>
      </c>
      <c r="C48" s="3">
        <f>SUBTOTAL(9,C47:C47)</f>
        <v>21</v>
      </c>
      <c r="D48" s="3"/>
      <c r="E48" s="22"/>
      <c r="F48" s="5"/>
      <c r="G48" s="5">
        <f>SUBTOTAL(9,G47:G47)</f>
        <v>5</v>
      </c>
      <c r="H48" s="62">
        <f>SUBTOTAL(9,H47:H47)</f>
        <v>0.23809523809523808</v>
      </c>
    </row>
    <row r="49" spans="2:8" ht="181.2" customHeight="1" outlineLevel="2" thickTop="1" thickBot="1" x14ac:dyDescent="0.35">
      <c r="B49" s="6" t="s">
        <v>80</v>
      </c>
      <c r="C49" s="7">
        <v>5</v>
      </c>
      <c r="D49" s="7" t="s">
        <v>50</v>
      </c>
      <c r="E49" s="8" t="s">
        <v>11</v>
      </c>
      <c r="F49" s="9" t="s">
        <v>108</v>
      </c>
      <c r="G49" s="9">
        <v>1</v>
      </c>
      <c r="H49" s="63">
        <f t="shared" si="0"/>
        <v>0.2</v>
      </c>
    </row>
    <row r="50" spans="2:8" ht="28.2" customHeight="1" outlineLevel="1" thickTop="1" thickBot="1" x14ac:dyDescent="0.35">
      <c r="B50" s="91" t="s">
        <v>142</v>
      </c>
      <c r="C50" s="58">
        <f>SUBTOTAL(9,C49:C49)</f>
        <v>5</v>
      </c>
      <c r="D50" s="58"/>
      <c r="E50" s="8"/>
      <c r="F50" s="9"/>
      <c r="G50" s="9">
        <f>SUBTOTAL(9,G49:G49)</f>
        <v>1</v>
      </c>
      <c r="H50" s="63">
        <f>SUBTOTAL(9,H49:H49)</f>
        <v>0.2</v>
      </c>
    </row>
    <row r="51" spans="2:8" ht="171.6" customHeight="1" outlineLevel="2" thickTop="1" thickBot="1" x14ac:dyDescent="0.35">
      <c r="B51" s="2" t="s">
        <v>81</v>
      </c>
      <c r="C51" s="3">
        <v>20</v>
      </c>
      <c r="D51" s="3" t="s">
        <v>51</v>
      </c>
      <c r="E51" s="4" t="s">
        <v>9</v>
      </c>
      <c r="F51" s="5" t="s">
        <v>108</v>
      </c>
      <c r="G51" s="5">
        <v>8</v>
      </c>
      <c r="H51" s="62">
        <f t="shared" si="0"/>
        <v>0.4</v>
      </c>
    </row>
    <row r="52" spans="2:8" ht="25.8" customHeight="1" outlineLevel="1" thickTop="1" thickBot="1" x14ac:dyDescent="0.35">
      <c r="B52" s="90" t="s">
        <v>143</v>
      </c>
      <c r="C52" s="3">
        <f>SUBTOTAL(9,C51:C51)</f>
        <v>20</v>
      </c>
      <c r="D52" s="3"/>
      <c r="E52" s="4"/>
      <c r="F52" s="5"/>
      <c r="G52" s="5">
        <f>SUBTOTAL(9,G51:G51)</f>
        <v>8</v>
      </c>
      <c r="H52" s="62">
        <f>SUBTOTAL(9,H51:H51)</f>
        <v>0.4</v>
      </c>
    </row>
    <row r="53" spans="2:8" ht="99" customHeight="1" outlineLevel="2" thickTop="1" thickBot="1" x14ac:dyDescent="0.35">
      <c r="B53" s="79" t="s">
        <v>82</v>
      </c>
      <c r="C53" s="80">
        <v>11</v>
      </c>
      <c r="D53" s="80" t="s">
        <v>52</v>
      </c>
      <c r="E53" s="41" t="s">
        <v>86</v>
      </c>
      <c r="F53" s="21" t="s">
        <v>110</v>
      </c>
      <c r="G53" s="21">
        <v>2</v>
      </c>
      <c r="H53" s="67">
        <f>G53/C51</f>
        <v>0.1</v>
      </c>
    </row>
    <row r="54" spans="2:8" ht="103.8" customHeight="1" outlineLevel="2" thickTop="1" thickBot="1" x14ac:dyDescent="0.35">
      <c r="B54" s="79"/>
      <c r="C54" s="80"/>
      <c r="D54" s="80"/>
      <c r="E54" s="20" t="s">
        <v>18</v>
      </c>
      <c r="F54" s="21" t="s">
        <v>109</v>
      </c>
      <c r="G54" s="21">
        <v>1</v>
      </c>
      <c r="H54" s="67">
        <f>G54/C53</f>
        <v>9.0909090909090912E-2</v>
      </c>
    </row>
    <row r="55" spans="2:8" ht="20.399999999999999" customHeight="1" outlineLevel="1" thickTop="1" thickBot="1" x14ac:dyDescent="0.35">
      <c r="B55" s="92" t="s">
        <v>144</v>
      </c>
      <c r="C55" s="56">
        <f>SUBTOTAL(9,C53:C54)</f>
        <v>11</v>
      </c>
      <c r="D55" s="56"/>
      <c r="E55" s="20"/>
      <c r="F55" s="21"/>
      <c r="G55" s="21">
        <f>SUBTOTAL(9,G53:G54)</f>
        <v>3</v>
      </c>
      <c r="H55" s="67">
        <f>SUBTOTAL(9,H53:H54)</f>
        <v>0.19090909090909092</v>
      </c>
    </row>
    <row r="56" spans="2:8" ht="168" customHeight="1" outlineLevel="2" thickTop="1" thickBot="1" x14ac:dyDescent="0.35">
      <c r="B56" s="28" t="s">
        <v>83</v>
      </c>
      <c r="C56" s="29">
        <v>2</v>
      </c>
      <c r="D56" s="29" t="s">
        <v>53</v>
      </c>
      <c r="E56" s="42" t="s">
        <v>87</v>
      </c>
      <c r="F56" s="60" t="s">
        <v>111</v>
      </c>
      <c r="G56" s="31">
        <v>2</v>
      </c>
      <c r="H56" s="70">
        <f t="shared" si="0"/>
        <v>1</v>
      </c>
    </row>
    <row r="57" spans="2:8" ht="15" customHeight="1" outlineLevel="1" thickTop="1" thickBot="1" x14ac:dyDescent="0.35">
      <c r="B57" s="94" t="s">
        <v>145</v>
      </c>
      <c r="C57" s="29">
        <f>SUBTOTAL(9,C56:C56)</f>
        <v>2</v>
      </c>
      <c r="D57" s="29"/>
      <c r="E57" s="42"/>
      <c r="F57" s="60"/>
      <c r="G57" s="31">
        <f>SUBTOTAL(9,G56:G56)</f>
        <v>2</v>
      </c>
      <c r="H57" s="70">
        <f>SUBTOTAL(9,H56:H56)</f>
        <v>1</v>
      </c>
    </row>
    <row r="58" spans="2:8" ht="15.6" customHeight="1" outlineLevel="2" thickTop="1" thickBot="1" x14ac:dyDescent="0.35">
      <c r="B58" s="2" t="s">
        <v>84</v>
      </c>
      <c r="C58" s="3">
        <v>18</v>
      </c>
      <c r="D58" s="3" t="s">
        <v>54</v>
      </c>
      <c r="E58" s="43">
        <v>0</v>
      </c>
      <c r="F58" s="44">
        <v>0</v>
      </c>
      <c r="G58" s="44">
        <v>0</v>
      </c>
      <c r="H58" s="74">
        <f t="shared" si="0"/>
        <v>0</v>
      </c>
    </row>
    <row r="59" spans="2:8" ht="15.6" customHeight="1" outlineLevel="1" thickTop="1" thickBot="1" x14ac:dyDescent="0.35">
      <c r="B59" s="90" t="s">
        <v>146</v>
      </c>
      <c r="C59" s="3">
        <f>SUBTOTAL(9,C58:C58)</f>
        <v>18</v>
      </c>
      <c r="D59" s="3"/>
      <c r="E59" s="43"/>
      <c r="F59" s="44"/>
      <c r="G59" s="44">
        <f>SUBTOTAL(9,G58:G58)</f>
        <v>0</v>
      </c>
      <c r="H59" s="74">
        <f>SUBTOTAL(9,H58:H58)</f>
        <v>0</v>
      </c>
    </row>
    <row r="60" spans="2:8" ht="15.6" customHeight="1" outlineLevel="2" thickTop="1" thickBot="1" x14ac:dyDescent="0.35">
      <c r="B60" s="6" t="s">
        <v>85</v>
      </c>
      <c r="C60" s="7">
        <v>25</v>
      </c>
      <c r="D60" s="7" t="s">
        <v>55</v>
      </c>
      <c r="E60" s="8">
        <v>0</v>
      </c>
      <c r="F60" s="9">
        <v>0</v>
      </c>
      <c r="G60" s="9">
        <v>0</v>
      </c>
      <c r="H60" s="63">
        <f t="shared" si="0"/>
        <v>0</v>
      </c>
    </row>
    <row r="61" spans="2:8" ht="15.6" customHeight="1" outlineLevel="1" thickTop="1" x14ac:dyDescent="0.3">
      <c r="B61" s="102" t="s">
        <v>147</v>
      </c>
      <c r="C61" s="98">
        <f>SUBTOTAL(9,C60:C60)</f>
        <v>25</v>
      </c>
      <c r="D61" s="98"/>
      <c r="E61" s="99"/>
      <c r="F61" s="100"/>
      <c r="G61" s="100">
        <f>SUBTOTAL(9,G60:G60)</f>
        <v>0</v>
      </c>
      <c r="H61" s="101">
        <f>SUBTOTAL(9,H60:H60)</f>
        <v>0</v>
      </c>
    </row>
  </sheetData>
  <sortState ref="E29:H30">
    <sortCondition descending="1" ref="H29:H30"/>
  </sortState>
  <mergeCells count="12">
    <mergeCell ref="D28:D29"/>
    <mergeCell ref="B28:B29"/>
    <mergeCell ref="C28:C29"/>
    <mergeCell ref="B53:B54"/>
    <mergeCell ref="D53:D54"/>
    <mergeCell ref="C53:C54"/>
    <mergeCell ref="B35:B36"/>
    <mergeCell ref="D35:D36"/>
    <mergeCell ref="D38:D39"/>
    <mergeCell ref="B38:B39"/>
    <mergeCell ref="C35:C36"/>
    <mergeCell ref="C38:C39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workbookViewId="0">
      <selection activeCell="G14" sqref="G14"/>
    </sheetView>
  </sheetViews>
  <sheetFormatPr defaultRowHeight="14.4" x14ac:dyDescent="0.3"/>
  <cols>
    <col min="2" max="2" width="5" style="1" customWidth="1"/>
    <col min="3" max="3" width="48.77734375" style="1" customWidth="1"/>
    <col min="5" max="5" width="8.88671875" style="75"/>
  </cols>
  <sheetData>
    <row r="1" spans="2:5" ht="15.6" thickTop="1" thickBot="1" x14ac:dyDescent="0.35">
      <c r="B1" s="51"/>
      <c r="C1" s="51"/>
      <c r="D1" s="45"/>
      <c r="E1" s="61" t="s">
        <v>113</v>
      </c>
    </row>
    <row r="2" spans="2:5" ht="32.4" thickTop="1" thickBot="1" x14ac:dyDescent="0.35">
      <c r="B2" s="52">
        <v>17</v>
      </c>
      <c r="C2" s="52" t="s">
        <v>12</v>
      </c>
      <c r="D2" s="45">
        <v>6</v>
      </c>
      <c r="E2" s="61">
        <f>D2/B2</f>
        <v>0.35294117647058826</v>
      </c>
    </row>
    <row r="3" spans="2:5" ht="16.2" thickTop="1" thickBot="1" x14ac:dyDescent="0.35">
      <c r="B3" s="53"/>
      <c r="C3" s="53" t="s">
        <v>1</v>
      </c>
      <c r="D3" s="45">
        <v>3</v>
      </c>
      <c r="E3" s="61"/>
    </row>
    <row r="4" spans="2:5" ht="31.2" thickTop="1" thickBot="1" x14ac:dyDescent="0.35">
      <c r="B4" s="85">
        <v>28</v>
      </c>
      <c r="C4" s="54" t="s">
        <v>17</v>
      </c>
      <c r="D4" s="45">
        <v>1</v>
      </c>
      <c r="E4" s="61">
        <f>D4/28</f>
        <v>3.5714285714285712E-2</v>
      </c>
    </row>
    <row r="5" spans="2:5" ht="31.2" thickTop="1" thickBot="1" x14ac:dyDescent="0.35">
      <c r="B5" s="85"/>
      <c r="C5" s="54" t="s">
        <v>6</v>
      </c>
      <c r="D5" s="45">
        <v>3</v>
      </c>
      <c r="E5" s="61">
        <f t="shared" ref="E5:E6" si="0">D5/28</f>
        <v>0.10714285714285714</v>
      </c>
    </row>
    <row r="6" spans="2:5" ht="31.2" thickTop="1" thickBot="1" x14ac:dyDescent="0.35">
      <c r="B6" s="85"/>
      <c r="C6" s="54" t="s">
        <v>5</v>
      </c>
      <c r="D6" s="45">
        <v>3</v>
      </c>
      <c r="E6" s="61">
        <f t="shared" si="0"/>
        <v>0.10714285714285714</v>
      </c>
    </row>
    <row r="7" spans="2:5" ht="32.4" thickTop="1" thickBot="1" x14ac:dyDescent="0.35">
      <c r="B7" s="47"/>
      <c r="C7" s="47" t="s">
        <v>88</v>
      </c>
      <c r="D7" s="45">
        <v>4</v>
      </c>
      <c r="E7" s="61"/>
    </row>
    <row r="8" spans="2:5" ht="16.2" thickTop="1" thickBot="1" x14ac:dyDescent="0.35">
      <c r="B8" s="55"/>
      <c r="C8" s="55" t="s">
        <v>0</v>
      </c>
      <c r="D8" s="45">
        <v>3</v>
      </c>
      <c r="E8" s="61"/>
    </row>
    <row r="9" spans="2:5" ht="16.8" thickTop="1" thickBot="1" x14ac:dyDescent="0.35">
      <c r="B9" s="47"/>
      <c r="C9" s="47" t="s">
        <v>13</v>
      </c>
      <c r="D9" s="45">
        <v>1</v>
      </c>
      <c r="E9" s="61"/>
    </row>
    <row r="10" spans="2:5" ht="32.4" thickTop="1" thickBot="1" x14ac:dyDescent="0.35">
      <c r="B10" s="47"/>
      <c r="C10" s="47" t="s">
        <v>89</v>
      </c>
      <c r="D10" s="45">
        <v>1</v>
      </c>
      <c r="E10" s="61"/>
    </row>
    <row r="11" spans="2:5" ht="15" thickTop="1" x14ac:dyDescent="0.3"/>
  </sheetData>
  <sortState ref="B8:E11">
    <sortCondition descending="1" ref="D8:D11"/>
  </sortState>
  <mergeCells count="1">
    <mergeCell ref="B4:B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"/>
  <sheetViews>
    <sheetView workbookViewId="0">
      <selection activeCell="I12" sqref="I12"/>
    </sheetView>
  </sheetViews>
  <sheetFormatPr defaultRowHeight="14.4" x14ac:dyDescent="0.3"/>
  <cols>
    <col min="3" max="3" width="35.109375" customWidth="1"/>
    <col min="5" max="5" width="8.88671875" style="75"/>
  </cols>
  <sheetData>
    <row r="1" spans="2:5" ht="30" customHeight="1" thickTop="1" thickBot="1" x14ac:dyDescent="0.35">
      <c r="B1" s="45"/>
      <c r="C1" s="45"/>
      <c r="D1" s="45"/>
      <c r="E1" s="76" t="s">
        <v>113</v>
      </c>
    </row>
    <row r="2" spans="2:5" ht="22.2" thickTop="1" thickBot="1" x14ac:dyDescent="0.35">
      <c r="B2" s="46"/>
      <c r="C2" s="47" t="s">
        <v>24</v>
      </c>
      <c r="D2" s="48">
        <v>8</v>
      </c>
      <c r="E2" s="61"/>
    </row>
    <row r="3" spans="2:5" ht="30" customHeight="1" thickTop="1" thickBot="1" x14ac:dyDescent="0.35">
      <c r="B3" s="45"/>
      <c r="C3" s="47" t="s">
        <v>28</v>
      </c>
      <c r="D3" s="50">
        <v>5</v>
      </c>
      <c r="E3" s="61"/>
    </row>
    <row r="4" spans="2:5" ht="30" customHeight="1" thickTop="1" thickBot="1" x14ac:dyDescent="0.35">
      <c r="B4" s="45"/>
      <c r="C4" s="47" t="s">
        <v>29</v>
      </c>
      <c r="D4" s="49">
        <v>3</v>
      </c>
      <c r="E4" s="61"/>
    </row>
    <row r="5" spans="2:5" ht="30" customHeight="1" thickTop="1" thickBot="1" x14ac:dyDescent="0.35">
      <c r="B5" s="46">
        <v>8</v>
      </c>
      <c r="C5" s="47" t="s">
        <v>25</v>
      </c>
      <c r="D5" s="49">
        <v>2</v>
      </c>
      <c r="E5" s="61">
        <f>D5/B5</f>
        <v>0.25</v>
      </c>
    </row>
    <row r="6" spans="2:5" ht="30" customHeight="1" thickTop="1" thickBot="1" x14ac:dyDescent="0.35">
      <c r="B6" s="45"/>
      <c r="C6" s="47" t="s">
        <v>27</v>
      </c>
      <c r="D6" s="50">
        <v>2</v>
      </c>
      <c r="E6" s="61"/>
    </row>
    <row r="7" spans="2:5" ht="30" customHeight="1" thickTop="1" thickBot="1" x14ac:dyDescent="0.35">
      <c r="B7" s="45"/>
      <c r="C7" s="47" t="s">
        <v>26</v>
      </c>
      <c r="D7" s="49">
        <v>1</v>
      </c>
      <c r="E7" s="61"/>
    </row>
    <row r="8" spans="2:5" ht="15" thickTop="1" x14ac:dyDescent="0.3"/>
  </sheetData>
  <sortState ref="B1:E7">
    <sortCondition descending="1" ref="D1:D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Sheet1!__DdeLink__374_2158327081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2025-05-09T16:31:53Z</dcterms:modified>
</cp:coreProperties>
</file>