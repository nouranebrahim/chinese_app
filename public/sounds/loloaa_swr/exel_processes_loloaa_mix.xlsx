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loloaa_swr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Sheet1!$E$19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1" i="1" l="1"/>
  <c r="G71" i="1"/>
  <c r="C71" i="1"/>
  <c r="H70" i="1"/>
  <c r="G70" i="1"/>
  <c r="C70" i="1"/>
  <c r="H68" i="1"/>
  <c r="G68" i="1"/>
  <c r="C68" i="1"/>
  <c r="H66" i="1"/>
  <c r="G66" i="1"/>
  <c r="C66" i="1"/>
  <c r="H63" i="1"/>
  <c r="G63" i="1"/>
  <c r="C63" i="1"/>
  <c r="H58" i="1"/>
  <c r="G58" i="1"/>
  <c r="C58" i="1"/>
  <c r="H56" i="1"/>
  <c r="G56" i="1"/>
  <c r="C56" i="1"/>
  <c r="H52" i="1"/>
  <c r="G52" i="1"/>
  <c r="C52" i="1"/>
  <c r="H50" i="1"/>
  <c r="G50" i="1"/>
  <c r="C50" i="1"/>
  <c r="H47" i="1"/>
  <c r="G47" i="1"/>
  <c r="C47" i="1"/>
  <c r="H45" i="1"/>
  <c r="G45" i="1"/>
  <c r="C45" i="1"/>
  <c r="H43" i="1"/>
  <c r="G43" i="1"/>
  <c r="C43" i="1"/>
  <c r="H41" i="1"/>
  <c r="G41" i="1"/>
  <c r="C41" i="1"/>
  <c r="H39" i="1"/>
  <c r="G39" i="1"/>
  <c r="C39" i="1"/>
  <c r="H37" i="1"/>
  <c r="G37" i="1"/>
  <c r="C37" i="1"/>
  <c r="H33" i="1"/>
  <c r="G33" i="1"/>
  <c r="C33" i="1"/>
  <c r="H31" i="1"/>
  <c r="G31" i="1"/>
  <c r="C31" i="1"/>
  <c r="H29" i="1"/>
  <c r="G29" i="1"/>
  <c r="C29" i="1"/>
  <c r="H27" i="1"/>
  <c r="G27" i="1"/>
  <c r="C27" i="1"/>
  <c r="H25" i="1"/>
  <c r="G25" i="1"/>
  <c r="C25" i="1"/>
  <c r="H22" i="1"/>
  <c r="G22" i="1"/>
  <c r="C22" i="1"/>
  <c r="H20" i="1"/>
  <c r="G20" i="1"/>
  <c r="C20" i="1"/>
  <c r="H18" i="1"/>
  <c r="G18" i="1"/>
  <c r="C18" i="1"/>
  <c r="H16" i="1"/>
  <c r="G16" i="1"/>
  <c r="C16" i="1"/>
  <c r="H14" i="1"/>
  <c r="G14" i="1"/>
  <c r="C14" i="1"/>
  <c r="H12" i="1"/>
  <c r="G12" i="1"/>
  <c r="C12" i="1"/>
  <c r="H10" i="1"/>
  <c r="G10" i="1"/>
  <c r="C10" i="1"/>
  <c r="H8" i="1"/>
  <c r="G8" i="1"/>
  <c r="C8" i="1"/>
  <c r="H5" i="1"/>
  <c r="G5" i="1"/>
  <c r="C5" i="1"/>
  <c r="F3" i="2" l="1"/>
  <c r="F2" i="2"/>
  <c r="F6" i="2"/>
  <c r="H65" i="1"/>
  <c r="H64" i="1"/>
  <c r="H61" i="1"/>
  <c r="H60" i="1"/>
  <c r="H59" i="1"/>
  <c r="H57" i="1"/>
  <c r="H55" i="1"/>
  <c r="H54" i="1"/>
  <c r="H53" i="1"/>
  <c r="H51" i="1"/>
  <c r="H49" i="1"/>
  <c r="H48" i="1"/>
  <c r="H46" i="1"/>
  <c r="H42" i="1"/>
  <c r="H40" i="1"/>
  <c r="H38" i="1"/>
  <c r="H36" i="1"/>
  <c r="H35" i="1"/>
  <c r="H34" i="1"/>
  <c r="H32" i="1"/>
  <c r="H23" i="1"/>
  <c r="H21" i="1"/>
  <c r="H13" i="1"/>
  <c r="H11" i="1"/>
  <c r="H6" i="1"/>
  <c r="H9" i="1"/>
  <c r="H2" i="1"/>
  <c r="F4" i="2" l="1"/>
  <c r="F5" i="2"/>
  <c r="H62" i="1"/>
  <c r="H24" i="1"/>
  <c r="H19" i="1"/>
  <c r="H26" i="1"/>
  <c r="H28" i="1"/>
  <c r="H30" i="1"/>
  <c r="H44" i="1"/>
  <c r="H67" i="1"/>
  <c r="H69" i="1"/>
  <c r="H15" i="1"/>
  <c r="H17" i="1"/>
  <c r="H7" i="1"/>
  <c r="H3" i="1"/>
  <c r="H4" i="1"/>
</calcChain>
</file>

<file path=xl/sharedStrings.xml><?xml version="1.0" encoding="utf-8"?>
<sst xmlns="http://schemas.openxmlformats.org/spreadsheetml/2006/main" count="176" uniqueCount="164">
  <si>
    <t>Metathesis</t>
  </si>
  <si>
    <t>Vowel  nasalization</t>
  </si>
  <si>
    <t xml:space="preserve">Glottalization(substitution of [ʕ] with [ʔ]), </t>
  </si>
  <si>
    <t>Glottalization(substitution of [ɣ] with [ʔ])</t>
  </si>
  <si>
    <t>Glottalization(substitution of [dˤ] with [ʔ]),</t>
  </si>
  <si>
    <t>Glottalization(insertion of  [ʔ] phone)</t>
  </si>
  <si>
    <t>substitution of [l] with [ɻ]</t>
  </si>
  <si>
    <t>substitution of [n] with [ʕ]</t>
  </si>
  <si>
    <t>substitution of [ʔ]with [n]</t>
  </si>
  <si>
    <t>voicing (substitution of[θ] with [ð])</t>
  </si>
  <si>
    <t>Epenthesis(insertion of [ æ] phone between consonant cluster)</t>
  </si>
  <si>
    <t>Epenthesis(insertion of [ ɑ] phone between consonant cluster)</t>
  </si>
  <si>
    <t xml:space="preserve">Aspiration ( substitution of [k]with [kʰ]) , </t>
  </si>
  <si>
    <t xml:space="preserve">Aspiration ( substitution of [t]with [tʰ]) </t>
  </si>
  <si>
    <t>substitution of [ tˤ] with [sˤ]</t>
  </si>
  <si>
    <t xml:space="preserve">depharyngealization(substitution of [sˤ] with [s]), </t>
  </si>
  <si>
    <t>depharyngealization(substitution of [dˤ] with [d]),</t>
  </si>
  <si>
    <t>depharyngealization and aspiration (substitution of [tˤ] with [tʰ]),</t>
  </si>
  <si>
    <t>Devoicing(substitution of [d͡ʒ] with [t͡ʃ])</t>
  </si>
  <si>
    <t>degemination(reduce consonant cluster to one single consonant)</t>
  </si>
  <si>
    <t>substitution of [ħ]with [h]</t>
  </si>
  <si>
    <t>substitution of [h]with [ħ]</t>
  </si>
  <si>
    <t>Epenthesis(insert vowel [ʊ] between  consnant cluster)</t>
  </si>
  <si>
    <t>Epenthesis(insert diphthong [i:] between  consnant cluster)</t>
  </si>
  <si>
    <t>devoicing(substitution of [d]with [t])</t>
  </si>
  <si>
    <t>devoicing(substitution of [b]with [p]), Aspiration ( substitution of [p]with [pʰ]) ,</t>
  </si>
  <si>
    <t>devoicing(substitution of [d]with [t]), Aspiration ( substitution of [t]with [tʰ]) ,</t>
  </si>
  <si>
    <t>syllable structure process (consonant deletion of  [ʕ] phone)</t>
  </si>
  <si>
    <t>syllable structure process (consonant insertion of  [d ] phone preceding [r] phone)</t>
  </si>
  <si>
    <t>syllable structure process (consonant insertion of  [ʔæd ] phones preceding [r] phone)</t>
  </si>
  <si>
    <t>interdentalization(substitution of [z] with [ð])</t>
  </si>
  <si>
    <t>Definite Article deletion</t>
  </si>
  <si>
    <t>consonant deletion  of [ʔ] phone affected by colloquial Arabic</t>
  </si>
  <si>
    <t>colloquial Arabic word</t>
  </si>
  <si>
    <t>consonant insertion of  [h] phone in final position</t>
  </si>
  <si>
    <t>Deletion of feminine marker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</si>
  <si>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</si>
  <si>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</si>
  <si>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</si>
  <si>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</si>
  <si>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</si>
  <si>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</si>
  <si>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</si>
  <si>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</si>
  <si>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</si>
  <si>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</si>
  <si>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</si>
  <si>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</si>
  <si>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</si>
  <si>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</si>
  <si>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</si>
  <si>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</si>
  <si>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</si>
  <si>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</si>
  <si>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</si>
  <si>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</si>
  <si>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</si>
  <si>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</si>
  <si>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</si>
  <si>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</si>
  <si>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</si>
  <si>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</si>
  <si>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</si>
  <si>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</si>
  <si>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</si>
  <si>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</si>
  <si>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</si>
  <si>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</si>
  <si>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</si>
  <si>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</si>
  <si>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</si>
  <si>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</si>
  <si>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</si>
  <si>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</si>
  <si>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</si>
  <si>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</si>
  <si>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</si>
  <si>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</si>
  <si>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</si>
  <si>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</si>
  <si>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</si>
  <si>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</si>
  <si>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</si>
  <si>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</si>
  <si>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</si>
  <si>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</si>
  <si>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</si>
  <si>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</si>
  <si>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</si>
  <si>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</si>
  <si>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</si>
  <si>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</si>
  <si>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 xml:space="preserve">depharyngealization  (substitution of [tˤ] with [t]) </t>
  </si>
  <si>
    <t xml:space="preserve">devoicing(substitution of [d]with [d̥])  </t>
  </si>
  <si>
    <t xml:space="preserve">syllable structure process (first syllable deletion)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</si>
  <si>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</si>
  <si>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</si>
  <si>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[s] phone changes to  [ʃ]  phone to become  similar to the nearby  phone[t͡ʃ])</t>
  </si>
  <si>
    <t>assimilation (the  [l] phone changes to  [m]  phone to become  similar to the nearby  phone[n])</t>
  </si>
  <si>
    <t>stopping(substitution of[ðˤ] with [tˤ]),</t>
  </si>
  <si>
    <t>substitution of [ʕ]with [d]</t>
  </si>
  <si>
    <t>syllable structure process (consonant deletion of  [d] phone)</t>
  </si>
  <si>
    <t>[l]</t>
  </si>
  <si>
    <t>[r]</t>
  </si>
  <si>
    <t>[n]</t>
  </si>
  <si>
    <t>[ɻ]</t>
  </si>
  <si>
    <t>[t͡ʃ]</t>
  </si>
  <si>
    <t>[ð]</t>
  </si>
  <si>
    <t>[s]</t>
  </si>
  <si>
    <t>[tˤ]</t>
  </si>
  <si>
    <t>[kʰ]</t>
  </si>
  <si>
    <t>[d͡ʒ̥]</t>
  </si>
  <si>
    <t>[ʔ]</t>
  </si>
  <si>
    <t>[d]</t>
  </si>
  <si>
    <t>[ʕ]</t>
  </si>
  <si>
    <t>[h]</t>
  </si>
  <si>
    <t>[ħ]</t>
  </si>
  <si>
    <t>[m]</t>
  </si>
  <si>
    <t>[pʰ]</t>
  </si>
  <si>
    <t>[t]</t>
  </si>
  <si>
    <t>[tʰ]</t>
  </si>
  <si>
    <t>[sˤ]</t>
  </si>
  <si>
    <t>[d̥]</t>
  </si>
  <si>
    <t>[ʃ]</t>
  </si>
  <si>
    <t>[-]</t>
  </si>
  <si>
    <t>substitution of [m]with [n]</t>
  </si>
  <si>
    <t>syllable structure process (consonant deletion of  [m] phone)</t>
  </si>
  <si>
    <t>percentage</t>
  </si>
  <si>
    <t>gemination</t>
  </si>
  <si>
    <t>letter</t>
  </si>
  <si>
    <t>total</t>
  </si>
  <si>
    <t>arabic letter</t>
  </si>
  <si>
    <t>phonological_processes</t>
  </si>
  <si>
    <t>allpohone</t>
  </si>
  <si>
    <t>number of error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</si>
  <si>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</si>
  <si>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</si>
  <si>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</si>
  <si>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</si>
  <si>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</si>
  <si>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</si>
  <si>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</si>
  <si>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</si>
  <si>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</si>
  <si>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g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</si>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</sst>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wrapText="1"/>
    </xf>
    <xf numFmtId="0" fontId="1" fillId="9" borderId="1" xfId="8" applyBorder="1"/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12" fillId="3" borderId="1" xfId="2" applyFont="1" applyBorder="1" applyAlignment="1">
      <alignment vertical="center" wrapText="1"/>
    </xf>
    <xf numFmtId="0" fontId="12" fillId="2" borderId="1" xfId="1" applyFont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4" borderId="1" xfId="3" applyFont="1" applyBorder="1" applyAlignment="1">
      <alignment vertical="center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1" fillId="7" borderId="1" xfId="6" applyBorder="1" applyAlignment="1">
      <alignment vertical="center" wrapText="1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" fillId="5" borderId="1" xfId="4" applyBorder="1" applyAlignment="1">
      <alignment vertical="center"/>
    </xf>
    <xf numFmtId="0" fontId="12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0" fillId="6" borderId="1" xfId="5" applyFont="1" applyBorder="1" applyAlignment="1">
      <alignment vertical="center" wrapText="1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12" fillId="4" borderId="1" xfId="3" applyFont="1" applyBorder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1" fillId="10" borderId="1" xfId="9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0" fontId="0" fillId="0" borderId="1" xfId="0" applyNumberFormat="1" applyBorder="1"/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/>
    <xf numFmtId="10" fontId="3" fillId="3" borderId="1" xfId="2" applyNumberFormat="1" applyBorder="1"/>
    <xf numFmtId="10" fontId="2" fillId="2" borderId="1" xfId="1" applyNumberFormat="1" applyBorder="1" applyAlignment="1">
      <alignment vertical="center"/>
    </xf>
    <xf numFmtId="10" fontId="1" fillId="9" borderId="1" xfId="8" applyNumberFormat="1" applyBorder="1" applyAlignment="1">
      <alignment vertical="center"/>
    </xf>
    <xf numFmtId="10" fontId="5" fillId="4" borderId="1" xfId="3" applyNumberFormat="1" applyFon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1" fillId="10" borderId="1" xfId="9" applyNumberFormat="1" applyBorder="1" applyAlignment="1">
      <alignment vertical="center"/>
    </xf>
    <xf numFmtId="10" fontId="0" fillId="0" borderId="0" xfId="0" applyNumberFormat="1"/>
    <xf numFmtId="0" fontId="0" fillId="5" borderId="1" xfId="4" applyFont="1" applyBorder="1" applyAlignment="1">
      <alignment vertical="center" wrapText="1"/>
    </xf>
    <xf numFmtId="10" fontId="0" fillId="0" borderId="0" xfId="10" applyNumberFormat="1" applyFont="1"/>
    <xf numFmtId="10" fontId="0" fillId="0" borderId="1" xfId="10" applyNumberFormat="1" applyFont="1" applyBorder="1"/>
    <xf numFmtId="0" fontId="2" fillId="2" borderId="3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 wrapText="1" readingOrder="2"/>
    </xf>
    <xf numFmtId="0" fontId="1" fillId="7" borderId="1" xfId="6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0" fontId="15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0" fontId="16" fillId="4" borderId="1" xfId="3" applyFont="1" applyBorder="1" applyAlignment="1">
      <alignment horizontal="center" vertical="center"/>
    </xf>
    <xf numFmtId="0" fontId="17" fillId="3" borderId="1" xfId="2" applyFont="1" applyBorder="1" applyAlignment="1">
      <alignment horizontal="center" vertical="center"/>
    </xf>
    <xf numFmtId="0" fontId="18" fillId="2" borderId="1" xfId="1" applyFont="1" applyBorder="1" applyAlignment="1">
      <alignment horizontal="center" vertical="center"/>
    </xf>
    <xf numFmtId="0" fontId="14" fillId="9" borderId="1" xfId="8" applyFont="1" applyBorder="1" applyAlignment="1">
      <alignment horizontal="center" vertical="center"/>
    </xf>
    <xf numFmtId="0" fontId="14" fillId="7" borderId="1" xfId="6" applyFont="1" applyBorder="1" applyAlignment="1">
      <alignment horizontal="center" vertical="center"/>
    </xf>
    <xf numFmtId="0" fontId="14" fillId="5" borderId="1" xfId="4" applyFont="1" applyBorder="1" applyAlignment="1">
      <alignment horizontal="center" vertical="center"/>
    </xf>
    <xf numFmtId="0" fontId="14" fillId="6" borderId="1" xfId="5" applyFont="1" applyBorder="1" applyAlignment="1">
      <alignment horizontal="center" vertical="center"/>
    </xf>
    <xf numFmtId="0" fontId="14" fillId="8" borderId="1" xfId="7" applyFont="1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4" fillId="7" borderId="2" xfId="6" applyFont="1" applyBorder="1" applyAlignment="1">
      <alignment horizontal="center" vertical="center"/>
    </xf>
    <xf numFmtId="0" fontId="18" fillId="2" borderId="3" xfId="1" applyFont="1" applyBorder="1" applyAlignment="1">
      <alignment horizontal="center" vertical="center"/>
    </xf>
  </cellXfs>
  <cellStyles count="11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Sheet1!$F$2:$F$4</c:f>
              <c:strCache>
                <c:ptCount val="3"/>
                <c:pt idx="0">
                  <c:v>[l]</c:v>
                </c:pt>
                <c:pt idx="1">
                  <c:v>[r]</c:v>
                </c:pt>
                <c:pt idx="2">
                  <c:v>[r]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5-40B6-8A72-8FD8070F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801472"/>
        <c:axId val="83480438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Sheet1!$F$2:$F$4</c:f>
              <c:strCache>
                <c:ptCount val="3"/>
                <c:pt idx="0">
                  <c:v>[l]</c:v>
                </c:pt>
                <c:pt idx="1">
                  <c:v>[r]</c:v>
                </c:pt>
                <c:pt idx="2">
                  <c:v>[r]</c:v>
                </c:pt>
              </c:strCache>
            </c:strRef>
          </c:cat>
          <c:val>
            <c:numRef>
              <c:f>Sheet1!$H$2:$H$4</c:f>
              <c:numCache>
                <c:formatCode>0.00%</c:formatCode>
                <c:ptCount val="3"/>
                <c:pt idx="0">
                  <c:v>0.21428571428571427</c:v>
                </c:pt>
                <c:pt idx="1">
                  <c:v>7.1428571428571425E-2</c:v>
                </c:pt>
                <c:pt idx="2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B5-40B6-8A72-8FD8070F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805216"/>
        <c:axId val="834802720"/>
      </c:lineChart>
      <c:catAx>
        <c:axId val="8348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04384"/>
        <c:crosses val="autoZero"/>
        <c:auto val="1"/>
        <c:lblAlgn val="ctr"/>
        <c:lblOffset val="100"/>
        <c:noMultiLvlLbl val="0"/>
      </c:catAx>
      <c:valAx>
        <c:axId val="83480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01472"/>
        <c:crosses val="autoZero"/>
        <c:crossBetween val="between"/>
      </c:valAx>
      <c:valAx>
        <c:axId val="83480272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05216"/>
        <c:crosses val="max"/>
        <c:crossBetween val="between"/>
      </c:valAx>
      <c:catAx>
        <c:axId val="834805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4802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Sheet1!$F$6:$F$7</c:f>
              <c:strCache>
                <c:ptCount val="2"/>
                <c:pt idx="0">
                  <c:v>[m]</c:v>
                </c:pt>
                <c:pt idx="1">
                  <c:v>[ɻ]</c:v>
                </c:pt>
              </c:strCache>
            </c:strRef>
          </c:cat>
          <c:val>
            <c:numRef>
              <c:f>Sheet1!$G$6:$G$7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E-42D2-96AA-29E54206B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988064"/>
        <c:axId val="84799680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Sheet1!$F$6:$F$7</c:f>
              <c:strCache>
                <c:ptCount val="2"/>
                <c:pt idx="0">
                  <c:v>[m]</c:v>
                </c:pt>
                <c:pt idx="1">
                  <c:v>[ɻ]</c:v>
                </c:pt>
              </c:strCache>
            </c:strRef>
          </c:cat>
          <c:val>
            <c:numRef>
              <c:f>Sheet1!$H$6:$H$7</c:f>
              <c:numCache>
                <c:formatCode>0.00%</c:formatCode>
                <c:ptCount val="2"/>
                <c:pt idx="0">
                  <c:v>2.3809523809523808E-2</c:v>
                </c:pt>
                <c:pt idx="1">
                  <c:v>2.3809523809523808E-2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EE-42D2-96AA-29E54206B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988896"/>
        <c:axId val="847990560"/>
      </c:lineChart>
      <c:catAx>
        <c:axId val="8479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96800"/>
        <c:crosses val="autoZero"/>
        <c:auto val="1"/>
        <c:lblAlgn val="ctr"/>
        <c:lblOffset val="100"/>
        <c:noMultiLvlLbl val="0"/>
      </c:catAx>
      <c:valAx>
        <c:axId val="84799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88064"/>
        <c:crosses val="autoZero"/>
        <c:crossBetween val="between"/>
      </c:valAx>
      <c:valAx>
        <c:axId val="84799056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88896"/>
        <c:crosses val="max"/>
        <c:crossBetween val="between"/>
      </c:valAx>
      <c:catAx>
        <c:axId val="847988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799056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</c:f>
              <c:strCache>
                <c:ptCount val="1"/>
                <c:pt idx="0">
                  <c:v>[ʃ]</c:v>
                </c:pt>
              </c:strCache>
            </c:strRef>
          </c:cat>
          <c:val>
            <c:numRef>
              <c:f>Sheet1!$G$9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9-4509-B12C-67B44EAC348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Sheet1!$F$9</c:f>
              <c:strCache>
                <c:ptCount val="1"/>
                <c:pt idx="0">
                  <c:v>[ʃ]</c:v>
                </c:pt>
              </c:strCache>
            </c:strRef>
          </c:cat>
          <c:val>
            <c:numRef>
              <c:f>Sheet1!$H$9</c:f>
              <c:numCache>
                <c:formatCode>0.00%</c:formatCode>
                <c:ptCount val="1"/>
                <c:pt idx="0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9-4509-B12C-67B44EAC3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414512"/>
        <c:axId val="952419920"/>
      </c:barChart>
      <c:catAx>
        <c:axId val="95241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19920"/>
        <c:crosses val="autoZero"/>
        <c:auto val="1"/>
        <c:lblAlgn val="ctr"/>
        <c:lblOffset val="100"/>
        <c:noMultiLvlLbl val="0"/>
      </c:catAx>
      <c:valAx>
        <c:axId val="95241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14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Sheet1!$F$11</c:f>
              <c:strCache>
                <c:ptCount val="1"/>
                <c:pt idx="0">
                  <c:v>[ð]</c:v>
                </c:pt>
              </c:strCache>
            </c:strRef>
          </c:cat>
          <c:val>
            <c:numRef>
              <c:f>Sheet1!$G$11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D-4904-8690-02507AB0689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Sheet1!$F$11</c:f>
              <c:strCache>
                <c:ptCount val="1"/>
                <c:pt idx="0">
                  <c:v>[ð]</c:v>
                </c:pt>
              </c:strCache>
            </c:strRef>
          </c:cat>
          <c:val>
            <c:numRef>
              <c:f>Sheet1!$H$11</c:f>
              <c:numCache>
                <c:formatCode>0.00%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D-4904-8690-02507AB0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993888"/>
        <c:axId val="847994304"/>
      </c:barChart>
      <c:catAx>
        <c:axId val="847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94304"/>
        <c:crosses val="autoZero"/>
        <c:auto val="1"/>
        <c:lblAlgn val="ctr"/>
        <c:lblOffset val="100"/>
        <c:noMultiLvlLbl val="0"/>
      </c:catAx>
      <c:valAx>
        <c:axId val="84799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93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Sheet1!$F$13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9-4EB1-89AB-7D37DAC79BA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Sheet1!$F$13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Sheet1!$H$13</c:f>
              <c:numCache>
                <c:formatCode>0.00%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9-4EB1-89AB-7D37DAC79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725696"/>
        <c:axId val="957726944"/>
      </c:barChart>
      <c:catAx>
        <c:axId val="95772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26944"/>
        <c:crosses val="autoZero"/>
        <c:auto val="1"/>
        <c:lblAlgn val="ctr"/>
        <c:lblOffset val="100"/>
        <c:noMultiLvlLbl val="0"/>
      </c:catAx>
      <c:valAx>
        <c:axId val="95772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25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Sheet1!$F$17</c:f>
              <c:strCache>
                <c:ptCount val="1"/>
                <c:pt idx="0">
                  <c:v>[tˤ]</c:v>
                </c:pt>
              </c:strCache>
            </c:strRef>
          </c:cat>
          <c:val>
            <c:numRef>
              <c:f>Sheet1!$G$17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4-4F08-8F81-30B782C347F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Sheet1!$F$17</c:f>
              <c:strCache>
                <c:ptCount val="1"/>
                <c:pt idx="0">
                  <c:v>[tˤ]</c:v>
                </c:pt>
              </c:strCache>
            </c:strRef>
          </c:cat>
          <c:val>
            <c:numRef>
              <c:f>Sheet1!$H$17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F4-4F08-8F81-30B782C34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722784"/>
        <c:axId val="957727360"/>
      </c:barChart>
      <c:catAx>
        <c:axId val="95772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27360"/>
        <c:crosses val="autoZero"/>
        <c:auto val="1"/>
        <c:lblAlgn val="ctr"/>
        <c:lblOffset val="100"/>
        <c:noMultiLvlLbl val="0"/>
      </c:catAx>
      <c:valAx>
        <c:axId val="95772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227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Sheet1!$F$21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3-47F1-B9F1-047AAAB75FE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Sheet1!$F$21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Sheet1!$H$21</c:f>
              <c:numCache>
                <c:formatCode>0.00%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3-47F1-B9F1-047AAAB75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407856"/>
        <c:axId val="952410768"/>
      </c:barChart>
      <c:catAx>
        <c:axId val="9524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10768"/>
        <c:crosses val="autoZero"/>
        <c:auto val="1"/>
        <c:lblAlgn val="ctr"/>
        <c:lblOffset val="100"/>
        <c:noMultiLvlLbl val="0"/>
      </c:catAx>
      <c:valAx>
        <c:axId val="95241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07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Sheet1!$F$23:$F$24</c:f>
              <c:strCache>
                <c:ptCount val="2"/>
                <c:pt idx="0">
                  <c:v>[d͡ʒ̥]</c:v>
                </c:pt>
                <c:pt idx="1">
                  <c:v>[t͡ʃ]</c:v>
                </c:pt>
              </c:strCache>
            </c:strRef>
          </c:cat>
          <c:val>
            <c:numRef>
              <c:f>Sheet1!$G$23:$G$24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A-45D3-9D24-4C5691EFD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987776"/>
        <c:axId val="93898736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Sheet1!$F$23:$F$24</c:f>
              <c:strCache>
                <c:ptCount val="2"/>
                <c:pt idx="0">
                  <c:v>[d͡ʒ̥]</c:v>
                </c:pt>
                <c:pt idx="1">
                  <c:v>[t͡ʃ]</c:v>
                </c:pt>
              </c:strCache>
            </c:strRef>
          </c:cat>
          <c:val>
            <c:numRef>
              <c:f>Sheet1!$H$23:$H$24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BA-45D3-9D24-4C5691EFD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987776"/>
        <c:axId val="938987360"/>
      </c:lineChart>
      <c:catAx>
        <c:axId val="9389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87360"/>
        <c:crosses val="autoZero"/>
        <c:auto val="1"/>
        <c:lblAlgn val="ctr"/>
        <c:lblOffset val="100"/>
        <c:noMultiLvlLbl val="0"/>
      </c:catAx>
      <c:valAx>
        <c:axId val="9389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87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accent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Sheet1!$F$32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Sheet1!$G$32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4-452E-AEF5-F6F0E9C00FC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Sheet1!$F$32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Sheet1!$H$32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C4-452E-AEF5-F6F0E9C00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985152"/>
        <c:axId val="847997632"/>
      </c:barChart>
      <c:catAx>
        <c:axId val="84798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97632"/>
        <c:crosses val="autoZero"/>
        <c:auto val="1"/>
        <c:lblAlgn val="ctr"/>
        <c:lblOffset val="100"/>
        <c:noMultiLvlLbl val="0"/>
      </c:catAx>
      <c:valAx>
        <c:axId val="8479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851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Sheet1!$F$34:$F$36</c:f>
              <c:strCache>
                <c:ptCount val="3"/>
                <c:pt idx="0">
                  <c:v>[ʔ]</c:v>
                </c:pt>
                <c:pt idx="1">
                  <c:v>[d]</c:v>
                </c:pt>
                <c:pt idx="2">
                  <c:v>[-]</c:v>
                </c:pt>
              </c:strCache>
            </c:strRef>
          </c:cat>
          <c:val>
            <c:numRef>
              <c:f>Sheet1!$G$34:$G$36</c:f>
              <c:numCache>
                <c:formatCode>General</c:formatCode>
                <c:ptCount val="3"/>
                <c:pt idx="0">
                  <c:v>7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A-4F8B-B24A-BAAC3103D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991104"/>
        <c:axId val="93898070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Sheet1!$F$34:$F$36</c:f>
              <c:strCache>
                <c:ptCount val="3"/>
                <c:pt idx="0">
                  <c:v>[ʔ]</c:v>
                </c:pt>
                <c:pt idx="1">
                  <c:v>[d]</c:v>
                </c:pt>
                <c:pt idx="2">
                  <c:v>[-]</c:v>
                </c:pt>
              </c:strCache>
            </c:strRef>
          </c:cat>
          <c:val>
            <c:numRef>
              <c:f>Sheet1!$H$34:$H$36</c:f>
              <c:numCache>
                <c:formatCode>0.00%</c:formatCode>
                <c:ptCount val="3"/>
                <c:pt idx="0">
                  <c:v>0.5</c:v>
                </c:pt>
                <c:pt idx="1">
                  <c:v>7.1428571428571425E-2</c:v>
                </c:pt>
                <c:pt idx="2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A-4F8B-B24A-BAAC3103D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407024"/>
        <c:axId val="938991520"/>
      </c:lineChart>
      <c:catAx>
        <c:axId val="93899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80704"/>
        <c:crosses val="autoZero"/>
        <c:auto val="1"/>
        <c:lblAlgn val="ctr"/>
        <c:lblOffset val="100"/>
        <c:noMultiLvlLbl val="0"/>
      </c:catAx>
      <c:valAx>
        <c:axId val="9389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91104"/>
        <c:crosses val="autoZero"/>
        <c:crossBetween val="between"/>
      </c:valAx>
      <c:valAx>
        <c:axId val="93899152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07024"/>
        <c:crosses val="max"/>
        <c:crossBetween val="between"/>
      </c:valAx>
      <c:catAx>
        <c:axId val="952407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89915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>
        <c:manualLayout>
          <c:xMode val="edge"/>
          <c:yMode val="edge"/>
          <c:x val="0.47459011373578303"/>
          <c:y val="3.5523978685612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Sheet1!$F$38</c:f>
              <c:strCache>
                <c:ptCount val="1"/>
                <c:pt idx="0">
                  <c:v>[h]</c:v>
                </c:pt>
              </c:strCache>
            </c:strRef>
          </c:cat>
          <c:val>
            <c:numRef>
              <c:f>Sheet1!$G$38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F-433A-9C0F-1085A0FC351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Sheet1!$F$38</c:f>
              <c:strCache>
                <c:ptCount val="1"/>
                <c:pt idx="0">
                  <c:v>[h]</c:v>
                </c:pt>
              </c:strCache>
            </c:strRef>
          </c:cat>
          <c:val>
            <c:numRef>
              <c:f>Sheet1!$H$38</c:f>
              <c:numCache>
                <c:formatCode>0.00%</c:formatCode>
                <c:ptCount val="1"/>
                <c:pt idx="0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3F-433A-9C0F-1085A0FC3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038304"/>
        <c:axId val="847039136"/>
      </c:barChart>
      <c:catAx>
        <c:axId val="84703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039136"/>
        <c:crosses val="autoZero"/>
        <c:auto val="1"/>
        <c:lblAlgn val="ctr"/>
        <c:lblOffset val="100"/>
        <c:noMultiLvlLbl val="0"/>
      </c:catAx>
      <c:valAx>
        <c:axId val="8470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038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Sheet1!$F$40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Sheet1!$G$40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8-4701-838C-DCA01BB217D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Sheet1!$F$40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Sheet1!$H$40</c:f>
              <c:numCache>
                <c:formatCode>0.00%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8-4701-838C-DCA01BB21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406192"/>
        <c:axId val="952417840"/>
      </c:barChart>
      <c:catAx>
        <c:axId val="95240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17840"/>
        <c:crosses val="autoZero"/>
        <c:auto val="1"/>
        <c:lblAlgn val="ctr"/>
        <c:lblOffset val="100"/>
        <c:noMultiLvlLbl val="0"/>
      </c:catAx>
      <c:valAx>
        <c:axId val="95241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06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Sheet1!$F$42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Sheet1!$G$42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B-457C-BA82-ACED3573124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Sheet1!$F$42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Sheet1!$H$42</c:f>
              <c:numCache>
                <c:formatCode>0.00%</c:formatCode>
                <c:ptCount val="1"/>
                <c:pt idx="0">
                  <c:v>2.564102564102564E-2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B-457C-BA82-ACED35731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723200"/>
        <c:axId val="957724448"/>
      </c:barChart>
      <c:catAx>
        <c:axId val="95772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24448"/>
        <c:crosses val="autoZero"/>
        <c:auto val="1"/>
        <c:lblAlgn val="ctr"/>
        <c:lblOffset val="100"/>
        <c:noMultiLvlLbl val="0"/>
      </c:catAx>
      <c:valAx>
        <c:axId val="9577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23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Sheet1!$F$46</c:f>
              <c:strCache>
                <c:ptCount val="1"/>
                <c:pt idx="0">
                  <c:v>[ʕ]</c:v>
                </c:pt>
              </c:strCache>
            </c:strRef>
          </c:cat>
          <c:val>
            <c:numRef>
              <c:f>Sheet1!$G$46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7-4485-8D7B-462F2CBE5AE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Sheet1!$F$46</c:f>
              <c:strCache>
                <c:ptCount val="1"/>
                <c:pt idx="0">
                  <c:v>[ʕ]</c:v>
                </c:pt>
              </c:strCache>
            </c:strRef>
          </c:cat>
          <c:val>
            <c:numRef>
              <c:f>Sheet1!$H$46</c:f>
              <c:numCache>
                <c:formatCode>0.00%</c:formatCode>
                <c:ptCount val="1"/>
                <c:pt idx="0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7-4485-8D7B-462F2CBE5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413264"/>
        <c:axId val="952418256"/>
      </c:barChart>
      <c:catAx>
        <c:axId val="95241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18256"/>
        <c:crosses val="autoZero"/>
        <c:auto val="1"/>
        <c:lblAlgn val="ctr"/>
        <c:lblOffset val="100"/>
        <c:noMultiLvlLbl val="0"/>
      </c:catAx>
      <c:valAx>
        <c:axId val="9524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132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[m]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16688538932635"/>
          <c:y val="0.1902314814814815"/>
          <c:w val="0.70107152230971126"/>
          <c:h val="0.5021916010498688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Sheet1!$F$48:$F$49</c:f>
              <c:strCache>
                <c:ptCount val="2"/>
                <c:pt idx="0">
                  <c:v>[m]</c:v>
                </c:pt>
                <c:pt idx="1">
                  <c:v>[-]</c:v>
                </c:pt>
              </c:strCache>
            </c:strRef>
          </c:cat>
          <c:val>
            <c:numRef>
              <c:f>Sheet1!$G$48:$G$49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A-43D5-9CB9-C621F3E9D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986400"/>
        <c:axId val="84799097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Sheet1!$F$48:$F$49</c:f>
              <c:strCache>
                <c:ptCount val="2"/>
                <c:pt idx="0">
                  <c:v>[m]</c:v>
                </c:pt>
                <c:pt idx="1">
                  <c:v>[-]</c:v>
                </c:pt>
              </c:strCache>
            </c:strRef>
          </c:cat>
          <c:val>
            <c:numRef>
              <c:f>Sheet1!$H$48:$H$49</c:f>
              <c:numCache>
                <c:formatCode>0.00%</c:formatCode>
                <c:ptCount val="2"/>
                <c:pt idx="0">
                  <c:v>5.8823529411764705E-2</c:v>
                </c:pt>
                <c:pt idx="1">
                  <c:v>5.8823529411764705E-2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A-43D5-9CB9-C621F3E9D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991808"/>
        <c:axId val="847987648"/>
      </c:lineChart>
      <c:catAx>
        <c:axId val="84798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90976"/>
        <c:crosses val="autoZero"/>
        <c:auto val="1"/>
        <c:lblAlgn val="ctr"/>
        <c:lblOffset val="100"/>
        <c:noMultiLvlLbl val="0"/>
      </c:catAx>
      <c:valAx>
        <c:axId val="8479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86400"/>
        <c:crosses val="autoZero"/>
        <c:crossBetween val="between"/>
      </c:valAx>
      <c:valAx>
        <c:axId val="84798764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91808"/>
        <c:crosses val="max"/>
        <c:crossBetween val="between"/>
      </c:valAx>
      <c:catAx>
        <c:axId val="847991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7987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Sheet1!$F$51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Sheet1!$G$51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7-465A-9A61-2C049A57B0A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Sheet1!$F$51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Sheet1!$H$51</c:f>
              <c:numCache>
                <c:formatCode>0.00%</c:formatCode>
                <c:ptCount val="1"/>
                <c:pt idx="0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7-465A-9A61-2C049A57B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724032"/>
        <c:axId val="957729440"/>
      </c:barChart>
      <c:catAx>
        <c:axId val="95772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29440"/>
        <c:crosses val="autoZero"/>
        <c:auto val="1"/>
        <c:lblAlgn val="ctr"/>
        <c:lblOffset val="100"/>
        <c:noMultiLvlLbl val="0"/>
      </c:catAx>
      <c:valAx>
        <c:axId val="95772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240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Sheet1!$F$53:$F$55</c:f>
              <c:strCache>
                <c:ptCount val="3"/>
                <c:pt idx="0">
                  <c:v>[t]</c:v>
                </c:pt>
                <c:pt idx="1">
                  <c:v>[tʰ]</c:v>
                </c:pt>
                <c:pt idx="2">
                  <c:v>[sˤ]</c:v>
                </c:pt>
              </c:strCache>
            </c:strRef>
          </c:cat>
          <c:val>
            <c:numRef>
              <c:f>Sheet1!$G$53:$G$55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D-43BA-956B-C8650829C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419504"/>
        <c:axId val="95241368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Sheet1!$F$53:$F$55</c:f>
              <c:strCache>
                <c:ptCount val="3"/>
                <c:pt idx="0">
                  <c:v>[t]</c:v>
                </c:pt>
                <c:pt idx="1">
                  <c:v>[tʰ]</c:v>
                </c:pt>
                <c:pt idx="2">
                  <c:v>[sˤ]</c:v>
                </c:pt>
              </c:strCache>
            </c:strRef>
          </c:cat>
          <c:val>
            <c:numRef>
              <c:f>Sheet1!$H$53:$H$55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0.22222222222222221</c:v>
                </c:pt>
                <c:pt idx="2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8D-43BA-956B-C8650829C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419504"/>
        <c:axId val="952413680"/>
      </c:lineChart>
      <c:catAx>
        <c:axId val="95241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13680"/>
        <c:crosses val="autoZero"/>
        <c:auto val="1"/>
        <c:lblAlgn val="ctr"/>
        <c:lblOffset val="100"/>
        <c:noMultiLvlLbl val="0"/>
      </c:catAx>
      <c:valAx>
        <c:axId val="9524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19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 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Sheet1!$F$57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Sheet1!$G$57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3-4179-80D2-B1E84B99EF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Sheet1!$F$57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Sheet1!$H$57</c:f>
              <c:numCache>
                <c:formatCode>0.00%</c:formatCode>
                <c:ptCount val="1"/>
                <c:pt idx="0">
                  <c:v>0.27777777777777779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3-4179-80D2-B1E84B99E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988480"/>
        <c:axId val="847997216"/>
      </c:barChart>
      <c:catAx>
        <c:axId val="84798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97216"/>
        <c:crosses val="autoZero"/>
        <c:auto val="1"/>
        <c:lblAlgn val="ctr"/>
        <c:lblOffset val="100"/>
        <c:noMultiLvlLbl val="0"/>
      </c:catAx>
      <c:valAx>
        <c:axId val="8479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88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Sheet1!$F$59:$F$62</c:f>
              <c:strCache>
                <c:ptCount val="4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  <c:pt idx="3">
                  <c:v>[-]</c:v>
                </c:pt>
              </c:strCache>
            </c:strRef>
          </c:cat>
          <c:val>
            <c:numRef>
              <c:f>Sheet1!$G$59:$G$62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0-479F-B66C-9071149F9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724864"/>
        <c:axId val="95772652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Sheet1!$F$59:$F$62</c:f>
              <c:strCache>
                <c:ptCount val="4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  <c:pt idx="3">
                  <c:v>[-]</c:v>
                </c:pt>
              </c:strCache>
            </c:strRef>
          </c:cat>
          <c:val>
            <c:numRef>
              <c:f>Sheet1!$H$59:$H$62</c:f>
              <c:numCache>
                <c:formatCode>0.00%</c:formatCode>
                <c:ptCount val="4"/>
                <c:pt idx="0">
                  <c:v>0.2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0-479F-B66C-9071149F9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724864"/>
        <c:axId val="957726528"/>
      </c:lineChart>
      <c:catAx>
        <c:axId val="95772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26528"/>
        <c:crosses val="autoZero"/>
        <c:auto val="1"/>
        <c:lblAlgn val="ctr"/>
        <c:lblOffset val="100"/>
        <c:noMultiLvlLbl val="0"/>
      </c:catAx>
      <c:valAx>
        <c:axId val="95772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24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Sheet1!$F$64:$F$65</c:f>
              <c:strCache>
                <c:ptCount val="2"/>
                <c:pt idx="0">
                  <c:v>[d]</c:v>
                </c:pt>
                <c:pt idx="1">
                  <c:v>[ʔ]</c:v>
                </c:pt>
              </c:strCache>
            </c:strRef>
          </c:cat>
          <c:val>
            <c:numRef>
              <c:f>Sheet1!$G$64:$G$65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C-487E-A5CC-F02B62919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748880"/>
        <c:axId val="94673723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Sheet1!$F$64:$F$65</c:f>
              <c:strCache>
                <c:ptCount val="2"/>
                <c:pt idx="0">
                  <c:v>[d]</c:v>
                </c:pt>
                <c:pt idx="1">
                  <c:v>[ʔ]</c:v>
                </c:pt>
              </c:strCache>
            </c:strRef>
          </c:cat>
          <c:val>
            <c:numRef>
              <c:f>Sheet1!$H$64:$H$65</c:f>
              <c:numCache>
                <c:formatCode>0.00%</c:formatCode>
                <c:ptCount val="2"/>
                <c:pt idx="0">
                  <c:v>0.33333333333333331</c:v>
                </c:pt>
                <c:pt idx="1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1C-487E-A5CC-F02B62919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748880"/>
        <c:axId val="946737232"/>
      </c:lineChart>
      <c:catAx>
        <c:axId val="94674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37232"/>
        <c:crosses val="autoZero"/>
        <c:auto val="1"/>
        <c:lblAlgn val="ctr"/>
        <c:lblOffset val="100"/>
        <c:noMultiLvlLbl val="0"/>
      </c:catAx>
      <c:valAx>
        <c:axId val="94673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48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</a:t>
            </a:r>
            <a:r>
              <a:rPr lang="en-US" baseline="0"/>
              <a:t> structure processes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Sheet2!$D$2:$D$12</c:f>
              <c:strCache>
                <c:ptCount val="11"/>
                <c:pt idx="0">
                  <c:v>degemination(reduce consonant cluster to one single consonant)</c:v>
                </c:pt>
                <c:pt idx="1">
                  <c:v>Epenthesis(insert diphthong [i:] between  consnant cluster)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gemination</c:v>
                </c:pt>
                <c:pt idx="6">
                  <c:v>Metathesis</c:v>
                </c:pt>
                <c:pt idx="7">
                  <c:v>syllable structure process (first syllable deletion) </c:v>
                </c:pt>
                <c:pt idx="8">
                  <c:v>Glottalization(insertion of  [ʔ] phone)</c:v>
                </c:pt>
                <c:pt idx="10">
                  <c:v>Vowel  nasalization</c:v>
                </c:pt>
              </c:strCache>
            </c:strRef>
          </c:cat>
          <c:val>
            <c:numRef>
              <c:f>Sheet2!$E$2:$E$12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4-4380-96C2-0DF5B8D9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984448"/>
        <c:axId val="93898985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F4-4380-96C2-0DF5B8D9586E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F4-4380-96C2-0DF5B8D9586E}"/>
              </c:ext>
            </c:extLst>
          </c:dPt>
          <c:cat>
            <c:strRef>
              <c:f>Sheet2!$D$2:$D$12</c:f>
              <c:strCache>
                <c:ptCount val="11"/>
                <c:pt idx="0">
                  <c:v>degemination(reduce consonant cluster to one single consonant)</c:v>
                </c:pt>
                <c:pt idx="1">
                  <c:v>Epenthesis(insert diphthong [i:] between  consnant cluster)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gemination</c:v>
                </c:pt>
                <c:pt idx="6">
                  <c:v>Metathesis</c:v>
                </c:pt>
                <c:pt idx="7">
                  <c:v>syllable structure process (first syllable deletion) </c:v>
                </c:pt>
                <c:pt idx="8">
                  <c:v>Glottalization(insertion of  [ʔ] phone)</c:v>
                </c:pt>
                <c:pt idx="10">
                  <c:v>Vowel  nasalization</c:v>
                </c:pt>
              </c:strCache>
            </c:strRef>
          </c:cat>
          <c:val>
            <c:numRef>
              <c:f>Sheet2!$F$2:$F$12</c:f>
              <c:numCache>
                <c:formatCode>0.00%</c:formatCode>
                <c:ptCount val="11"/>
                <c:pt idx="0">
                  <c:v>0.4</c:v>
                </c:pt>
                <c:pt idx="1">
                  <c:v>6.25E-2</c:v>
                </c:pt>
                <c:pt idx="2">
                  <c:v>6.25E-2</c:v>
                </c:pt>
                <c:pt idx="3">
                  <c:v>6.25E-2</c:v>
                </c:pt>
                <c:pt idx="4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4-4380-96C2-0DF5B8D9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984448"/>
        <c:axId val="938989856"/>
      </c:lineChart>
      <c:catAx>
        <c:axId val="93898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89856"/>
        <c:crosses val="autoZero"/>
        <c:auto val="1"/>
        <c:lblAlgn val="ctr"/>
        <c:lblOffset val="100"/>
        <c:noMultiLvlLbl val="0"/>
      </c:catAx>
      <c:valAx>
        <c:axId val="9389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84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Sheet3!$B$2:$B$6</c:f>
              <c:strCache>
                <c:ptCount val="5"/>
                <c:pt idx="0">
                  <c:v>Definite Article deletion</c:v>
                </c:pt>
                <c:pt idx="1">
                  <c:v>consonant deletion  of [ʔ] phone affected by colloquial Arabic</c:v>
                </c:pt>
                <c:pt idx="2">
                  <c:v>colloquial Arabic word</c:v>
                </c:pt>
                <c:pt idx="3">
                  <c:v>consonant insertion of  [h] phone in final position</c:v>
                </c:pt>
                <c:pt idx="4">
                  <c:v>Deletion of feminine marker</c:v>
                </c:pt>
              </c:strCache>
            </c:strRef>
          </c:cat>
          <c:val>
            <c:numRef>
              <c:f>Sheet3!$C$2:$C$6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F-4657-A33E-56DBD55A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748048"/>
        <c:axId val="946736400"/>
      </c:barChart>
      <c:catAx>
        <c:axId val="94674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36400"/>
        <c:crosses val="autoZero"/>
        <c:auto val="1"/>
        <c:lblAlgn val="ctr"/>
        <c:lblOffset val="100"/>
        <c:noMultiLvlLbl val="0"/>
      </c:catAx>
      <c:valAx>
        <c:axId val="94673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480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1</xdr:row>
      <xdr:rowOff>22860</xdr:rowOff>
    </xdr:from>
    <xdr:to>
      <xdr:col>16</xdr:col>
      <xdr:colOff>228600</xdr:colOff>
      <xdr:row>3</xdr:row>
      <xdr:rowOff>960120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5</xdr:row>
      <xdr:rowOff>53340</xdr:rowOff>
    </xdr:from>
    <xdr:to>
      <xdr:col>16</xdr:col>
      <xdr:colOff>266700</xdr:colOff>
      <xdr:row>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</xdr:colOff>
      <xdr:row>8</xdr:row>
      <xdr:rowOff>38100</xdr:rowOff>
    </xdr:from>
    <xdr:to>
      <xdr:col>16</xdr:col>
      <xdr:colOff>213360</xdr:colOff>
      <xdr:row>8</xdr:row>
      <xdr:rowOff>1584960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</xdr:colOff>
      <xdr:row>10</xdr:row>
      <xdr:rowOff>83820</xdr:rowOff>
    </xdr:from>
    <xdr:to>
      <xdr:col>16</xdr:col>
      <xdr:colOff>213360</xdr:colOff>
      <xdr:row>10</xdr:row>
      <xdr:rowOff>2004060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30480</xdr:colOff>
      <xdr:row>12</xdr:row>
      <xdr:rowOff>99060</xdr:rowOff>
    </xdr:from>
    <xdr:to>
      <xdr:col>15</xdr:col>
      <xdr:colOff>335280</xdr:colOff>
      <xdr:row>12</xdr:row>
      <xdr:rowOff>2331720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53340</xdr:colOff>
      <xdr:row>16</xdr:row>
      <xdr:rowOff>38100</xdr:rowOff>
    </xdr:from>
    <xdr:to>
      <xdr:col>15</xdr:col>
      <xdr:colOff>358140</xdr:colOff>
      <xdr:row>16</xdr:row>
      <xdr:rowOff>1539240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30480</xdr:colOff>
      <xdr:row>20</xdr:row>
      <xdr:rowOff>38100</xdr:rowOff>
    </xdr:from>
    <xdr:to>
      <xdr:col>15</xdr:col>
      <xdr:colOff>335280</xdr:colOff>
      <xdr:row>20</xdr:row>
      <xdr:rowOff>2278380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15240</xdr:colOff>
      <xdr:row>22</xdr:row>
      <xdr:rowOff>53340</xdr:rowOff>
    </xdr:from>
    <xdr:to>
      <xdr:col>15</xdr:col>
      <xdr:colOff>320040</xdr:colOff>
      <xdr:row>23</xdr:row>
      <xdr:rowOff>1280160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30480</xdr:colOff>
      <xdr:row>31</xdr:row>
      <xdr:rowOff>60960</xdr:rowOff>
    </xdr:from>
    <xdr:to>
      <xdr:col>15</xdr:col>
      <xdr:colOff>335280</xdr:colOff>
      <xdr:row>31</xdr:row>
      <xdr:rowOff>1821180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106680</xdr:colOff>
      <xdr:row>33</xdr:row>
      <xdr:rowOff>68580</xdr:rowOff>
    </xdr:from>
    <xdr:to>
      <xdr:col>15</xdr:col>
      <xdr:colOff>411480</xdr:colOff>
      <xdr:row>35</xdr:row>
      <xdr:rowOff>914400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30480</xdr:colOff>
      <xdr:row>37</xdr:row>
      <xdr:rowOff>26670</xdr:rowOff>
    </xdr:from>
    <xdr:to>
      <xdr:col>15</xdr:col>
      <xdr:colOff>335280</xdr:colOff>
      <xdr:row>37</xdr:row>
      <xdr:rowOff>1973580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39</xdr:row>
      <xdr:rowOff>60960</xdr:rowOff>
    </xdr:from>
    <xdr:to>
      <xdr:col>15</xdr:col>
      <xdr:colOff>304800</xdr:colOff>
      <xdr:row>39</xdr:row>
      <xdr:rowOff>2110740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22860</xdr:colOff>
      <xdr:row>41</xdr:row>
      <xdr:rowOff>3810</xdr:rowOff>
    </xdr:from>
    <xdr:to>
      <xdr:col>15</xdr:col>
      <xdr:colOff>327660</xdr:colOff>
      <xdr:row>41</xdr:row>
      <xdr:rowOff>2179320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53340</xdr:colOff>
      <xdr:row>45</xdr:row>
      <xdr:rowOff>26670</xdr:rowOff>
    </xdr:from>
    <xdr:to>
      <xdr:col>15</xdr:col>
      <xdr:colOff>358140</xdr:colOff>
      <xdr:row>45</xdr:row>
      <xdr:rowOff>1905000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22860</xdr:colOff>
      <xdr:row>47</xdr:row>
      <xdr:rowOff>68580</xdr:rowOff>
    </xdr:from>
    <xdr:to>
      <xdr:col>15</xdr:col>
      <xdr:colOff>327660</xdr:colOff>
      <xdr:row>48</xdr:row>
      <xdr:rowOff>1638300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7620</xdr:colOff>
      <xdr:row>50</xdr:row>
      <xdr:rowOff>68580</xdr:rowOff>
    </xdr:from>
    <xdr:to>
      <xdr:col>15</xdr:col>
      <xdr:colOff>312420</xdr:colOff>
      <xdr:row>50</xdr:row>
      <xdr:rowOff>2255520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0</xdr:colOff>
      <xdr:row>52</xdr:row>
      <xdr:rowOff>68580</xdr:rowOff>
    </xdr:from>
    <xdr:to>
      <xdr:col>15</xdr:col>
      <xdr:colOff>304800</xdr:colOff>
      <xdr:row>54</xdr:row>
      <xdr:rowOff>922020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30480</xdr:colOff>
      <xdr:row>56</xdr:row>
      <xdr:rowOff>60960</xdr:rowOff>
    </xdr:from>
    <xdr:to>
      <xdr:col>15</xdr:col>
      <xdr:colOff>335280</xdr:colOff>
      <xdr:row>56</xdr:row>
      <xdr:rowOff>1882140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7620</xdr:colOff>
      <xdr:row>58</xdr:row>
      <xdr:rowOff>91440</xdr:rowOff>
    </xdr:from>
    <xdr:to>
      <xdr:col>15</xdr:col>
      <xdr:colOff>312420</xdr:colOff>
      <xdr:row>61</xdr:row>
      <xdr:rowOff>922020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556260</xdr:colOff>
      <xdr:row>63</xdr:row>
      <xdr:rowOff>68580</xdr:rowOff>
    </xdr:from>
    <xdr:to>
      <xdr:col>15</xdr:col>
      <xdr:colOff>297180</xdr:colOff>
      <xdr:row>64</xdr:row>
      <xdr:rowOff>1508760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0</xdr:row>
      <xdr:rowOff>179070</xdr:rowOff>
    </xdr:from>
    <xdr:to>
      <xdr:col>18</xdr:col>
      <xdr:colOff>53340</xdr:colOff>
      <xdr:row>13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0</xdr:row>
      <xdr:rowOff>0</xdr:rowOff>
    </xdr:from>
    <xdr:to>
      <xdr:col>11</xdr:col>
      <xdr:colOff>563880</xdr:colOff>
      <xdr:row>5</xdr:row>
      <xdr:rowOff>922020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3"/>
  <sheetViews>
    <sheetView tabSelected="1" zoomScaleNormal="100" workbookViewId="0">
      <selection activeCell="E5" sqref="E5"/>
    </sheetView>
  </sheetViews>
  <sheetFormatPr defaultRowHeight="14.4" outlineLevelRow="2" x14ac:dyDescent="0.3"/>
  <cols>
    <col min="1" max="1" width="9.109375" customWidth="1"/>
    <col min="2" max="2" width="11.21875" customWidth="1"/>
    <col min="3" max="4" width="10.33203125" customWidth="1"/>
    <col min="5" max="5" width="36.21875" style="1" customWidth="1"/>
    <col min="6" max="6" width="5.33203125" customWidth="1"/>
    <col min="7" max="7" width="6.21875" customWidth="1"/>
    <col min="8" max="8" width="8.21875" style="71" customWidth="1"/>
  </cols>
  <sheetData>
    <row r="1" spans="2:8" s="99" customFormat="1" ht="36.6" customHeight="1" thickTop="1" thickBot="1" x14ac:dyDescent="0.45">
      <c r="B1" s="96" t="s">
        <v>129</v>
      </c>
      <c r="C1" s="96" t="s">
        <v>130</v>
      </c>
      <c r="D1" s="96" t="s">
        <v>131</v>
      </c>
      <c r="E1" s="97" t="s">
        <v>132</v>
      </c>
      <c r="F1" s="97" t="s">
        <v>133</v>
      </c>
      <c r="G1" s="97" t="s">
        <v>134</v>
      </c>
      <c r="H1" s="98" t="s">
        <v>127</v>
      </c>
    </row>
    <row r="2" spans="2:8" ht="79.95" customHeight="1" outlineLevel="2" thickTop="1" thickBot="1" x14ac:dyDescent="0.35">
      <c r="B2" s="86" t="s">
        <v>64</v>
      </c>
      <c r="C2" s="85">
        <v>14</v>
      </c>
      <c r="D2" s="85" t="s">
        <v>62</v>
      </c>
      <c r="E2" s="4" t="s">
        <v>96</v>
      </c>
      <c r="F2" s="5" t="s">
        <v>102</v>
      </c>
      <c r="G2" s="5">
        <v>3</v>
      </c>
      <c r="H2" s="58">
        <f>G2/14</f>
        <v>0.21428571428571427</v>
      </c>
    </row>
    <row r="3" spans="2:8" ht="79.95" customHeight="1" outlineLevel="2" thickTop="1" thickBot="1" x14ac:dyDescent="0.35">
      <c r="B3" s="86"/>
      <c r="C3" s="85"/>
      <c r="D3" s="85"/>
      <c r="E3" s="4" t="s">
        <v>28</v>
      </c>
      <c r="F3" s="5" t="s">
        <v>103</v>
      </c>
      <c r="G3" s="5">
        <v>1</v>
      </c>
      <c r="H3" s="58">
        <f t="shared" ref="H3:H4" si="0">G3/14</f>
        <v>7.1428571428571425E-2</v>
      </c>
    </row>
    <row r="4" spans="2:8" ht="79.95" customHeight="1" outlineLevel="2" thickTop="1" thickBot="1" x14ac:dyDescent="0.35">
      <c r="B4" s="86"/>
      <c r="C4" s="85"/>
      <c r="D4" s="85"/>
      <c r="E4" s="4" t="s">
        <v>29</v>
      </c>
      <c r="F4" s="5" t="s">
        <v>103</v>
      </c>
      <c r="G4" s="5">
        <v>1</v>
      </c>
      <c r="H4" s="58">
        <f t="shared" si="0"/>
        <v>7.1428571428571425E-2</v>
      </c>
    </row>
    <row r="5" spans="2:8" ht="24.6" customHeight="1" outlineLevel="1" thickTop="1" thickBot="1" x14ac:dyDescent="0.35">
      <c r="B5" s="100" t="s">
        <v>135</v>
      </c>
      <c r="C5" s="79">
        <f>SUBTOTAL(9,C2:C4)</f>
        <v>14</v>
      </c>
      <c r="D5" s="79"/>
      <c r="E5" s="4"/>
      <c r="F5" s="5"/>
      <c r="G5" s="5">
        <f>SUBTOTAL(9,G2:G4)</f>
        <v>5</v>
      </c>
      <c r="H5" s="58">
        <f>SUBTOTAL(9,H2:H4)</f>
        <v>0.3571428571428571</v>
      </c>
    </row>
    <row r="6" spans="2:8" ht="79.95" customHeight="1" outlineLevel="2" thickTop="1" thickBot="1" x14ac:dyDescent="0.35">
      <c r="B6" s="88" t="s">
        <v>65</v>
      </c>
      <c r="C6" s="87">
        <v>42</v>
      </c>
      <c r="D6" s="87" t="s">
        <v>63</v>
      </c>
      <c r="E6" s="6" t="s">
        <v>98</v>
      </c>
      <c r="F6" s="7" t="s">
        <v>117</v>
      </c>
      <c r="G6" s="7">
        <v>1</v>
      </c>
      <c r="H6" s="59">
        <f>G6/42</f>
        <v>2.3809523809523808E-2</v>
      </c>
    </row>
    <row r="7" spans="2:8" ht="79.95" customHeight="1" outlineLevel="2" thickTop="1" thickBot="1" x14ac:dyDescent="0.35">
      <c r="B7" s="88"/>
      <c r="C7" s="87"/>
      <c r="D7" s="87"/>
      <c r="E7" s="6" t="s">
        <v>6</v>
      </c>
      <c r="F7" s="7" t="s">
        <v>105</v>
      </c>
      <c r="G7" s="7">
        <v>1</v>
      </c>
      <c r="H7" s="59">
        <f>G7/42</f>
        <v>2.3809523809523808E-2</v>
      </c>
    </row>
    <row r="8" spans="2:8" ht="28.2" customHeight="1" outlineLevel="1" thickTop="1" thickBot="1" x14ac:dyDescent="0.35">
      <c r="B8" s="101" t="s">
        <v>136</v>
      </c>
      <c r="C8" s="78">
        <f>SUBTOTAL(9,C6:C7)</f>
        <v>42</v>
      </c>
      <c r="D8" s="78"/>
      <c r="E8" s="6"/>
      <c r="F8" s="7"/>
      <c r="G8" s="7">
        <f>SUBTOTAL(9,G6:G7)</f>
        <v>2</v>
      </c>
      <c r="H8" s="59">
        <f>SUBTOTAL(9,H6:H7)</f>
        <v>4.7619047619047616E-2</v>
      </c>
    </row>
    <row r="9" spans="2:8" ht="127.8" customHeight="1" outlineLevel="2" thickTop="1" thickBot="1" x14ac:dyDescent="0.35">
      <c r="B9" s="8" t="s">
        <v>66</v>
      </c>
      <c r="C9" s="9">
        <v>13</v>
      </c>
      <c r="D9" s="9" t="s">
        <v>36</v>
      </c>
      <c r="E9" s="10" t="s">
        <v>97</v>
      </c>
      <c r="F9" s="11" t="s">
        <v>123</v>
      </c>
      <c r="G9" s="11">
        <v>1</v>
      </c>
      <c r="H9" s="60">
        <f>G9/C9</f>
        <v>7.6923076923076927E-2</v>
      </c>
    </row>
    <row r="10" spans="2:8" ht="30.6" customHeight="1" outlineLevel="1" thickTop="1" thickBot="1" x14ac:dyDescent="0.35">
      <c r="B10" s="102" t="s">
        <v>137</v>
      </c>
      <c r="C10" s="76">
        <f>SUBTOTAL(9,C9:C9)</f>
        <v>13</v>
      </c>
      <c r="D10" s="76"/>
      <c r="E10" s="10"/>
      <c r="F10" s="11"/>
      <c r="G10" s="11">
        <f>SUBTOTAL(9,G9:G9)</f>
        <v>1</v>
      </c>
      <c r="H10" s="60">
        <f>SUBTOTAL(9,H9:H9)</f>
        <v>7.6923076923076927E-2</v>
      </c>
    </row>
    <row r="11" spans="2:8" ht="159.6" customHeight="1" outlineLevel="2" thickTop="1" thickBot="1" x14ac:dyDescent="0.35">
      <c r="B11" s="12" t="s">
        <v>67</v>
      </c>
      <c r="C11" s="13">
        <v>2</v>
      </c>
      <c r="D11" s="13" t="s">
        <v>37</v>
      </c>
      <c r="E11" s="14" t="s">
        <v>30</v>
      </c>
      <c r="F11" s="15" t="s">
        <v>107</v>
      </c>
      <c r="G11" s="15">
        <v>1</v>
      </c>
      <c r="H11" s="61">
        <f>G11/C11</f>
        <v>0.5</v>
      </c>
    </row>
    <row r="12" spans="2:8" ht="30" customHeight="1" outlineLevel="1" thickTop="1" thickBot="1" x14ac:dyDescent="0.35">
      <c r="B12" s="103" t="s">
        <v>138</v>
      </c>
      <c r="C12" s="13">
        <f>SUBTOTAL(9,C11:C11)</f>
        <v>2</v>
      </c>
      <c r="D12" s="13"/>
      <c r="E12" s="14"/>
      <c r="F12" s="15"/>
      <c r="G12" s="15">
        <f>SUBTOTAL(9,G11:G11)</f>
        <v>1</v>
      </c>
      <c r="H12" s="61">
        <f>SUBTOTAL(9,H11:H11)</f>
        <v>0.5</v>
      </c>
    </row>
    <row r="13" spans="2:8" ht="184.8" customHeight="1" outlineLevel="2" thickTop="1" thickBot="1" x14ac:dyDescent="0.35">
      <c r="B13" s="16" t="s">
        <v>68</v>
      </c>
      <c r="C13" s="17">
        <v>3</v>
      </c>
      <c r="D13" s="17" t="s">
        <v>38</v>
      </c>
      <c r="E13" s="18" t="s">
        <v>15</v>
      </c>
      <c r="F13" s="19" t="s">
        <v>108</v>
      </c>
      <c r="G13" s="19">
        <v>1</v>
      </c>
      <c r="H13" s="62">
        <f>G13/C13</f>
        <v>0.33333333333333331</v>
      </c>
    </row>
    <row r="14" spans="2:8" ht="32.4" customHeight="1" outlineLevel="1" thickTop="1" thickBot="1" x14ac:dyDescent="0.35">
      <c r="B14" s="101" t="s">
        <v>139</v>
      </c>
      <c r="C14" s="78">
        <f>SUBTOTAL(9,C13:C13)</f>
        <v>3</v>
      </c>
      <c r="D14" s="78"/>
      <c r="E14" s="18"/>
      <c r="F14" s="19"/>
      <c r="G14" s="19">
        <f>SUBTOTAL(9,G13:G13)</f>
        <v>1</v>
      </c>
      <c r="H14" s="62">
        <f>SUBTOTAL(9,H13:H13)</f>
        <v>0.33333333333333331</v>
      </c>
    </row>
    <row r="15" spans="2:8" ht="20.399999999999999" customHeight="1" outlineLevel="2" thickTop="1" thickBot="1" x14ac:dyDescent="0.35">
      <c r="B15" s="8" t="s">
        <v>69</v>
      </c>
      <c r="C15" s="9">
        <v>4</v>
      </c>
      <c r="D15" s="9" t="s">
        <v>39</v>
      </c>
      <c r="E15" s="20" t="s">
        <v>9</v>
      </c>
      <c r="F15" s="21" t="s">
        <v>107</v>
      </c>
      <c r="G15" s="21">
        <v>0</v>
      </c>
      <c r="H15" s="63">
        <f t="shared" ref="H15:H69" si="1">G15/C15</f>
        <v>0</v>
      </c>
    </row>
    <row r="16" spans="2:8" ht="20.399999999999999" customHeight="1" outlineLevel="1" thickTop="1" thickBot="1" x14ac:dyDescent="0.35">
      <c r="B16" s="102" t="s">
        <v>140</v>
      </c>
      <c r="C16" s="76">
        <f>SUBTOTAL(9,C15:C15)</f>
        <v>4</v>
      </c>
      <c r="D16" s="76"/>
      <c r="E16" s="20"/>
      <c r="F16" s="21"/>
      <c r="G16" s="21">
        <f>SUBTOTAL(9,G15:G15)</f>
        <v>0</v>
      </c>
      <c r="H16" s="63">
        <f>SUBTOTAL(9,H15:H15)</f>
        <v>0</v>
      </c>
    </row>
    <row r="17" spans="2:8" ht="125.4" customHeight="1" outlineLevel="2" thickTop="1" thickBot="1" x14ac:dyDescent="0.35">
      <c r="B17" s="22" t="s">
        <v>70</v>
      </c>
      <c r="C17" s="23">
        <v>1</v>
      </c>
      <c r="D17" s="23" t="s">
        <v>40</v>
      </c>
      <c r="E17" s="4" t="s">
        <v>99</v>
      </c>
      <c r="F17" s="5" t="s">
        <v>109</v>
      </c>
      <c r="G17" s="5">
        <v>1</v>
      </c>
      <c r="H17" s="58">
        <f t="shared" si="1"/>
        <v>1</v>
      </c>
    </row>
    <row r="18" spans="2:8" ht="22.8" customHeight="1" outlineLevel="1" thickTop="1" thickBot="1" x14ac:dyDescent="0.35">
      <c r="B18" s="100" t="s">
        <v>141</v>
      </c>
      <c r="C18" s="79">
        <f>SUBTOTAL(9,C17:C17)</f>
        <v>1</v>
      </c>
      <c r="D18" s="79"/>
      <c r="E18" s="4"/>
      <c r="F18" s="5"/>
      <c r="G18" s="5">
        <f>SUBTOTAL(9,G17:G17)</f>
        <v>1</v>
      </c>
      <c r="H18" s="58">
        <f>SUBTOTAL(9,H17:H17)</f>
        <v>1</v>
      </c>
    </row>
    <row r="19" spans="2:8" ht="25.2" customHeight="1" outlineLevel="2" thickTop="1" thickBot="1" x14ac:dyDescent="0.35">
      <c r="B19" s="12" t="s">
        <v>71</v>
      </c>
      <c r="C19" s="12">
        <v>2</v>
      </c>
      <c r="D19" s="12" t="s">
        <v>41</v>
      </c>
      <c r="E19" s="24">
        <v>0</v>
      </c>
      <c r="F19" s="25">
        <v>0</v>
      </c>
      <c r="G19" s="25">
        <v>0</v>
      </c>
      <c r="H19" s="64">
        <f t="shared" si="1"/>
        <v>0</v>
      </c>
    </row>
    <row r="20" spans="2:8" ht="25.2" customHeight="1" outlineLevel="1" thickTop="1" thickBot="1" x14ac:dyDescent="0.35">
      <c r="B20" s="103" t="s">
        <v>142</v>
      </c>
      <c r="C20" s="12">
        <f>SUBTOTAL(9,C19:C19)</f>
        <v>2</v>
      </c>
      <c r="D20" s="12"/>
      <c r="E20" s="24"/>
      <c r="F20" s="25"/>
      <c r="G20" s="25">
        <f>SUBTOTAL(9,G19:G19)</f>
        <v>0</v>
      </c>
      <c r="H20" s="64">
        <f>SUBTOTAL(9,H19:H19)</f>
        <v>0</v>
      </c>
    </row>
    <row r="21" spans="2:8" ht="187.2" customHeight="1" outlineLevel="2" thickTop="1" thickBot="1" x14ac:dyDescent="0.35">
      <c r="B21" s="16" t="s">
        <v>72</v>
      </c>
      <c r="C21" s="17">
        <v>5</v>
      </c>
      <c r="D21" s="17" t="s">
        <v>42</v>
      </c>
      <c r="E21" s="26" t="s">
        <v>12</v>
      </c>
      <c r="F21" s="7" t="s">
        <v>110</v>
      </c>
      <c r="G21" s="7">
        <v>1</v>
      </c>
      <c r="H21" s="59">
        <f>G21/C21</f>
        <v>0.2</v>
      </c>
    </row>
    <row r="22" spans="2:8" ht="21.6" customHeight="1" outlineLevel="1" thickTop="1" thickBot="1" x14ac:dyDescent="0.35">
      <c r="B22" s="101" t="s">
        <v>143</v>
      </c>
      <c r="C22" s="78">
        <f>SUBTOTAL(9,C21:C21)</f>
        <v>5</v>
      </c>
      <c r="D22" s="78"/>
      <c r="E22" s="26"/>
      <c r="F22" s="7"/>
      <c r="G22" s="7">
        <f>SUBTOTAL(9,G21:G21)</f>
        <v>1</v>
      </c>
      <c r="H22" s="59">
        <f>SUBTOTAL(9,H21:H21)</f>
        <v>0.2</v>
      </c>
    </row>
    <row r="23" spans="2:8" ht="79.95" customHeight="1" outlineLevel="2" thickTop="1" thickBot="1" x14ac:dyDescent="0.35">
      <c r="B23" s="84" t="s">
        <v>73</v>
      </c>
      <c r="C23" s="83">
        <v>2</v>
      </c>
      <c r="D23" s="83" t="s">
        <v>43</v>
      </c>
      <c r="E23" s="27" t="s">
        <v>95</v>
      </c>
      <c r="F23" s="21" t="s">
        <v>111</v>
      </c>
      <c r="G23" s="21">
        <v>1</v>
      </c>
      <c r="H23" s="63">
        <f>G23/C23</f>
        <v>0.5</v>
      </c>
    </row>
    <row r="24" spans="2:8" ht="109.2" customHeight="1" outlineLevel="2" thickTop="1" thickBot="1" x14ac:dyDescent="0.35">
      <c r="B24" s="84"/>
      <c r="C24" s="83"/>
      <c r="D24" s="83"/>
      <c r="E24" s="20" t="s">
        <v>18</v>
      </c>
      <c r="F24" s="21" t="s">
        <v>106</v>
      </c>
      <c r="G24" s="21">
        <v>1</v>
      </c>
      <c r="H24" s="63">
        <f>G24/2</f>
        <v>0.5</v>
      </c>
    </row>
    <row r="25" spans="2:8" ht="22.8" customHeight="1" outlineLevel="1" thickTop="1" thickBot="1" x14ac:dyDescent="0.35">
      <c r="B25" s="102" t="s">
        <v>144</v>
      </c>
      <c r="C25" s="76">
        <f>SUBTOTAL(9,C23:C24)</f>
        <v>2</v>
      </c>
      <c r="D25" s="76"/>
      <c r="E25" s="20"/>
      <c r="F25" s="21"/>
      <c r="G25" s="21">
        <f>SUBTOTAL(9,G23:G24)</f>
        <v>2</v>
      </c>
      <c r="H25" s="63">
        <f>SUBTOTAL(9,H23:H24)</f>
        <v>1</v>
      </c>
    </row>
    <row r="26" spans="2:8" ht="18.600000000000001" customHeight="1" outlineLevel="2" thickTop="1" thickBot="1" x14ac:dyDescent="0.35">
      <c r="B26" s="22" t="s">
        <v>74</v>
      </c>
      <c r="C26" s="23">
        <v>4</v>
      </c>
      <c r="D26" s="23" t="s">
        <v>44</v>
      </c>
      <c r="E26" s="28">
        <v>0</v>
      </c>
      <c r="F26" s="29">
        <v>0</v>
      </c>
      <c r="G26" s="29">
        <v>0</v>
      </c>
      <c r="H26" s="65">
        <f t="shared" si="1"/>
        <v>0</v>
      </c>
    </row>
    <row r="27" spans="2:8" ht="18.600000000000001" customHeight="1" outlineLevel="1" thickTop="1" thickBot="1" x14ac:dyDescent="0.35">
      <c r="B27" s="100" t="s">
        <v>145</v>
      </c>
      <c r="C27" s="79">
        <f>SUBTOTAL(9,C26:C26)</f>
        <v>4</v>
      </c>
      <c r="D27" s="79"/>
      <c r="E27" s="28"/>
      <c r="F27" s="29"/>
      <c r="G27" s="29">
        <f>SUBTOTAL(9,G26:G26)</f>
        <v>0</v>
      </c>
      <c r="H27" s="65">
        <f>SUBTOTAL(9,H26:H26)</f>
        <v>0</v>
      </c>
    </row>
    <row r="28" spans="2:8" ht="16.8" customHeight="1" outlineLevel="2" thickTop="1" thickBot="1" x14ac:dyDescent="0.35">
      <c r="B28" s="30" t="s">
        <v>75</v>
      </c>
      <c r="C28" s="31">
        <v>6</v>
      </c>
      <c r="D28" s="31" t="s">
        <v>45</v>
      </c>
      <c r="E28" s="32">
        <v>0</v>
      </c>
      <c r="F28" s="33">
        <v>0</v>
      </c>
      <c r="G28" s="33">
        <v>0</v>
      </c>
      <c r="H28" s="66">
        <f t="shared" si="1"/>
        <v>0</v>
      </c>
    </row>
    <row r="29" spans="2:8" ht="16.8" customHeight="1" outlineLevel="1" thickTop="1" thickBot="1" x14ac:dyDescent="0.35">
      <c r="B29" s="104" t="s">
        <v>146</v>
      </c>
      <c r="C29" s="77">
        <f>SUBTOTAL(9,C28:C28)</f>
        <v>6</v>
      </c>
      <c r="D29" s="77"/>
      <c r="E29" s="32"/>
      <c r="F29" s="33"/>
      <c r="G29" s="33">
        <f>SUBTOTAL(9,G28:G28)</f>
        <v>0</v>
      </c>
      <c r="H29" s="66">
        <f>SUBTOTAL(9,H28:H28)</f>
        <v>0</v>
      </c>
    </row>
    <row r="30" spans="2:8" ht="20.399999999999999" customHeight="1" outlineLevel="2" thickTop="1" thickBot="1" x14ac:dyDescent="0.35">
      <c r="B30" s="16" t="s">
        <v>76</v>
      </c>
      <c r="C30" s="17">
        <v>1</v>
      </c>
      <c r="D30" s="17" t="s">
        <v>46</v>
      </c>
      <c r="E30" s="6">
        <v>0</v>
      </c>
      <c r="F30" s="7">
        <v>0</v>
      </c>
      <c r="G30" s="7">
        <v>0</v>
      </c>
      <c r="H30" s="59">
        <f t="shared" si="1"/>
        <v>0</v>
      </c>
    </row>
    <row r="31" spans="2:8" ht="20.399999999999999" customHeight="1" outlineLevel="1" thickTop="1" thickBot="1" x14ac:dyDescent="0.35">
      <c r="B31" s="101" t="s">
        <v>147</v>
      </c>
      <c r="C31" s="78">
        <f>SUBTOTAL(9,C30:C30)</f>
        <v>1</v>
      </c>
      <c r="D31" s="78"/>
      <c r="E31" s="6"/>
      <c r="F31" s="7"/>
      <c r="G31" s="7">
        <f>SUBTOTAL(9,G30:G30)</f>
        <v>0</v>
      </c>
      <c r="H31" s="59">
        <f>SUBTOTAL(9,H30:H30)</f>
        <v>0</v>
      </c>
    </row>
    <row r="32" spans="2:8" ht="146.4" customHeight="1" outlineLevel="2" thickTop="1" thickBot="1" x14ac:dyDescent="0.35">
      <c r="B32" s="34" t="s">
        <v>77</v>
      </c>
      <c r="C32" s="35">
        <v>1</v>
      </c>
      <c r="D32" s="35" t="s">
        <v>47</v>
      </c>
      <c r="E32" s="72" t="s">
        <v>3</v>
      </c>
      <c r="F32" s="36" t="s">
        <v>112</v>
      </c>
      <c r="G32" s="36">
        <v>1</v>
      </c>
      <c r="H32" s="67">
        <f>G32/C32</f>
        <v>1</v>
      </c>
    </row>
    <row r="33" spans="2:8" ht="30" customHeight="1" outlineLevel="1" thickTop="1" thickBot="1" x14ac:dyDescent="0.35">
      <c r="B33" s="105" t="s">
        <v>148</v>
      </c>
      <c r="C33" s="35">
        <f>SUBTOTAL(9,C32:C32)</f>
        <v>1</v>
      </c>
      <c r="D33" s="35"/>
      <c r="E33" s="72"/>
      <c r="F33" s="36"/>
      <c r="G33" s="36">
        <f>SUBTOTAL(9,G32:G32)</f>
        <v>1</v>
      </c>
      <c r="H33" s="67">
        <f>SUBTOTAL(9,H32:H32)</f>
        <v>1</v>
      </c>
    </row>
    <row r="34" spans="2:8" ht="79.95" customHeight="1" outlineLevel="2" thickTop="1" thickBot="1" x14ac:dyDescent="0.35">
      <c r="B34" s="82" t="s">
        <v>78</v>
      </c>
      <c r="C34" s="81">
        <v>14</v>
      </c>
      <c r="D34" s="81" t="s">
        <v>48</v>
      </c>
      <c r="E34" s="37" t="s">
        <v>2</v>
      </c>
      <c r="F34" s="38" t="s">
        <v>112</v>
      </c>
      <c r="G34" s="38">
        <v>7</v>
      </c>
      <c r="H34" s="68">
        <f>G34/C34</f>
        <v>0.5</v>
      </c>
    </row>
    <row r="35" spans="2:8" ht="79.95" customHeight="1" outlineLevel="2" thickTop="1" thickBot="1" x14ac:dyDescent="0.35">
      <c r="B35" s="82"/>
      <c r="C35" s="81"/>
      <c r="D35" s="81"/>
      <c r="E35" s="39" t="s">
        <v>100</v>
      </c>
      <c r="F35" s="38" t="s">
        <v>113</v>
      </c>
      <c r="G35" s="38">
        <v>1</v>
      </c>
      <c r="H35" s="68">
        <f>G35/14</f>
        <v>7.1428571428571425E-2</v>
      </c>
    </row>
    <row r="36" spans="2:8" ht="79.95" customHeight="1" outlineLevel="2" thickTop="1" thickBot="1" x14ac:dyDescent="0.35">
      <c r="B36" s="82"/>
      <c r="C36" s="81"/>
      <c r="D36" s="81"/>
      <c r="E36" s="39" t="s">
        <v>27</v>
      </c>
      <c r="F36" s="38" t="s">
        <v>124</v>
      </c>
      <c r="G36" s="38">
        <v>1</v>
      </c>
      <c r="H36" s="68">
        <f>G36/14</f>
        <v>7.1428571428571425E-2</v>
      </c>
    </row>
    <row r="37" spans="2:8" ht="16.8" customHeight="1" outlineLevel="1" thickTop="1" thickBot="1" x14ac:dyDescent="0.35">
      <c r="B37" s="106" t="s">
        <v>149</v>
      </c>
      <c r="C37" s="80">
        <f>SUBTOTAL(9,C34:C36)</f>
        <v>14</v>
      </c>
      <c r="D37" s="80"/>
      <c r="E37" s="39"/>
      <c r="F37" s="38"/>
      <c r="G37" s="38">
        <f>SUBTOTAL(9,G34:G36)</f>
        <v>9</v>
      </c>
      <c r="H37" s="68">
        <f>SUBTOTAL(9,H34:H36)</f>
        <v>0.64285714285714279</v>
      </c>
    </row>
    <row r="38" spans="2:8" ht="160.80000000000001" customHeight="1" outlineLevel="2" thickTop="1" thickBot="1" x14ac:dyDescent="0.35">
      <c r="B38" s="8" t="s">
        <v>79</v>
      </c>
      <c r="C38" s="9">
        <v>7</v>
      </c>
      <c r="D38" s="9" t="s">
        <v>49</v>
      </c>
      <c r="E38" s="20" t="s">
        <v>20</v>
      </c>
      <c r="F38" s="21" t="s">
        <v>115</v>
      </c>
      <c r="G38" s="21">
        <v>1</v>
      </c>
      <c r="H38" s="63">
        <f>G38/C38</f>
        <v>0.14285714285714285</v>
      </c>
    </row>
    <row r="39" spans="2:8" ht="25.2" customHeight="1" outlineLevel="1" thickTop="1" thickBot="1" x14ac:dyDescent="0.35">
      <c r="B39" s="102" t="s">
        <v>150</v>
      </c>
      <c r="C39" s="76">
        <f>SUBTOTAL(9,C38:C38)</f>
        <v>7</v>
      </c>
      <c r="D39" s="76"/>
      <c r="E39" s="20"/>
      <c r="F39" s="21"/>
      <c r="G39" s="21">
        <f>SUBTOTAL(9,G38:G38)</f>
        <v>1</v>
      </c>
      <c r="H39" s="63">
        <f>SUBTOTAL(9,H38:H38)</f>
        <v>0.14285714285714285</v>
      </c>
    </row>
    <row r="40" spans="2:8" ht="169.8" customHeight="1" outlineLevel="2" thickTop="1" thickBot="1" x14ac:dyDescent="0.35">
      <c r="B40" s="40" t="s">
        <v>80</v>
      </c>
      <c r="C40" s="41">
        <v>5</v>
      </c>
      <c r="D40" s="41" t="s">
        <v>50</v>
      </c>
      <c r="E40" s="42" t="s">
        <v>21</v>
      </c>
      <c r="F40" s="43" t="s">
        <v>116</v>
      </c>
      <c r="G40" s="43">
        <v>2</v>
      </c>
      <c r="H40" s="69">
        <f>G40/C40</f>
        <v>0.4</v>
      </c>
    </row>
    <row r="41" spans="2:8" ht="28.2" customHeight="1" outlineLevel="1" thickTop="1" thickBot="1" x14ac:dyDescent="0.35">
      <c r="B41" s="107" t="s">
        <v>151</v>
      </c>
      <c r="C41" s="41">
        <f>SUBTOTAL(9,C40:C40)</f>
        <v>5</v>
      </c>
      <c r="D41" s="41"/>
      <c r="E41" s="42"/>
      <c r="F41" s="43"/>
      <c r="G41" s="43">
        <f>SUBTOTAL(9,G40:G40)</f>
        <v>2</v>
      </c>
      <c r="H41" s="69">
        <f>SUBTOTAL(9,H40:H40)</f>
        <v>0.4</v>
      </c>
    </row>
    <row r="42" spans="2:8" ht="174" customHeight="1" outlineLevel="2" thickTop="1" thickBot="1" x14ac:dyDescent="0.35">
      <c r="B42" s="16" t="s">
        <v>81</v>
      </c>
      <c r="C42" s="17">
        <v>39</v>
      </c>
      <c r="D42" s="17" t="s">
        <v>51</v>
      </c>
      <c r="E42" s="6" t="s">
        <v>8</v>
      </c>
      <c r="F42" s="7" t="s">
        <v>104</v>
      </c>
      <c r="G42" s="7">
        <v>1</v>
      </c>
      <c r="H42" s="59">
        <f>G42/C42</f>
        <v>2.564102564102564E-2</v>
      </c>
    </row>
    <row r="43" spans="2:8" ht="24" customHeight="1" outlineLevel="1" thickTop="1" thickBot="1" x14ac:dyDescent="0.35">
      <c r="B43" s="101" t="s">
        <v>152</v>
      </c>
      <c r="C43" s="78">
        <f>SUBTOTAL(9,C42:C42)</f>
        <v>39</v>
      </c>
      <c r="D43" s="78"/>
      <c r="E43" s="6"/>
      <c r="F43" s="7"/>
      <c r="G43" s="7">
        <f>SUBTOTAL(9,G42:G42)</f>
        <v>1</v>
      </c>
      <c r="H43" s="59">
        <f>SUBTOTAL(9,H42:H42)</f>
        <v>2.564102564102564E-2</v>
      </c>
    </row>
    <row r="44" spans="2:8" ht="13.2" customHeight="1" outlineLevel="2" thickTop="1" thickBot="1" x14ac:dyDescent="0.35">
      <c r="B44" s="22" t="s">
        <v>82</v>
      </c>
      <c r="C44" s="23">
        <v>15</v>
      </c>
      <c r="D44" s="23" t="s">
        <v>52</v>
      </c>
      <c r="E44" s="4">
        <v>0</v>
      </c>
      <c r="F44" s="5">
        <v>0</v>
      </c>
      <c r="G44" s="5">
        <v>0</v>
      </c>
      <c r="H44" s="58">
        <f t="shared" si="1"/>
        <v>0</v>
      </c>
    </row>
    <row r="45" spans="2:8" ht="13.2" customHeight="1" outlineLevel="1" thickTop="1" thickBot="1" x14ac:dyDescent="0.35">
      <c r="B45" s="100" t="s">
        <v>153</v>
      </c>
      <c r="C45" s="79">
        <f>SUBTOTAL(9,C44:C44)</f>
        <v>15</v>
      </c>
      <c r="D45" s="79"/>
      <c r="E45" s="4"/>
      <c r="F45" s="5"/>
      <c r="G45" s="5">
        <f>SUBTOTAL(9,G44:G44)</f>
        <v>0</v>
      </c>
      <c r="H45" s="58">
        <f>SUBTOTAL(9,H44:H44)</f>
        <v>0</v>
      </c>
    </row>
    <row r="46" spans="2:8" ht="153.6" customHeight="1" outlineLevel="2" thickTop="1" thickBot="1" x14ac:dyDescent="0.35">
      <c r="B46" s="30" t="s">
        <v>83</v>
      </c>
      <c r="C46" s="31">
        <v>18</v>
      </c>
      <c r="D46" s="31" t="s">
        <v>53</v>
      </c>
      <c r="E46" s="32" t="s">
        <v>7</v>
      </c>
      <c r="F46" s="33" t="s">
        <v>114</v>
      </c>
      <c r="G46" s="33">
        <v>1</v>
      </c>
      <c r="H46" s="66">
        <f>G46/C46</f>
        <v>5.5555555555555552E-2</v>
      </c>
    </row>
    <row r="47" spans="2:8" ht="33.6" customHeight="1" outlineLevel="1" thickTop="1" thickBot="1" x14ac:dyDescent="0.35">
      <c r="B47" s="109" t="s">
        <v>154</v>
      </c>
      <c r="C47" s="108">
        <f>SUBTOTAL(9,C46:C46)</f>
        <v>18</v>
      </c>
      <c r="D47" s="108"/>
      <c r="E47" s="32"/>
      <c r="F47" s="33"/>
      <c r="G47" s="33">
        <f>SUBTOTAL(9,G46:G46)</f>
        <v>1</v>
      </c>
      <c r="H47" s="66">
        <f>SUBTOTAL(9,H46:H46)</f>
        <v>5.5555555555555552E-2</v>
      </c>
    </row>
    <row r="48" spans="2:8" ht="79.95" customHeight="1" outlineLevel="2" thickTop="1" thickBot="1" x14ac:dyDescent="0.35">
      <c r="B48" s="91" t="s">
        <v>84</v>
      </c>
      <c r="C48" s="89">
        <v>17</v>
      </c>
      <c r="D48" s="89" t="s">
        <v>54</v>
      </c>
      <c r="E48" s="20" t="s">
        <v>125</v>
      </c>
      <c r="F48" s="21" t="s">
        <v>117</v>
      </c>
      <c r="G48" s="21">
        <v>1</v>
      </c>
      <c r="H48" s="63">
        <f>G48/C48</f>
        <v>5.8823529411764705E-2</v>
      </c>
    </row>
    <row r="49" spans="2:8" ht="134.4" customHeight="1" outlineLevel="2" thickTop="1" thickBot="1" x14ac:dyDescent="0.35">
      <c r="B49" s="92"/>
      <c r="C49" s="90"/>
      <c r="D49" s="90"/>
      <c r="E49" s="20" t="s">
        <v>126</v>
      </c>
      <c r="F49" s="21" t="s">
        <v>124</v>
      </c>
      <c r="G49" s="21">
        <v>1</v>
      </c>
      <c r="H49" s="63">
        <f>G49/17</f>
        <v>5.8823529411764705E-2</v>
      </c>
    </row>
    <row r="50" spans="2:8" ht="30" customHeight="1" outlineLevel="1" thickTop="1" thickBot="1" x14ac:dyDescent="0.35">
      <c r="B50" s="110" t="s">
        <v>155</v>
      </c>
      <c r="C50" s="75">
        <f>SUBTOTAL(9,C48:C49)</f>
        <v>17</v>
      </c>
      <c r="D50" s="75"/>
      <c r="E50" s="20"/>
      <c r="F50" s="21"/>
      <c r="G50" s="21">
        <f>SUBTOTAL(9,G48:G49)</f>
        <v>2</v>
      </c>
      <c r="H50" s="63">
        <f>SUBTOTAL(9,H48:H49)</f>
        <v>0.11764705882352941</v>
      </c>
    </row>
    <row r="51" spans="2:8" ht="179.4" customHeight="1" outlineLevel="2" thickTop="1" thickBot="1" x14ac:dyDescent="0.35">
      <c r="B51" s="22" t="s">
        <v>85</v>
      </c>
      <c r="C51" s="23">
        <v>12</v>
      </c>
      <c r="D51" s="23" t="s">
        <v>55</v>
      </c>
      <c r="E51" s="4" t="s">
        <v>25</v>
      </c>
      <c r="F51" s="5" t="s">
        <v>118</v>
      </c>
      <c r="G51" s="5">
        <v>1</v>
      </c>
      <c r="H51" s="58">
        <f>G51/C51</f>
        <v>8.3333333333333329E-2</v>
      </c>
    </row>
    <row r="52" spans="2:8" ht="16.2" customHeight="1" outlineLevel="1" thickTop="1" thickBot="1" x14ac:dyDescent="0.35">
      <c r="B52" s="100" t="s">
        <v>156</v>
      </c>
      <c r="C52" s="79">
        <f>SUBTOTAL(9,C51:C51)</f>
        <v>12</v>
      </c>
      <c r="D52" s="79"/>
      <c r="E52" s="4"/>
      <c r="F52" s="5"/>
      <c r="G52" s="5">
        <f>SUBTOTAL(9,G51:G51)</f>
        <v>1</v>
      </c>
      <c r="H52" s="58">
        <f>SUBTOTAL(9,H51:H51)</f>
        <v>8.3333333333333329E-2</v>
      </c>
    </row>
    <row r="53" spans="2:8" ht="79.95" customHeight="1" outlineLevel="2" thickTop="1" thickBot="1" x14ac:dyDescent="0.35">
      <c r="B53" s="88" t="s">
        <v>86</v>
      </c>
      <c r="C53" s="87">
        <v>9</v>
      </c>
      <c r="D53" s="87" t="s">
        <v>56</v>
      </c>
      <c r="E53" s="6" t="s">
        <v>92</v>
      </c>
      <c r="F53" s="7" t="s">
        <v>119</v>
      </c>
      <c r="G53" s="7">
        <v>2</v>
      </c>
      <c r="H53" s="59">
        <f>G53/C53</f>
        <v>0.22222222222222221</v>
      </c>
    </row>
    <row r="54" spans="2:8" ht="79.95" customHeight="1" outlineLevel="2" thickTop="1" thickBot="1" x14ac:dyDescent="0.35">
      <c r="B54" s="88"/>
      <c r="C54" s="87"/>
      <c r="D54" s="87"/>
      <c r="E54" s="6" t="s">
        <v>17</v>
      </c>
      <c r="F54" s="7" t="s">
        <v>120</v>
      </c>
      <c r="G54" s="7">
        <v>2</v>
      </c>
      <c r="H54" s="59">
        <f>G54/9</f>
        <v>0.22222222222222221</v>
      </c>
    </row>
    <row r="55" spans="2:8" ht="79.95" customHeight="1" outlineLevel="2" thickTop="1" thickBot="1" x14ac:dyDescent="0.35">
      <c r="B55" s="88"/>
      <c r="C55" s="87"/>
      <c r="D55" s="87"/>
      <c r="E55" s="6" t="s">
        <v>14</v>
      </c>
      <c r="F55" s="7" t="s">
        <v>121</v>
      </c>
      <c r="G55" s="7">
        <v>1</v>
      </c>
      <c r="H55" s="59">
        <f>G55/9</f>
        <v>0.1111111111111111</v>
      </c>
    </row>
    <row r="56" spans="2:8" ht="19.8" customHeight="1" outlineLevel="1" thickTop="1" thickBot="1" x14ac:dyDescent="0.35">
      <c r="B56" s="101" t="s">
        <v>157</v>
      </c>
      <c r="C56" s="78">
        <f>SUBTOTAL(9,C53:C55)</f>
        <v>9</v>
      </c>
      <c r="D56" s="78"/>
      <c r="E56" s="6"/>
      <c r="F56" s="7"/>
      <c r="G56" s="7">
        <f>SUBTOTAL(9,G53:G55)</f>
        <v>5</v>
      </c>
      <c r="H56" s="59">
        <f>SUBTOTAL(9,H53:H55)</f>
        <v>0.55555555555555558</v>
      </c>
    </row>
    <row r="57" spans="2:8" ht="151.80000000000001" customHeight="1" outlineLevel="2" thickTop="1" thickBot="1" x14ac:dyDescent="0.35">
      <c r="B57" s="22" t="s">
        <v>87</v>
      </c>
      <c r="C57" s="23">
        <v>18</v>
      </c>
      <c r="D57" s="23" t="s">
        <v>57</v>
      </c>
      <c r="E57" s="44" t="s">
        <v>13</v>
      </c>
      <c r="F57" s="5" t="s">
        <v>120</v>
      </c>
      <c r="G57" s="5">
        <v>5</v>
      </c>
      <c r="H57" s="58">
        <f>G57/C57</f>
        <v>0.27777777777777779</v>
      </c>
    </row>
    <row r="58" spans="2:8" ht="27.6" customHeight="1" outlineLevel="1" thickTop="1" thickBot="1" x14ac:dyDescent="0.35">
      <c r="B58" s="100" t="s">
        <v>158</v>
      </c>
      <c r="C58" s="79">
        <f>SUBTOTAL(9,C57:C57)</f>
        <v>18</v>
      </c>
      <c r="D58" s="79"/>
      <c r="E58" s="44"/>
      <c r="F58" s="5"/>
      <c r="G58" s="5">
        <f>SUBTOTAL(9,G57:G57)</f>
        <v>5</v>
      </c>
      <c r="H58" s="58">
        <f>SUBTOTAL(9,H57:H57)</f>
        <v>0.27777777777777779</v>
      </c>
    </row>
    <row r="59" spans="2:8" ht="79.95" customHeight="1" outlineLevel="2" thickTop="1" thickBot="1" x14ac:dyDescent="0.35">
      <c r="B59" s="84" t="s">
        <v>88</v>
      </c>
      <c r="C59" s="83">
        <v>10</v>
      </c>
      <c r="D59" s="83" t="s">
        <v>58</v>
      </c>
      <c r="E59" s="20" t="s">
        <v>24</v>
      </c>
      <c r="F59" s="21" t="s">
        <v>119</v>
      </c>
      <c r="G59" s="21">
        <v>2</v>
      </c>
      <c r="H59" s="63">
        <f>G59/C59</f>
        <v>0.2</v>
      </c>
    </row>
    <row r="60" spans="2:8" ht="79.95" customHeight="1" outlineLevel="2" thickTop="1" thickBot="1" x14ac:dyDescent="0.35">
      <c r="B60" s="84"/>
      <c r="C60" s="83"/>
      <c r="D60" s="83"/>
      <c r="E60" s="27" t="s">
        <v>93</v>
      </c>
      <c r="F60" s="21" t="s">
        <v>122</v>
      </c>
      <c r="G60" s="21">
        <v>1</v>
      </c>
      <c r="H60" s="63">
        <f>G60/10</f>
        <v>0.1</v>
      </c>
    </row>
    <row r="61" spans="2:8" ht="79.95" customHeight="1" outlineLevel="2" thickTop="1" thickBot="1" x14ac:dyDescent="0.35">
      <c r="B61" s="84"/>
      <c r="C61" s="83"/>
      <c r="D61" s="83"/>
      <c r="E61" s="20" t="s">
        <v>26</v>
      </c>
      <c r="F61" s="21" t="s">
        <v>120</v>
      </c>
      <c r="G61" s="21">
        <v>1</v>
      </c>
      <c r="H61" s="63">
        <f>G61/10</f>
        <v>0.1</v>
      </c>
    </row>
    <row r="62" spans="2:8" ht="79.95" customHeight="1" outlineLevel="2" thickTop="1" thickBot="1" x14ac:dyDescent="0.35">
      <c r="B62" s="84"/>
      <c r="C62" s="83"/>
      <c r="D62" s="83"/>
      <c r="E62" s="20" t="s">
        <v>101</v>
      </c>
      <c r="F62" s="21" t="s">
        <v>124</v>
      </c>
      <c r="G62" s="21">
        <v>1</v>
      </c>
      <c r="H62" s="63">
        <f t="shared" ref="H62" si="2">G62/10</f>
        <v>0.1</v>
      </c>
    </row>
    <row r="63" spans="2:8" ht="25.8" customHeight="1" outlineLevel="1" thickTop="1" thickBot="1" x14ac:dyDescent="0.35">
      <c r="B63" s="102" t="s">
        <v>159</v>
      </c>
      <c r="C63" s="76">
        <f>SUBTOTAL(9,C59:C62)</f>
        <v>10</v>
      </c>
      <c r="D63" s="76"/>
      <c r="E63" s="20"/>
      <c r="F63" s="21"/>
      <c r="G63" s="21">
        <f>SUBTOTAL(9,G59:G62)</f>
        <v>5</v>
      </c>
      <c r="H63" s="63">
        <f>SUBTOTAL(9,H59:H62)</f>
        <v>0.5</v>
      </c>
    </row>
    <row r="64" spans="2:8" ht="79.95" customHeight="1" outlineLevel="2" thickTop="1" thickBot="1" x14ac:dyDescent="0.35">
      <c r="B64" s="93" t="s">
        <v>89</v>
      </c>
      <c r="C64" s="94">
        <v>3</v>
      </c>
      <c r="D64" s="94" t="s">
        <v>59</v>
      </c>
      <c r="E64" s="45" t="s">
        <v>16</v>
      </c>
      <c r="F64" s="33" t="s">
        <v>113</v>
      </c>
      <c r="G64" s="33">
        <v>1</v>
      </c>
      <c r="H64" s="66">
        <f>G64/C64</f>
        <v>0.33333333333333331</v>
      </c>
    </row>
    <row r="65" spans="2:8" ht="120.6" customHeight="1" outlineLevel="2" thickTop="1" thickBot="1" x14ac:dyDescent="0.35">
      <c r="B65" s="93"/>
      <c r="C65" s="94"/>
      <c r="D65" s="94"/>
      <c r="E65" s="32" t="s">
        <v>4</v>
      </c>
      <c r="F65" s="33" t="s">
        <v>112</v>
      </c>
      <c r="G65" s="33">
        <v>1</v>
      </c>
      <c r="H65" s="66">
        <f>G65/3</f>
        <v>0.33333333333333331</v>
      </c>
    </row>
    <row r="66" spans="2:8" ht="25.2" customHeight="1" outlineLevel="1" thickTop="1" thickBot="1" x14ac:dyDescent="0.35">
      <c r="B66" s="104" t="s">
        <v>160</v>
      </c>
      <c r="C66" s="77">
        <f>SUBTOTAL(9,C64:C65)</f>
        <v>3</v>
      </c>
      <c r="D66" s="77"/>
      <c r="E66" s="32"/>
      <c r="F66" s="33"/>
      <c r="G66" s="33">
        <f>SUBTOTAL(9,G64:G65)</f>
        <v>2</v>
      </c>
      <c r="H66" s="66">
        <f>SUBTOTAL(9,H64:H65)</f>
        <v>0.66666666666666663</v>
      </c>
    </row>
    <row r="67" spans="2:8" ht="13.2" customHeight="1" outlineLevel="2" thickTop="1" thickBot="1" x14ac:dyDescent="0.35">
      <c r="B67" s="22" t="s">
        <v>90</v>
      </c>
      <c r="C67" s="23">
        <v>18</v>
      </c>
      <c r="D67" s="23" t="s">
        <v>60</v>
      </c>
      <c r="E67" s="46">
        <v>0</v>
      </c>
      <c r="F67" s="47">
        <v>0</v>
      </c>
      <c r="G67" s="47">
        <v>0</v>
      </c>
      <c r="H67" s="70">
        <f t="shared" si="1"/>
        <v>0</v>
      </c>
    </row>
    <row r="68" spans="2:8" ht="13.2" customHeight="1" outlineLevel="1" thickTop="1" thickBot="1" x14ac:dyDescent="0.35">
      <c r="B68" s="100" t="s">
        <v>161</v>
      </c>
      <c r="C68" s="79">
        <f>SUBTOTAL(9,C67:C67)</f>
        <v>18</v>
      </c>
      <c r="D68" s="79"/>
      <c r="E68" s="46"/>
      <c r="F68" s="47"/>
      <c r="G68" s="47">
        <f>SUBTOTAL(9,G67:G67)</f>
        <v>0</v>
      </c>
      <c r="H68" s="70">
        <f>SUBTOTAL(9,H67:H67)</f>
        <v>0</v>
      </c>
    </row>
    <row r="69" spans="2:8" ht="18.600000000000001" customHeight="1" outlineLevel="2" thickTop="1" thickBot="1" x14ac:dyDescent="0.35">
      <c r="B69" s="16" t="s">
        <v>91</v>
      </c>
      <c r="C69" s="17">
        <v>10</v>
      </c>
      <c r="D69" s="17" t="s">
        <v>61</v>
      </c>
      <c r="E69" s="6">
        <v>0</v>
      </c>
      <c r="F69" s="7">
        <v>0</v>
      </c>
      <c r="G69" s="7">
        <v>0</v>
      </c>
      <c r="H69" s="59">
        <f t="shared" si="1"/>
        <v>0</v>
      </c>
    </row>
    <row r="70" spans="2:8" ht="18.600000000000001" customHeight="1" outlineLevel="1" thickTop="1" thickBot="1" x14ac:dyDescent="0.35">
      <c r="B70" s="101" t="s">
        <v>162</v>
      </c>
      <c r="C70" s="78">
        <f>SUBTOTAL(9,C69:C69)</f>
        <v>10</v>
      </c>
      <c r="D70" s="78"/>
      <c r="E70" s="6"/>
      <c r="F70" s="7"/>
      <c r="G70" s="7">
        <f>SUBTOTAL(9,G69:G69)</f>
        <v>0</v>
      </c>
      <c r="H70" s="59">
        <f>SUBTOTAL(9,H69:H69)</f>
        <v>0</v>
      </c>
    </row>
    <row r="71" spans="2:8" ht="18.600000000000001" customHeight="1" thickTop="1" thickBot="1" x14ac:dyDescent="0.35">
      <c r="B71" s="101" t="s">
        <v>163</v>
      </c>
      <c r="C71" s="78">
        <f>SUBTOTAL(9,C2:C69)</f>
        <v>295</v>
      </c>
      <c r="D71" s="78"/>
      <c r="E71" s="6"/>
      <c r="F71" s="7"/>
      <c r="G71" s="7">
        <f>SUBTOTAL(9,G2:G69)</f>
        <v>49</v>
      </c>
      <c r="H71" s="59">
        <f>SUBTOTAL(9,H2:H69)</f>
        <v>7.9829095740860421</v>
      </c>
    </row>
    <row r="72" spans="2:8" ht="15.6" thickTop="1" thickBot="1" x14ac:dyDescent="0.35">
      <c r="B72" s="2"/>
      <c r="C72" s="2"/>
      <c r="D72" s="2"/>
      <c r="E72" s="3"/>
      <c r="F72" s="2"/>
      <c r="G72" s="2"/>
      <c r="H72" s="57"/>
    </row>
    <row r="73" spans="2:8" ht="15" thickTop="1" x14ac:dyDescent="0.3"/>
  </sheetData>
  <sortState ref="H2:H112">
    <sortCondition ref="H112"/>
  </sortState>
  <mergeCells count="24">
    <mergeCell ref="C48:C49"/>
    <mergeCell ref="B48:B49"/>
    <mergeCell ref="B59:B62"/>
    <mergeCell ref="D59:D62"/>
    <mergeCell ref="B64:B65"/>
    <mergeCell ref="D64:D65"/>
    <mergeCell ref="C59:C62"/>
    <mergeCell ref="C64:C65"/>
    <mergeCell ref="C53:C55"/>
    <mergeCell ref="D53:D55"/>
    <mergeCell ref="B53:B55"/>
    <mergeCell ref="D48:D49"/>
    <mergeCell ref="D2:D4"/>
    <mergeCell ref="B2:B4"/>
    <mergeCell ref="D6:D7"/>
    <mergeCell ref="B6:B7"/>
    <mergeCell ref="C2:C4"/>
    <mergeCell ref="C6:C7"/>
    <mergeCell ref="D34:D36"/>
    <mergeCell ref="B34:B36"/>
    <mergeCell ref="C34:C36"/>
    <mergeCell ref="D23:D24"/>
    <mergeCell ref="B23:B24"/>
    <mergeCell ref="C23:C24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14"/>
  <sheetViews>
    <sheetView workbookViewId="0">
      <selection activeCell="F4" sqref="F4"/>
    </sheetView>
  </sheetViews>
  <sheetFormatPr defaultRowHeight="14.4" x14ac:dyDescent="0.3"/>
  <cols>
    <col min="3" max="3" width="8.109375" style="1" customWidth="1"/>
    <col min="4" max="4" width="48.77734375" style="1" customWidth="1"/>
    <col min="6" max="6" width="8.88671875" style="73"/>
  </cols>
  <sheetData>
    <row r="1" spans="3:6" ht="15.6" thickTop="1" thickBot="1" x14ac:dyDescent="0.35">
      <c r="C1" s="3"/>
      <c r="D1" s="3"/>
      <c r="E1" s="2"/>
      <c r="F1" s="73" t="s">
        <v>127</v>
      </c>
    </row>
    <row r="2" spans="3:6" ht="32.4" thickTop="1" thickBot="1" x14ac:dyDescent="0.35">
      <c r="C2" s="53">
        <v>5</v>
      </c>
      <c r="D2" s="53" t="s">
        <v>19</v>
      </c>
      <c r="E2" s="2">
        <v>2</v>
      </c>
      <c r="F2" s="74">
        <f>E2/C2</f>
        <v>0.4</v>
      </c>
    </row>
    <row r="3" spans="3:6" ht="31.2" thickTop="1" thickBot="1" x14ac:dyDescent="0.35">
      <c r="C3" s="95">
        <v>16</v>
      </c>
      <c r="D3" s="52" t="s">
        <v>23</v>
      </c>
      <c r="E3" s="2">
        <v>1</v>
      </c>
      <c r="F3" s="74">
        <f>E3/16</f>
        <v>6.25E-2</v>
      </c>
    </row>
    <row r="4" spans="3:6" ht="31.2" thickTop="1" thickBot="1" x14ac:dyDescent="0.35">
      <c r="C4" s="95"/>
      <c r="D4" s="54" t="s">
        <v>22</v>
      </c>
      <c r="E4" s="2">
        <v>1</v>
      </c>
      <c r="F4" s="74">
        <f t="shared" ref="F4:F5" si="0">E4/16</f>
        <v>6.25E-2</v>
      </c>
    </row>
    <row r="5" spans="3:6" ht="31.2" thickTop="1" thickBot="1" x14ac:dyDescent="0.35">
      <c r="C5" s="95"/>
      <c r="D5" s="54" t="s">
        <v>11</v>
      </c>
      <c r="E5" s="2">
        <v>1</v>
      </c>
      <c r="F5" s="74">
        <f t="shared" si="0"/>
        <v>6.25E-2</v>
      </c>
    </row>
    <row r="6" spans="3:6" ht="31.2" thickTop="1" thickBot="1" x14ac:dyDescent="0.35">
      <c r="C6" s="95"/>
      <c r="D6" s="54" t="s">
        <v>10</v>
      </c>
      <c r="E6" s="2">
        <v>2</v>
      </c>
      <c r="F6" s="74">
        <f>E6/16</f>
        <v>0.125</v>
      </c>
    </row>
    <row r="7" spans="3:6" ht="16.2" thickTop="1" thickBot="1" x14ac:dyDescent="0.35">
      <c r="C7" s="48"/>
      <c r="D7" s="48" t="s">
        <v>128</v>
      </c>
      <c r="E7" s="2">
        <v>3</v>
      </c>
      <c r="F7" s="74"/>
    </row>
    <row r="8" spans="3:6" ht="16.8" thickTop="1" thickBot="1" x14ac:dyDescent="0.35">
      <c r="C8" s="52"/>
      <c r="D8" s="52" t="s">
        <v>0</v>
      </c>
      <c r="E8" s="2">
        <v>2</v>
      </c>
      <c r="F8" s="74"/>
    </row>
    <row r="9" spans="3:6" ht="16.2" thickTop="1" thickBot="1" x14ac:dyDescent="0.35">
      <c r="C9" s="48"/>
      <c r="D9" s="48" t="s">
        <v>94</v>
      </c>
      <c r="E9" s="2">
        <v>2</v>
      </c>
      <c r="F9" s="74"/>
    </row>
    <row r="10" spans="3:6" ht="16.2" thickTop="1" thickBot="1" x14ac:dyDescent="0.35">
      <c r="C10" s="55"/>
      <c r="D10" s="55" t="s">
        <v>5</v>
      </c>
      <c r="E10" s="2">
        <v>1</v>
      </c>
      <c r="F10" s="74"/>
    </row>
    <row r="11" spans="3:6" ht="16.8" thickTop="1" thickBot="1" x14ac:dyDescent="0.35">
      <c r="C11" s="48"/>
      <c r="D11" s="48"/>
      <c r="E11" s="2">
        <v>1</v>
      </c>
      <c r="F11" s="74"/>
    </row>
    <row r="12" spans="3:6" ht="16.2" thickTop="1" thickBot="1" x14ac:dyDescent="0.35">
      <c r="C12" s="56"/>
      <c r="D12" s="56" t="s">
        <v>1</v>
      </c>
      <c r="E12" s="2">
        <v>1</v>
      </c>
      <c r="F12" s="74"/>
    </row>
    <row r="13" spans="3:6" ht="15.6" thickTop="1" thickBot="1" x14ac:dyDescent="0.35">
      <c r="C13" s="3"/>
      <c r="D13" s="3"/>
      <c r="E13" s="2"/>
      <c r="F13" s="74"/>
    </row>
    <row r="14" spans="3:6" ht="15" thickTop="1" x14ac:dyDescent="0.3"/>
  </sheetData>
  <sortState ref="C7:F14">
    <sortCondition descending="1" ref="E7:E14"/>
  </sortState>
  <mergeCells count="1">
    <mergeCell ref="C3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7"/>
  <sheetViews>
    <sheetView workbookViewId="0">
      <selection activeCell="C9" sqref="C9"/>
    </sheetView>
  </sheetViews>
  <sheetFormatPr defaultRowHeight="30" customHeight="1" x14ac:dyDescent="0.3"/>
  <cols>
    <col min="2" max="2" width="32.6640625" customWidth="1"/>
  </cols>
  <sheetData>
    <row r="1" spans="2:3" ht="30" customHeight="1" thickTop="1" thickBot="1" x14ac:dyDescent="0.35">
      <c r="B1" s="2"/>
      <c r="C1" s="2"/>
    </row>
    <row r="2" spans="2:3" ht="30" customHeight="1" thickTop="1" thickBot="1" x14ac:dyDescent="0.35">
      <c r="B2" s="48" t="s">
        <v>31</v>
      </c>
      <c r="C2" s="49">
        <v>1</v>
      </c>
    </row>
    <row r="3" spans="2:3" ht="30" customHeight="1" thickTop="1" thickBot="1" x14ac:dyDescent="0.35">
      <c r="B3" s="48" t="s">
        <v>32</v>
      </c>
      <c r="C3" s="50">
        <v>1</v>
      </c>
    </row>
    <row r="4" spans="2:3" ht="30" customHeight="1" thickTop="1" thickBot="1" x14ac:dyDescent="0.35">
      <c r="B4" s="48" t="s">
        <v>33</v>
      </c>
      <c r="C4" s="50">
        <v>3</v>
      </c>
    </row>
    <row r="5" spans="2:3" ht="30" customHeight="1" thickTop="1" thickBot="1" x14ac:dyDescent="0.35">
      <c r="B5" s="48" t="s">
        <v>34</v>
      </c>
      <c r="C5" s="51">
        <v>1</v>
      </c>
    </row>
    <row r="6" spans="2:3" ht="73.8" customHeight="1" thickTop="1" thickBot="1" x14ac:dyDescent="0.35">
      <c r="B6" s="52" t="s">
        <v>35</v>
      </c>
      <c r="C6" s="51">
        <v>1</v>
      </c>
    </row>
    <row r="7" spans="2:3" ht="30" customHeight="1" thickTop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2025-05-09T16:22:29Z</dcterms:modified>
</cp:coreProperties>
</file>