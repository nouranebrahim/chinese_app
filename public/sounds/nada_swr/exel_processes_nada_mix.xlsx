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nada_swr\"/>
    </mc:Choice>
  </mc:AlternateContent>
  <bookViews>
    <workbookView xWindow="0" yWindow="0" windowWidth="13296" windowHeight="8220"/>
  </bookViews>
  <sheets>
    <sheet name="Sheet1" sheetId="1" r:id="rId1"/>
    <sheet name="Sheet2" sheetId="2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Sheet1!#REF!</definedName>
    <definedName name="__DdeLink__363_4195966084" localSheetId="0">Sheet1!#REF!</definedName>
    <definedName name="__DdeLink__366_1609274354" localSheetId="0">Sheet1!#REF!</definedName>
    <definedName name="__DdeLink__374_2158327081" localSheetId="0">Sheet1!#REF!</definedName>
    <definedName name="__DdeLink__429_690101127" localSheetId="0">Sheet1!#REF!</definedName>
    <definedName name="__DdeLink__450_690101127" localSheetId="0">Sheet1!#REF!</definedName>
    <definedName name="__DdeLink__454_4201205227" localSheetId="0">Sheet1!#REF!</definedName>
    <definedName name="__DdeLink__461_690101127" localSheetId="0">Sheet1!#REF!</definedName>
    <definedName name="__DdeLink__481_750636418" localSheetId="0">Sheet1!#REF!</definedName>
    <definedName name="__DdeLink__502_3099655138" localSheetId="0">Sheet1!#REF!</definedName>
    <definedName name="__DdeLink__525_3099655138" localSheetId="0">Sheet1!#REF!</definedName>
    <definedName name="__DdeLink__533_4201205227" localSheetId="0">Sheet1!#REF!</definedName>
    <definedName name="__DdeLink__573_3099655138" localSheetId="0">Sheet1!#REF!</definedName>
    <definedName name="__DdeLink__588_3099655138" localSheetId="0">Sheet1!#REF!</definedName>
    <definedName name="__DdeLink__741_3099655138" localSheetId="0">Sheet1!$E$16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5" i="1" l="1"/>
  <c r="G65" i="1"/>
  <c r="C65" i="1"/>
  <c r="H64" i="1"/>
  <c r="G64" i="1"/>
  <c r="C64" i="1"/>
  <c r="H62" i="1"/>
  <c r="G62" i="1"/>
  <c r="C62" i="1"/>
  <c r="H60" i="1"/>
  <c r="G60" i="1"/>
  <c r="C60" i="1"/>
  <c r="H58" i="1"/>
  <c r="G58" i="1"/>
  <c r="C58" i="1"/>
  <c r="H55" i="1"/>
  <c r="G55" i="1"/>
  <c r="C55" i="1"/>
  <c r="H52" i="1"/>
  <c r="G52" i="1"/>
  <c r="C52" i="1"/>
  <c r="H50" i="1"/>
  <c r="G50" i="1"/>
  <c r="C50" i="1"/>
  <c r="H48" i="1"/>
  <c r="G48" i="1"/>
  <c r="C48" i="1"/>
  <c r="H46" i="1"/>
  <c r="G46" i="1"/>
  <c r="C46" i="1"/>
  <c r="H44" i="1"/>
  <c r="G44" i="1"/>
  <c r="C44" i="1"/>
  <c r="H42" i="1"/>
  <c r="G42" i="1"/>
  <c r="C42" i="1"/>
  <c r="H40" i="1"/>
  <c r="G40" i="1"/>
  <c r="C40" i="1"/>
  <c r="H38" i="1"/>
  <c r="G38" i="1"/>
  <c r="C38" i="1"/>
  <c r="H36" i="1"/>
  <c r="G36" i="1"/>
  <c r="C36" i="1"/>
  <c r="H34" i="1"/>
  <c r="G34" i="1"/>
  <c r="C34" i="1"/>
  <c r="H32" i="1"/>
  <c r="G32" i="1"/>
  <c r="C32" i="1"/>
  <c r="H30" i="1"/>
  <c r="G30" i="1"/>
  <c r="C30" i="1"/>
  <c r="H28" i="1"/>
  <c r="G28" i="1"/>
  <c r="C28" i="1"/>
  <c r="H26" i="1"/>
  <c r="G26" i="1"/>
  <c r="C26" i="1"/>
  <c r="H24" i="1"/>
  <c r="G24" i="1"/>
  <c r="C24" i="1"/>
  <c r="H19" i="1"/>
  <c r="G19" i="1"/>
  <c r="C19" i="1"/>
  <c r="H17" i="1"/>
  <c r="G17" i="1"/>
  <c r="C17" i="1"/>
  <c r="H15" i="1"/>
  <c r="G15" i="1"/>
  <c r="C15" i="1"/>
  <c r="H13" i="1"/>
  <c r="G13" i="1"/>
  <c r="C13" i="1"/>
  <c r="H11" i="1"/>
  <c r="G11" i="1"/>
  <c r="C11" i="1"/>
  <c r="H9" i="1"/>
  <c r="G9" i="1"/>
  <c r="C9" i="1"/>
  <c r="H7" i="1"/>
  <c r="G7" i="1"/>
  <c r="C7" i="1"/>
  <c r="H5" i="1"/>
  <c r="G5" i="1"/>
  <c r="C5" i="1"/>
  <c r="H3" i="1"/>
  <c r="G3" i="1"/>
  <c r="C3" i="1"/>
  <c r="E6" i="3" l="1"/>
  <c r="E3" i="3"/>
  <c r="E4" i="2"/>
  <c r="E3" i="2"/>
  <c r="E2" i="2"/>
  <c r="H59" i="1"/>
  <c r="H57" i="1"/>
  <c r="H56" i="1"/>
  <c r="H54" i="1"/>
  <c r="H53" i="1"/>
  <c r="H49" i="1"/>
  <c r="H37" i="1"/>
  <c r="H35" i="1"/>
  <c r="H33" i="1"/>
  <c r="H31" i="1"/>
  <c r="H21" i="1"/>
  <c r="H20" i="1"/>
  <c r="H18" i="1"/>
  <c r="H4" i="1"/>
  <c r="H2" i="1"/>
  <c r="E5" i="2" l="1"/>
  <c r="H22" i="1"/>
  <c r="H23" i="1"/>
  <c r="H43" i="1"/>
  <c r="H6" i="1"/>
  <c r="H8" i="1"/>
  <c r="H10" i="1"/>
  <c r="H14" i="1"/>
  <c r="H16" i="1"/>
  <c r="H25" i="1"/>
  <c r="H29" i="1"/>
  <c r="H39" i="1"/>
  <c r="H41" i="1"/>
  <c r="H45" i="1"/>
  <c r="H47" i="1"/>
  <c r="H51" i="1"/>
  <c r="H61" i="1"/>
  <c r="H63" i="1"/>
</calcChain>
</file>

<file path=xl/sharedStrings.xml><?xml version="1.0" encoding="utf-8"?>
<sst xmlns="http://schemas.openxmlformats.org/spreadsheetml/2006/main" count="151" uniqueCount="145">
  <si>
    <t>Vowel  nasalization</t>
  </si>
  <si>
    <t xml:space="preserve">Glottalization(substitution of [ʕ] with [ʔ]), 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</si>
  <si>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</si>
  <si>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</si>
  <si>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</si>
  <si>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Aspiration ( substitution of [k]with [kʰ]) , </t>
  </si>
  <si>
    <t xml:space="preserve">Aspiration ( substitution of [t]with [tʰ]) </t>
  </si>
  <si>
    <t>substitution of [z]with [t͡s ]</t>
  </si>
  <si>
    <t>substitution of [dˤ] with [θ],</t>
  </si>
  <si>
    <t>degemination(reduce consonant cluster to one single consonant)</t>
  </si>
  <si>
    <t>syllable structure process(final syllable deletion)</t>
  </si>
  <si>
    <t>deaffrication(substitution of [d͡ʒ]with [ʒ])</t>
  </si>
  <si>
    <t>stopping and backing  (substitution of [d͡ʒ]with [q])</t>
  </si>
  <si>
    <t>substitution of [ħ]with [χ]</t>
  </si>
  <si>
    <t>substitution of [h]with [ħ]</t>
  </si>
  <si>
    <t>deaffrication and devoicing(substitution of [d͡ʒ]with [k])</t>
  </si>
  <si>
    <t>deaffrication and devoicing(substitution of [d͡ʒ]with [ʃ])</t>
  </si>
  <si>
    <t>devoicing(substitution of [ɣ]with [χ])</t>
  </si>
  <si>
    <t>devoicing(substitution of [v]with [f])</t>
  </si>
  <si>
    <t>devoicing(substitution of [b]with [p]), Aspiration ( substitution of [p]with [pʰ]) ,</t>
  </si>
  <si>
    <t>devoicing(substitution of [d]with [t]), Aspiration ( substitution of [t]with [tʰ]) ,</t>
  </si>
  <si>
    <t>final consonant deletion</t>
  </si>
  <si>
    <t>Definite Article deletion</t>
  </si>
  <si>
    <t>replace the Modern Standard Arabic diphthong [æw]with the colloquial arabic vowel[o:]</t>
  </si>
  <si>
    <t>replace the Modern Standard Arabic consonant [ðˤ]with the colloquial arabic consonant [zˤ]</t>
  </si>
  <si>
    <t>replace  [ʔ]with  [j] affected by colloquial arabic</t>
  </si>
  <si>
    <t>consonant deletion  of [ʔ] phone affected by colloquial Arabic</t>
  </si>
  <si>
    <t>colloquial Arabic word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</si>
  <si>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</si>
  <si>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t>Deletion of feminine marker</t>
  </si>
  <si>
    <t>replace verb with noun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</si>
  <si>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</si>
  <si>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</si>
  <si>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</si>
  <si>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</si>
  <si>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</si>
  <si>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</si>
  <si>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</si>
  <si>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</si>
  <si>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</si>
  <si>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</si>
  <si>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</si>
  <si>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</si>
  <si>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</si>
  <si>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</si>
  <si>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</si>
  <si>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</si>
  <si>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</si>
  <si>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</si>
  <si>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</si>
  <si>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</si>
  <si>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</si>
  <si>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</si>
  <si>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</si>
  <si>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</si>
  <si>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</si>
  <si>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</si>
  <si>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</si>
  <si>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</si>
  <si>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</si>
  <si>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</si>
  <si>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</si>
  <si>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</si>
  <si>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</si>
  <si>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</si>
  <si>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</si>
  <si>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</si>
  <si>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</si>
  <si>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</si>
  <si>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</si>
  <si>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</si>
  <si>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</si>
  <si>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</si>
  <si>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</si>
  <si>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</si>
  <si>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</si>
  <si>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</si>
  <si>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</si>
  <si>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</si>
  <si>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</si>
  <si>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</si>
  <si>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</si>
  <si>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</si>
  <si>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</si>
  <si>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</si>
  <si>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</si>
  <si>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</si>
  <si>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substitution of [t]with [t͡s ]</t>
  </si>
  <si>
    <t xml:space="preserve">devoicing(substitution of [d]with [d̥])  </t>
  </si>
  <si>
    <t>v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</si>
  <si>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</si>
  <si>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Gliding(substitution of [l] with [j])</t>
  </si>
  <si>
    <t>[l]</t>
  </si>
  <si>
    <t>[j]</t>
  </si>
  <si>
    <t>[t͡s]</t>
  </si>
  <si>
    <t>[kʰ]</t>
  </si>
  <si>
    <t>[k]</t>
  </si>
  <si>
    <t>[ʃ]</t>
  </si>
  <si>
    <t>[ʒ]</t>
  </si>
  <si>
    <t>[q]</t>
  </si>
  <si>
    <t>[ʔ]</t>
  </si>
  <si>
    <t>[χ]</t>
  </si>
  <si>
    <t>[ħ]</t>
  </si>
  <si>
    <t>[f]</t>
  </si>
  <si>
    <t>[pʰ]</t>
  </si>
  <si>
    <t>[tʰ]</t>
  </si>
  <si>
    <t>[d̥]</t>
  </si>
  <si>
    <t>[θ]</t>
  </si>
  <si>
    <t>percentage</t>
  </si>
  <si>
    <t>letter</t>
  </si>
  <si>
    <t>total</t>
  </si>
  <si>
    <t>arabic letter</t>
  </si>
  <si>
    <t>phonological_processes</t>
  </si>
  <si>
    <t>allpohone</t>
  </si>
  <si>
    <t>number of error</t>
  </si>
  <si>
    <t>r Total</t>
  </si>
  <si>
    <t>l Total</t>
  </si>
  <si>
    <t>s Total</t>
  </si>
  <si>
    <t>z Total</t>
  </si>
  <si>
    <t>sˤ Total</t>
  </si>
  <si>
    <t>θ Total</t>
  </si>
  <si>
    <t>ðˤ Total</t>
  </si>
  <si>
    <t>ð Total</t>
  </si>
  <si>
    <t>k Total</t>
  </si>
  <si>
    <t>g Total</t>
  </si>
  <si>
    <t>q Total</t>
  </si>
  <si>
    <t>ʃ Total</t>
  </si>
  <si>
    <t>χ Total</t>
  </si>
  <si>
    <t>ɣ Total</t>
  </si>
  <si>
    <t>ʕ Total</t>
  </si>
  <si>
    <t>ħ Total</t>
  </si>
  <si>
    <t>h Total</t>
  </si>
  <si>
    <t>ʔ Total</t>
  </si>
  <si>
    <t>f Total</t>
  </si>
  <si>
    <t>v Total</t>
  </si>
  <si>
    <t>n Total</t>
  </si>
  <si>
    <t>m Total</t>
  </si>
  <si>
    <t>b Total</t>
  </si>
  <si>
    <t>tˤ Total</t>
  </si>
  <si>
    <t>t Total</t>
  </si>
  <si>
    <t>d Total</t>
  </si>
  <si>
    <t>dˤ Total</t>
  </si>
  <si>
    <t>w Total</t>
  </si>
  <si>
    <t>j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</si>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</sst>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6"/>
      <color rgb="FFCE181E"/>
      <name val="Arial"/>
      <family val="2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97">
    <xf numFmtId="0" fontId="0" fillId="0" borderId="0" xfId="0"/>
    <xf numFmtId="0" fontId="0" fillId="0" borderId="0" xfId="0" applyAlignment="1">
      <alignment wrapText="1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vertical="center" wrapText="1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vertical="center" wrapText="1"/>
    </xf>
    <xf numFmtId="0" fontId="3" fillId="3" borderId="1" xfId="2" applyBorder="1" applyAlignment="1">
      <alignment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wrapText="1"/>
    </xf>
    <xf numFmtId="0" fontId="2" fillId="2" borderId="1" xfId="1" applyBorder="1"/>
    <xf numFmtId="0" fontId="1" fillId="9" borderId="1" xfId="8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wrapText="1"/>
    </xf>
    <xf numFmtId="0" fontId="1" fillId="9" borderId="1" xfId="8" applyBorder="1"/>
    <xf numFmtId="0" fontId="3" fillId="3" borderId="1" xfId="2" applyBorder="1" applyAlignment="1">
      <alignment wrapText="1"/>
    </xf>
    <xf numFmtId="0" fontId="3" fillId="3" borderId="1" xfId="2" applyBorder="1"/>
    <xf numFmtId="0" fontId="2" fillId="2" borderId="1" xfId="1" applyBorder="1" applyAlignment="1">
      <alignment vertical="center" wrapText="1"/>
    </xf>
    <xf numFmtId="0" fontId="2" fillId="2" borderId="1" xfId="1" applyBorder="1" applyAlignment="1">
      <alignment vertical="center"/>
    </xf>
    <xf numFmtId="0" fontId="1" fillId="9" borderId="1" xfId="8" applyBorder="1" applyAlignment="1">
      <alignment vertical="center" wrapText="1"/>
    </xf>
    <xf numFmtId="0" fontId="1" fillId="9" borderId="1" xfId="8" applyBorder="1" applyAlignment="1">
      <alignment vertical="center"/>
    </xf>
    <xf numFmtId="0" fontId="11" fillId="3" borderId="1" xfId="2" applyFont="1" applyBorder="1" applyAlignment="1">
      <alignment vertical="center" wrapText="1"/>
    </xf>
    <xf numFmtId="0" fontId="11" fillId="2" borderId="1" xfId="1" applyFont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4" borderId="1" xfId="3" applyFont="1" applyBorder="1" applyAlignment="1">
      <alignment vertical="center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vertical="center" wrapText="1" readingOrder="2"/>
    </xf>
    <xf numFmtId="0" fontId="1" fillId="7" borderId="1" xfId="6" applyBorder="1" applyAlignment="1">
      <alignment horizontal="center" vertical="center" wrapText="1" readingOrder="2"/>
    </xf>
    <xf numFmtId="0" fontId="1" fillId="7" borderId="1" xfId="6" applyBorder="1" applyAlignment="1">
      <alignment vertical="center" wrapText="1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horizontal="center" vertical="center"/>
    </xf>
    <xf numFmtId="0" fontId="1" fillId="5" borderId="1" xfId="4" applyBorder="1" applyAlignment="1">
      <alignment horizontal="center" vertical="center" wrapText="1" readingOrder="2"/>
    </xf>
    <xf numFmtId="0" fontId="11" fillId="5" borderId="1" xfId="4" applyFont="1" applyBorder="1" applyAlignment="1">
      <alignment vertical="center" wrapText="1"/>
    </xf>
    <xf numFmtId="0" fontId="1" fillId="5" borderId="1" xfId="4" applyBorder="1" applyAlignment="1">
      <alignment vertical="center"/>
    </xf>
    <xf numFmtId="0" fontId="1" fillId="6" borderId="1" xfId="5" applyBorder="1" applyAlignment="1">
      <alignment horizontal="center" vertical="center"/>
    </xf>
    <xf numFmtId="0" fontId="1" fillId="6" borderId="1" xfId="5" applyBorder="1" applyAlignment="1">
      <alignment horizontal="center" vertical="center" wrapText="1" readingOrder="2"/>
    </xf>
    <xf numFmtId="0" fontId="11" fillId="6" borderId="1" xfId="5" applyFont="1" applyBorder="1" applyAlignment="1">
      <alignment vertical="center" wrapText="1"/>
    </xf>
    <xf numFmtId="0" fontId="1" fillId="6" borderId="1" xfId="5" applyBorder="1" applyAlignment="1">
      <alignment vertical="center"/>
    </xf>
    <xf numFmtId="0" fontId="1" fillId="8" borderId="1" xfId="7" applyBorder="1" applyAlignment="1">
      <alignment horizontal="center" vertical="center"/>
    </xf>
    <xf numFmtId="0" fontId="1" fillId="8" borderId="1" xfId="7" applyBorder="1" applyAlignment="1">
      <alignment horizontal="center" vertical="center" wrapText="1" readingOrder="2"/>
    </xf>
    <xf numFmtId="0" fontId="1" fillId="8" borderId="1" xfId="7" applyBorder="1" applyAlignment="1">
      <alignment vertical="center" wrapText="1"/>
    </xf>
    <xf numFmtId="0" fontId="1" fillId="8" borderId="1" xfId="7" applyBorder="1" applyAlignment="1">
      <alignment vertical="center"/>
    </xf>
    <xf numFmtId="0" fontId="11" fillId="4" borderId="1" xfId="3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1" fillId="10" borderId="1" xfId="9" applyBorder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10" fontId="0" fillId="0" borderId="1" xfId="0" applyNumberFormat="1" applyBorder="1"/>
    <xf numFmtId="10" fontId="4" fillId="4" borderId="1" xfId="3" applyNumberFormat="1" applyBorder="1" applyAlignment="1">
      <alignment vertical="center"/>
    </xf>
    <xf numFmtId="10" fontId="3" fillId="3" borderId="1" xfId="2" applyNumberFormat="1" applyBorder="1" applyAlignment="1">
      <alignment vertical="center"/>
    </xf>
    <xf numFmtId="10" fontId="2" fillId="2" borderId="1" xfId="1" applyNumberFormat="1" applyBorder="1"/>
    <xf numFmtId="10" fontId="1" fillId="9" borderId="1" xfId="8" applyNumberFormat="1" applyBorder="1"/>
    <xf numFmtId="10" fontId="3" fillId="3" borderId="1" xfId="2" applyNumberFormat="1" applyBorder="1"/>
    <xf numFmtId="10" fontId="2" fillId="2" borderId="1" xfId="1" applyNumberFormat="1" applyBorder="1" applyAlignment="1">
      <alignment vertical="center"/>
    </xf>
    <xf numFmtId="10" fontId="1" fillId="9" borderId="1" xfId="8" applyNumberFormat="1" applyBorder="1" applyAlignment="1">
      <alignment vertical="center"/>
    </xf>
    <xf numFmtId="10" fontId="5" fillId="4" borderId="1" xfId="3" applyNumberFormat="1" applyFont="1" applyBorder="1" applyAlignment="1">
      <alignment vertical="center"/>
    </xf>
    <xf numFmtId="10" fontId="1" fillId="7" borderId="1" xfId="6" applyNumberFormat="1" applyBorder="1" applyAlignment="1">
      <alignment vertical="center"/>
    </xf>
    <xf numFmtId="10" fontId="1" fillId="5" borderId="1" xfId="4" applyNumberFormat="1" applyBorder="1" applyAlignment="1">
      <alignment vertical="center"/>
    </xf>
    <xf numFmtId="10" fontId="1" fillId="6" borderId="1" xfId="5" applyNumberFormat="1" applyBorder="1" applyAlignment="1">
      <alignment vertical="center"/>
    </xf>
    <xf numFmtId="10" fontId="1" fillId="8" borderId="1" xfId="7" applyNumberFormat="1" applyBorder="1" applyAlignment="1">
      <alignment vertical="center"/>
    </xf>
    <xf numFmtId="10" fontId="1" fillId="10" borderId="1" xfId="9" applyNumberFormat="1" applyBorder="1" applyAlignment="1">
      <alignment vertical="center"/>
    </xf>
    <xf numFmtId="10" fontId="0" fillId="0" borderId="0" xfId="0" applyNumberFormat="1"/>
    <xf numFmtId="0" fontId="0" fillId="7" borderId="1" xfId="6" applyFont="1" applyBorder="1" applyAlignment="1">
      <alignment vertical="center" wrapText="1"/>
    </xf>
    <xf numFmtId="0" fontId="2" fillId="2" borderId="1" xfId="1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0" fontId="14" fillId="0" borderId="1" xfId="0" applyNumberFormat="1" applyFont="1" applyBorder="1" applyAlignment="1">
      <alignment horizontal="center" vertical="center" wrapText="1"/>
    </xf>
    <xf numFmtId="0" fontId="15" fillId="4" borderId="1" xfId="3" applyFont="1" applyBorder="1" applyAlignment="1">
      <alignment horizontal="center" vertical="center"/>
    </xf>
    <xf numFmtId="0" fontId="16" fillId="3" borderId="1" xfId="2" applyFont="1" applyBorder="1" applyAlignment="1">
      <alignment horizontal="center" vertical="center"/>
    </xf>
    <xf numFmtId="0" fontId="17" fillId="2" borderId="1" xfId="1" applyFont="1" applyBorder="1" applyAlignment="1">
      <alignment horizontal="center" vertical="center"/>
    </xf>
    <xf numFmtId="0" fontId="13" fillId="9" borderId="1" xfId="8" applyFont="1" applyBorder="1" applyAlignment="1">
      <alignment horizontal="center" vertical="center"/>
    </xf>
    <xf numFmtId="0" fontId="13" fillId="7" borderId="1" xfId="6" applyFont="1" applyBorder="1" applyAlignment="1">
      <alignment horizontal="center" vertical="center"/>
    </xf>
    <xf numFmtId="0" fontId="13" fillId="5" borderId="1" xfId="4" applyFont="1" applyBorder="1" applyAlignment="1">
      <alignment horizontal="center" vertical="center"/>
    </xf>
    <xf numFmtId="0" fontId="13" fillId="6" borderId="1" xfId="5" applyFont="1" applyBorder="1" applyAlignment="1">
      <alignment horizontal="center" vertical="center"/>
    </xf>
    <xf numFmtId="0" fontId="13" fillId="8" borderId="1" xfId="7" applyFont="1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 wrapText="1"/>
    </xf>
    <xf numFmtId="0" fontId="3" fillId="3" borderId="0" xfId="2" applyBorder="1" applyAlignment="1">
      <alignment vertical="center"/>
    </xf>
    <xf numFmtId="10" fontId="3" fillId="3" borderId="0" xfId="2" applyNumberFormat="1" applyBorder="1" applyAlignment="1">
      <alignment vertical="center"/>
    </xf>
    <xf numFmtId="0" fontId="16" fillId="3" borderId="0" xfId="2" applyFont="1" applyBorder="1" applyAlignment="1">
      <alignment horizontal="center" vertical="center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</c:f>
              <c:strCache>
                <c:ptCount val="1"/>
                <c:pt idx="0">
                  <c:v>[l]</c:v>
                </c:pt>
              </c:strCache>
            </c:strRef>
          </c:cat>
          <c:val>
            <c:numRef>
              <c:f>Sheet1!$G$2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3-4F59-BA8F-110E845C857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</c:f>
              <c:strCache>
                <c:ptCount val="1"/>
                <c:pt idx="0">
                  <c:v>[l]</c:v>
                </c:pt>
              </c:strCache>
            </c:strRef>
          </c:cat>
          <c:val>
            <c:numRef>
              <c:f>Sheet1!$H$2</c:f>
              <c:numCache>
                <c:formatCode>0.00%</c:formatCode>
                <c:ptCount val="1"/>
                <c:pt idx="0">
                  <c:v>2.8571428571428571E-2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3-4F59-BA8F-110E845C8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8771391"/>
        <c:axId val="1028771807"/>
      </c:barChart>
      <c:catAx>
        <c:axId val="102877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71807"/>
        <c:crosses val="autoZero"/>
        <c:auto val="1"/>
        <c:lblAlgn val="ctr"/>
        <c:lblOffset val="100"/>
        <c:noMultiLvlLbl val="0"/>
      </c:catAx>
      <c:valAx>
        <c:axId val="102877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713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</c:f>
              <c:strCache>
                <c:ptCount val="1"/>
                <c:pt idx="0">
                  <c:v>[j]</c:v>
                </c:pt>
              </c:strCache>
            </c:strRef>
          </c:cat>
          <c:val>
            <c:numRef>
              <c:f>Sheet1!$G$4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5-4254-B23B-2B043FD9CBB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</c:f>
              <c:strCache>
                <c:ptCount val="1"/>
                <c:pt idx="0">
                  <c:v>[j]</c:v>
                </c:pt>
              </c:strCache>
            </c:strRef>
          </c:cat>
          <c:val>
            <c:numRef>
              <c:f>Sheet1!$H$4</c:f>
              <c:numCache>
                <c:formatCode>0.00%</c:formatCode>
                <c:ptCount val="1"/>
                <c:pt idx="0">
                  <c:v>1.0869565217391304E-2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65-4254-B23B-2B043FD9C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2357503"/>
        <c:axId val="1182352927"/>
      </c:barChart>
      <c:catAx>
        <c:axId val="118235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52927"/>
        <c:crosses val="autoZero"/>
        <c:auto val="1"/>
        <c:lblAlgn val="ctr"/>
        <c:lblOffset val="100"/>
        <c:noMultiLvlLbl val="0"/>
      </c:catAx>
      <c:valAx>
        <c:axId val="118235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575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Sheet1!$F$18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Sheet1!$G$18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A-4CBF-85A8-FB4A5C2A650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Sheet1!$F$18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Sheet1!$H$18</c:f>
              <c:numCache>
                <c:formatCode>0.00%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2A-4CBF-85A8-FB4A5C2A6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1766767"/>
        <c:axId val="1021769679"/>
      </c:barChart>
      <c:catAx>
        <c:axId val="102176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69679"/>
        <c:crosses val="autoZero"/>
        <c:auto val="1"/>
        <c:lblAlgn val="ctr"/>
        <c:lblOffset val="100"/>
        <c:noMultiLvlLbl val="0"/>
      </c:catAx>
      <c:valAx>
        <c:axId val="102176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66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Sheet1!$F$20:$F$23</c:f>
              <c:strCache>
                <c:ptCount val="4"/>
                <c:pt idx="0">
                  <c:v>[ʒ]</c:v>
                </c:pt>
                <c:pt idx="1">
                  <c:v>[k]</c:v>
                </c:pt>
                <c:pt idx="2">
                  <c:v>[ʃ]</c:v>
                </c:pt>
                <c:pt idx="3">
                  <c:v>[q]</c:v>
                </c:pt>
              </c:strCache>
            </c:strRef>
          </c:cat>
          <c:val>
            <c:numRef>
              <c:f>Sheet1!$G$20:$G$23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F-4E7E-9E4F-04BA43A0B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478031"/>
        <c:axId val="102447553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Sheet1!$F$20:$F$23</c:f>
              <c:strCache>
                <c:ptCount val="4"/>
                <c:pt idx="0">
                  <c:v>[ʒ]</c:v>
                </c:pt>
                <c:pt idx="1">
                  <c:v>[k]</c:v>
                </c:pt>
                <c:pt idx="2">
                  <c:v>[ʃ]</c:v>
                </c:pt>
                <c:pt idx="3">
                  <c:v>[q]</c:v>
                </c:pt>
              </c:strCache>
            </c:strRef>
          </c:cat>
          <c:val>
            <c:numRef>
              <c:f>Sheet1!$H$20:$H$23</c:f>
              <c:numCache>
                <c:formatCode>0.00%</c:formatCode>
                <c:ptCount val="4"/>
                <c:pt idx="0">
                  <c:v>0.4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DF-4E7E-9E4F-04BA43A0B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4478031"/>
        <c:axId val="1024475535"/>
      </c:lineChart>
      <c:catAx>
        <c:axId val="102447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475535"/>
        <c:crosses val="autoZero"/>
        <c:auto val="1"/>
        <c:lblAlgn val="ctr"/>
        <c:lblOffset val="100"/>
        <c:noMultiLvlLbl val="0"/>
      </c:catAx>
      <c:valAx>
        <c:axId val="102447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4780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[ɣ]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Sheet1!$F$31</c:f>
              <c:strCache>
                <c:ptCount val="1"/>
                <c:pt idx="0">
                  <c:v>[χ]</c:v>
                </c:pt>
              </c:strCache>
            </c:strRef>
          </c:cat>
          <c:val>
            <c:numRef>
              <c:f>Sheet1!$G$31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4-4063-AEFD-FF153A84100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Sheet1!$F$31</c:f>
              <c:strCache>
                <c:ptCount val="1"/>
                <c:pt idx="0">
                  <c:v>[χ]</c:v>
                </c:pt>
              </c:strCache>
            </c:strRef>
          </c:cat>
          <c:val>
            <c:numRef>
              <c:f>Sheet1!$H$31</c:f>
              <c:numCache>
                <c:formatCode>0.00%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44-4063-AEFD-FF153A841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473871"/>
        <c:axId val="1024474703"/>
      </c:barChart>
      <c:catAx>
        <c:axId val="102447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474703"/>
        <c:crosses val="autoZero"/>
        <c:auto val="1"/>
        <c:lblAlgn val="ctr"/>
        <c:lblOffset val="100"/>
        <c:noMultiLvlLbl val="0"/>
      </c:catAx>
      <c:valAx>
        <c:axId val="102447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4738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[ʕ]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Sheet1!$F$33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Sheet1!$G$33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0-447C-B3E4-3F79028FA21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Sheet1!$F$33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Sheet1!$H$33</c:f>
              <c:numCache>
                <c:formatCode>0.00%</c:formatCode>
                <c:ptCount val="1"/>
                <c:pt idx="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B0-447C-B3E4-3F79028FA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085231"/>
        <c:axId val="1172087311"/>
      </c:barChart>
      <c:catAx>
        <c:axId val="117208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087311"/>
        <c:crosses val="autoZero"/>
        <c:auto val="1"/>
        <c:lblAlgn val="ctr"/>
        <c:lblOffset val="100"/>
        <c:noMultiLvlLbl val="0"/>
      </c:catAx>
      <c:valAx>
        <c:axId val="117208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0852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[ħ]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Sheet1!$F$35</c:f>
              <c:strCache>
                <c:ptCount val="1"/>
                <c:pt idx="0">
                  <c:v>[χ]</c:v>
                </c:pt>
              </c:strCache>
            </c:strRef>
          </c:cat>
          <c:val>
            <c:numRef>
              <c:f>Sheet1!$G$35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E-4C83-A557-52D1420C58D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Sheet1!$F$35</c:f>
              <c:strCache>
                <c:ptCount val="1"/>
                <c:pt idx="0">
                  <c:v>[χ]</c:v>
                </c:pt>
              </c:strCache>
            </c:strRef>
          </c:cat>
          <c:val>
            <c:numRef>
              <c:f>Sheet1!$H$35</c:f>
              <c:numCache>
                <c:formatCode>0.00%</c:formatCode>
                <c:ptCount val="1"/>
                <c:pt idx="0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E-4C83-A557-52D1420C5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8772223"/>
        <c:axId val="1028770559"/>
      </c:barChart>
      <c:catAx>
        <c:axId val="102877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70559"/>
        <c:crosses val="autoZero"/>
        <c:auto val="1"/>
        <c:lblAlgn val="ctr"/>
        <c:lblOffset val="100"/>
        <c:noMultiLvlLbl val="0"/>
      </c:catAx>
      <c:valAx>
        <c:axId val="102877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722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Sheet1!$F$37</c:f>
              <c:strCache>
                <c:ptCount val="1"/>
                <c:pt idx="0">
                  <c:v>[ħ]</c:v>
                </c:pt>
              </c:strCache>
            </c:strRef>
          </c:cat>
          <c:val>
            <c:numRef>
              <c:f>Sheet1!$G$37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F-410C-9B3E-3809B40E925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Sheet1!$F$37</c:f>
              <c:strCache>
                <c:ptCount val="1"/>
                <c:pt idx="0">
                  <c:v>[ħ]</c:v>
                </c:pt>
              </c:strCache>
            </c:strRef>
          </c:cat>
          <c:val>
            <c:numRef>
              <c:f>Sheet1!$H$37</c:f>
              <c:numCache>
                <c:formatCode>0.00%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F-410C-9B3E-3809B40E9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087727"/>
        <c:axId val="1172081071"/>
      </c:barChart>
      <c:catAx>
        <c:axId val="117208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081071"/>
        <c:crosses val="autoZero"/>
        <c:auto val="1"/>
        <c:lblAlgn val="ctr"/>
        <c:lblOffset val="100"/>
        <c:noMultiLvlLbl val="0"/>
      </c:catAx>
      <c:valAx>
        <c:axId val="117208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0877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[v]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Sheet1!$F$43</c:f>
              <c:strCache>
                <c:ptCount val="1"/>
                <c:pt idx="0">
                  <c:v>[f]</c:v>
                </c:pt>
              </c:strCache>
            </c:strRef>
          </c:cat>
          <c:val>
            <c:numRef>
              <c:f>Sheet1!$G$43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6-4213-83AC-E98993D002E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Sheet1!$F$43</c:f>
              <c:strCache>
                <c:ptCount val="1"/>
                <c:pt idx="0">
                  <c:v>[f]</c:v>
                </c:pt>
              </c:strCache>
            </c:strRef>
          </c:cat>
          <c:val>
            <c:numRef>
              <c:f>Sheet1!$H$43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26-4213-83AC-E98993D00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804687"/>
        <c:axId val="1189807599"/>
      </c:barChart>
      <c:catAx>
        <c:axId val="118980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07599"/>
        <c:crosses val="autoZero"/>
        <c:auto val="1"/>
        <c:lblAlgn val="ctr"/>
        <c:lblOffset val="100"/>
        <c:noMultiLvlLbl val="0"/>
      </c:catAx>
      <c:valAx>
        <c:axId val="118980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046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Sheet1!$F$49</c:f>
              <c:strCache>
                <c:ptCount val="1"/>
                <c:pt idx="0">
                  <c:v>[pʰ]</c:v>
                </c:pt>
              </c:strCache>
            </c:strRef>
          </c:cat>
          <c:val>
            <c:numRef>
              <c:f>Sheet1!$G$49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D-4AE4-980F-2935DCCDC6C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Sheet1!$F$49</c:f>
              <c:strCache>
                <c:ptCount val="1"/>
                <c:pt idx="0">
                  <c:v>[pʰ]</c:v>
                </c:pt>
              </c:strCache>
            </c:strRef>
          </c:cat>
          <c:val>
            <c:numRef>
              <c:f>Sheet1!$H$49</c:f>
              <c:numCache>
                <c:formatCode>0.00%</c:formatCode>
                <c:ptCount val="1"/>
                <c:pt idx="0">
                  <c:v>4.2553191489361701E-2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6D-4AE4-980F-2935DCCDC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809679"/>
        <c:axId val="1189795119"/>
      </c:barChart>
      <c:catAx>
        <c:axId val="118980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795119"/>
        <c:crosses val="autoZero"/>
        <c:auto val="1"/>
        <c:lblAlgn val="ctr"/>
        <c:lblOffset val="100"/>
        <c:noMultiLvlLbl val="0"/>
      </c:catAx>
      <c:valAx>
        <c:axId val="118979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096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Sheet1!$F$53:$F$54</c:f>
              <c:strCache>
                <c:ptCount val="2"/>
                <c:pt idx="0">
                  <c:v>[tʰ]</c:v>
                </c:pt>
                <c:pt idx="1">
                  <c:v>[t͡s]</c:v>
                </c:pt>
              </c:strCache>
            </c:strRef>
          </c:cat>
          <c:val>
            <c:numRef>
              <c:f>Sheet1!$G$53:$G$54</c:f>
              <c:numCache>
                <c:formatCode>General</c:formatCode>
                <c:ptCount val="2"/>
                <c:pt idx="0">
                  <c:v>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4-4C31-9B99-650620B1A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798447"/>
        <c:axId val="118979969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Sheet1!$F$53:$F$54</c:f>
              <c:strCache>
                <c:ptCount val="2"/>
                <c:pt idx="0">
                  <c:v>[tʰ]</c:v>
                </c:pt>
                <c:pt idx="1">
                  <c:v>[t͡s]</c:v>
                </c:pt>
              </c:strCache>
            </c:strRef>
          </c:cat>
          <c:val>
            <c:numRef>
              <c:f>Sheet1!$H$53:$H$54</c:f>
              <c:numCache>
                <c:formatCode>0.00%</c:formatCode>
                <c:ptCount val="2"/>
                <c:pt idx="0">
                  <c:v>0.29629629629629628</c:v>
                </c:pt>
                <c:pt idx="1">
                  <c:v>0.25925925925925924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74-4C31-9B99-650620B1A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9802191"/>
        <c:axId val="1189794703"/>
      </c:lineChart>
      <c:catAx>
        <c:axId val="118979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799695"/>
        <c:crosses val="autoZero"/>
        <c:auto val="1"/>
        <c:lblAlgn val="ctr"/>
        <c:lblOffset val="100"/>
        <c:noMultiLvlLbl val="0"/>
      </c:catAx>
      <c:valAx>
        <c:axId val="118979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798447"/>
        <c:crosses val="autoZero"/>
        <c:crossBetween val="between"/>
      </c:valAx>
      <c:valAx>
        <c:axId val="11897947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02191"/>
        <c:crosses val="max"/>
        <c:crossBetween val="between"/>
      </c:valAx>
      <c:catAx>
        <c:axId val="1189802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8979470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Sheet1!$F$56:$F$57</c:f>
              <c:strCache>
                <c:ptCount val="2"/>
                <c:pt idx="0">
                  <c:v>[tʰ]</c:v>
                </c:pt>
                <c:pt idx="1">
                  <c:v>[d̥]</c:v>
                </c:pt>
              </c:strCache>
            </c:strRef>
          </c:cat>
          <c:val>
            <c:numRef>
              <c:f>Sheet1!$G$56:$G$57</c:f>
              <c:numCache>
                <c:formatCode>General</c:formatCode>
                <c:ptCount val="2"/>
                <c:pt idx="0">
                  <c:v>10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75-4C77-A2F4-2ED89A26B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2358335"/>
        <c:axId val="118235417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Sheet1!$F$56:$F$57</c:f>
              <c:strCache>
                <c:ptCount val="2"/>
                <c:pt idx="0">
                  <c:v>[tʰ]</c:v>
                </c:pt>
                <c:pt idx="1">
                  <c:v>[d̥]</c:v>
                </c:pt>
              </c:strCache>
            </c:strRef>
          </c:cat>
          <c:val>
            <c:numRef>
              <c:f>Sheet1!$H$56:$H$57</c:f>
              <c:numCache>
                <c:formatCode>0.00%</c:formatCode>
                <c:ptCount val="2"/>
                <c:pt idx="0">
                  <c:v>0.32258064516129031</c:v>
                </c:pt>
                <c:pt idx="1">
                  <c:v>0.16129032258064516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75-4C77-A2F4-2ED89A26B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356671"/>
        <c:axId val="1182356255"/>
      </c:lineChart>
      <c:catAx>
        <c:axId val="118235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54175"/>
        <c:crosses val="autoZero"/>
        <c:auto val="1"/>
        <c:lblAlgn val="ctr"/>
        <c:lblOffset val="100"/>
        <c:noMultiLvlLbl val="0"/>
      </c:catAx>
      <c:valAx>
        <c:axId val="118235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58335"/>
        <c:crosses val="autoZero"/>
        <c:crossBetween val="between"/>
      </c:valAx>
      <c:valAx>
        <c:axId val="118235625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56671"/>
        <c:crosses val="max"/>
        <c:crossBetween val="between"/>
      </c:valAx>
      <c:catAx>
        <c:axId val="11823566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8235625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Sheet1!$F$59</c:f>
              <c:strCache>
                <c:ptCount val="1"/>
                <c:pt idx="0">
                  <c:v>[θ]</c:v>
                </c:pt>
              </c:strCache>
            </c:strRef>
          </c:cat>
          <c:val>
            <c:numRef>
              <c:f>Sheet1!$G$59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B-46C1-BBB1-3CABF891EB5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Sheet1!$F$59</c:f>
              <c:strCache>
                <c:ptCount val="1"/>
                <c:pt idx="0">
                  <c:v>[θ]</c:v>
                </c:pt>
              </c:strCache>
            </c:strRef>
          </c:cat>
          <c:val>
            <c:numRef>
              <c:f>Sheet1!$H$59</c:f>
              <c:numCache>
                <c:formatCode>0.00%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8B-46C1-BBB1-3CABF891E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799279"/>
        <c:axId val="1189808015"/>
      </c:barChart>
      <c:catAx>
        <c:axId val="118979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08015"/>
        <c:crosses val="autoZero"/>
        <c:auto val="1"/>
        <c:lblAlgn val="ctr"/>
        <c:lblOffset val="100"/>
        <c:noMultiLvlLbl val="0"/>
      </c:catAx>
      <c:valAx>
        <c:axId val="118980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7992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</a:t>
            </a:r>
            <a:r>
              <a:rPr lang="en-US" baseline="0"/>
              <a:t> structure processes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Sheet2!$C$2:$C$8</c:f>
              <c:strCache>
                <c:ptCount val="7"/>
                <c:pt idx="0">
                  <c:v>degemination(reduce consonant cluster to one single consonant)</c:v>
                </c:pt>
                <c:pt idx="1">
                  <c:v>Epenthesis(insertion of [ ɑ] phone between consonant cluster)</c:v>
                </c:pt>
                <c:pt idx="2">
                  <c:v>Epenthesis(insertion of [ æ] phone between consonant cluster)</c:v>
                </c:pt>
                <c:pt idx="3">
                  <c:v>Epenthesis(insertion of [ɪ] phone between consonant cluster)</c:v>
                </c:pt>
                <c:pt idx="4">
                  <c:v>final consonant deletion</c:v>
                </c:pt>
                <c:pt idx="5">
                  <c:v>syllable structure process(final syllable deletion)</c:v>
                </c:pt>
                <c:pt idx="6">
                  <c:v>Vowel  nasalization</c:v>
                </c:pt>
              </c:strCache>
            </c:strRef>
          </c:cat>
          <c:val>
            <c:numRef>
              <c:f>Sheet2!$D$2:$D$8</c:f>
              <c:numCache>
                <c:formatCode>General</c:formatCode>
                <c:ptCount val="7"/>
                <c:pt idx="0">
                  <c:v>7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7-40D1-A890-6DEFC325F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2359167"/>
        <c:axId val="118235958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57-40D1-A890-6DEFC325F4E4}"/>
              </c:ext>
            </c:extLst>
          </c:dPt>
          <c:cat>
            <c:strRef>
              <c:f>Sheet2!$C$2:$C$8</c:f>
              <c:strCache>
                <c:ptCount val="7"/>
                <c:pt idx="0">
                  <c:v>degemination(reduce consonant cluster to one single consonant)</c:v>
                </c:pt>
                <c:pt idx="1">
                  <c:v>Epenthesis(insertion of [ ɑ] phone between consonant cluster)</c:v>
                </c:pt>
                <c:pt idx="2">
                  <c:v>Epenthesis(insertion of [ æ] phone between consonant cluster)</c:v>
                </c:pt>
                <c:pt idx="3">
                  <c:v>Epenthesis(insertion of [ɪ] phone between consonant cluster)</c:v>
                </c:pt>
                <c:pt idx="4">
                  <c:v>final consonant deletion</c:v>
                </c:pt>
                <c:pt idx="5">
                  <c:v>syllable structure process(final syllable deletion)</c:v>
                </c:pt>
                <c:pt idx="6">
                  <c:v>Vowel  nasalization</c:v>
                </c:pt>
              </c:strCache>
            </c:strRef>
          </c:cat>
          <c:val>
            <c:numRef>
              <c:f>Sheet2!$E$2:$E$8</c:f>
              <c:numCache>
                <c:formatCode>0.00%</c:formatCode>
                <c:ptCount val="7"/>
                <c:pt idx="0">
                  <c:v>0.63636363636363635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57-40D1-A890-6DEFC325F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9796783"/>
        <c:axId val="1189800943"/>
      </c:lineChart>
      <c:catAx>
        <c:axId val="118235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59583"/>
        <c:crosses val="autoZero"/>
        <c:auto val="1"/>
        <c:lblAlgn val="ctr"/>
        <c:lblOffset val="100"/>
        <c:noMultiLvlLbl val="0"/>
      </c:catAx>
      <c:valAx>
        <c:axId val="118235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59167"/>
        <c:crosses val="autoZero"/>
        <c:crossBetween val="between"/>
      </c:valAx>
      <c:valAx>
        <c:axId val="1189800943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1189796783"/>
        <c:crosses val="max"/>
        <c:crossBetween val="between"/>
      </c:valAx>
      <c:catAx>
        <c:axId val="11897967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898009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Sheet3!$C$3:$C$10</c:f>
              <c:strCache>
                <c:ptCount val="8"/>
                <c:pt idx="0">
                  <c:v>Definite Article deletion</c:v>
                </c:pt>
                <c:pt idx="1">
                  <c:v>Deletion of feminine marker</c:v>
                </c:pt>
                <c:pt idx="2">
                  <c:v>consonant deletion  of [ʔ] phone affected by colloquial Arabic</c:v>
                </c:pt>
                <c:pt idx="3">
                  <c:v>replace the Modern Standard Arabic diphthong [æw]with the colloquial arabic vowel[o:]</c:v>
                </c:pt>
                <c:pt idx="4">
                  <c:v>replace the Modern Standard Arabic consonant [ðˤ]with the colloquial arabic consonant [zˤ]</c:v>
                </c:pt>
                <c:pt idx="5">
                  <c:v>replace  [ʔ]with  [j] affected by colloquial arabic</c:v>
                </c:pt>
                <c:pt idx="6">
                  <c:v>replace feminine with masculine</c:v>
                </c:pt>
                <c:pt idx="7">
                  <c:v>replace verb with noun</c:v>
                </c:pt>
              </c:strCache>
            </c:strRef>
          </c:cat>
          <c:val>
            <c:numRef>
              <c:f>Sheet3!$D$3:$D$10</c:f>
              <c:numCache>
                <c:formatCode>General</c:formatCode>
                <c:ptCount val="8"/>
                <c:pt idx="0">
                  <c:v>10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0-4C5F-8D2F-3D0119BD9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083983"/>
        <c:axId val="117208065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Sheet3!$C$3:$C$10</c:f>
              <c:strCache>
                <c:ptCount val="8"/>
                <c:pt idx="0">
                  <c:v>Definite Article deletion</c:v>
                </c:pt>
                <c:pt idx="1">
                  <c:v>Deletion of feminine marker</c:v>
                </c:pt>
                <c:pt idx="2">
                  <c:v>consonant deletion  of [ʔ] phone affected by colloquial Arabic</c:v>
                </c:pt>
                <c:pt idx="3">
                  <c:v>replace the Modern Standard Arabic diphthong [æw]with the colloquial arabic vowel[o:]</c:v>
                </c:pt>
                <c:pt idx="4">
                  <c:v>replace the Modern Standard Arabic consonant [ðˤ]with the colloquial arabic consonant [zˤ]</c:v>
                </c:pt>
                <c:pt idx="5">
                  <c:v>replace  [ʔ]with  [j] affected by colloquial arabic</c:v>
                </c:pt>
                <c:pt idx="6">
                  <c:v>replace feminine with masculine</c:v>
                </c:pt>
                <c:pt idx="7">
                  <c:v>replace verb with noun</c:v>
                </c:pt>
              </c:strCache>
            </c:strRef>
          </c:cat>
          <c:val>
            <c:numRef>
              <c:f>Sheet3!$E$3:$E$10</c:f>
              <c:numCache>
                <c:formatCode>0.00%</c:formatCode>
                <c:ptCount val="8"/>
                <c:pt idx="0">
                  <c:v>0.32258064516129031</c:v>
                </c:pt>
                <c:pt idx="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70-4C5F-8D2F-3D0119BD9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2086479"/>
        <c:axId val="1172086063"/>
      </c:lineChart>
      <c:catAx>
        <c:axId val="117208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080655"/>
        <c:crosses val="autoZero"/>
        <c:auto val="1"/>
        <c:lblAlgn val="ctr"/>
        <c:lblOffset val="100"/>
        <c:noMultiLvlLbl val="0"/>
      </c:catAx>
      <c:valAx>
        <c:axId val="117208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083983"/>
        <c:crosses val="autoZero"/>
        <c:crossBetween val="between"/>
      </c:valAx>
      <c:valAx>
        <c:axId val="1172086063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1172086479"/>
        <c:crosses val="max"/>
        <c:crossBetween val="between"/>
      </c:valAx>
      <c:catAx>
        <c:axId val="11720864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208606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</xdr:colOff>
      <xdr:row>0</xdr:row>
      <xdr:rowOff>1592580</xdr:rowOff>
    </xdr:from>
    <xdr:to>
      <xdr:col>15</xdr:col>
      <xdr:colOff>335280</xdr:colOff>
      <xdr:row>1</xdr:row>
      <xdr:rowOff>2034540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121920</xdr:colOff>
      <xdr:row>3</xdr:row>
      <xdr:rowOff>22860</xdr:rowOff>
    </xdr:from>
    <xdr:to>
      <xdr:col>15</xdr:col>
      <xdr:colOff>426720</xdr:colOff>
      <xdr:row>3</xdr:row>
      <xdr:rowOff>1866900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</xdr:colOff>
      <xdr:row>17</xdr:row>
      <xdr:rowOff>60960</xdr:rowOff>
    </xdr:from>
    <xdr:to>
      <xdr:col>15</xdr:col>
      <xdr:colOff>327660</xdr:colOff>
      <xdr:row>17</xdr:row>
      <xdr:rowOff>2042160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45720</xdr:colOff>
      <xdr:row>19</xdr:row>
      <xdr:rowOff>3810</xdr:rowOff>
    </xdr:from>
    <xdr:to>
      <xdr:col>15</xdr:col>
      <xdr:colOff>350520</xdr:colOff>
      <xdr:row>22</xdr:row>
      <xdr:rowOff>960120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45720</xdr:colOff>
      <xdr:row>30</xdr:row>
      <xdr:rowOff>30480</xdr:rowOff>
    </xdr:from>
    <xdr:to>
      <xdr:col>15</xdr:col>
      <xdr:colOff>350520</xdr:colOff>
      <xdr:row>30</xdr:row>
      <xdr:rowOff>2065020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30480</xdr:colOff>
      <xdr:row>32</xdr:row>
      <xdr:rowOff>83820</xdr:rowOff>
    </xdr:from>
    <xdr:to>
      <xdr:col>15</xdr:col>
      <xdr:colOff>335280</xdr:colOff>
      <xdr:row>32</xdr:row>
      <xdr:rowOff>1897380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7620</xdr:colOff>
      <xdr:row>34</xdr:row>
      <xdr:rowOff>91440</xdr:rowOff>
    </xdr:from>
    <xdr:to>
      <xdr:col>15</xdr:col>
      <xdr:colOff>312420</xdr:colOff>
      <xdr:row>34</xdr:row>
      <xdr:rowOff>2263140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525780</xdr:colOff>
      <xdr:row>36</xdr:row>
      <xdr:rowOff>15240</xdr:rowOff>
    </xdr:from>
    <xdr:to>
      <xdr:col>15</xdr:col>
      <xdr:colOff>297180</xdr:colOff>
      <xdr:row>36</xdr:row>
      <xdr:rowOff>2194560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22860</xdr:colOff>
      <xdr:row>42</xdr:row>
      <xdr:rowOff>19050</xdr:rowOff>
    </xdr:from>
    <xdr:to>
      <xdr:col>15</xdr:col>
      <xdr:colOff>327660</xdr:colOff>
      <xdr:row>42</xdr:row>
      <xdr:rowOff>1828800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48</xdr:row>
      <xdr:rowOff>45720</xdr:rowOff>
    </xdr:from>
    <xdr:to>
      <xdr:col>15</xdr:col>
      <xdr:colOff>304800</xdr:colOff>
      <xdr:row>48</xdr:row>
      <xdr:rowOff>1805940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38100</xdr:colOff>
      <xdr:row>52</xdr:row>
      <xdr:rowOff>45720</xdr:rowOff>
    </xdr:from>
    <xdr:to>
      <xdr:col>15</xdr:col>
      <xdr:colOff>342900</xdr:colOff>
      <xdr:row>53</xdr:row>
      <xdr:rowOff>1234440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38100</xdr:colOff>
      <xdr:row>55</xdr:row>
      <xdr:rowOff>83820</xdr:rowOff>
    </xdr:from>
    <xdr:to>
      <xdr:col>15</xdr:col>
      <xdr:colOff>342900</xdr:colOff>
      <xdr:row>56</xdr:row>
      <xdr:rowOff>975360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30480</xdr:colOff>
      <xdr:row>58</xdr:row>
      <xdr:rowOff>19050</xdr:rowOff>
    </xdr:from>
    <xdr:to>
      <xdr:col>15</xdr:col>
      <xdr:colOff>335280</xdr:colOff>
      <xdr:row>59</xdr:row>
      <xdr:rowOff>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0</xdr:row>
      <xdr:rowOff>53340</xdr:rowOff>
    </xdr:from>
    <xdr:to>
      <xdr:col>14</xdr:col>
      <xdr:colOff>502920</xdr:colOff>
      <xdr:row>10</xdr:row>
      <xdr:rowOff>163830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0</xdr:row>
      <xdr:rowOff>0</xdr:rowOff>
    </xdr:from>
    <xdr:to>
      <xdr:col>13</xdr:col>
      <xdr:colOff>548640</xdr:colOff>
      <xdr:row>15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65"/>
  <sheetViews>
    <sheetView tabSelected="1" zoomScaleNormal="100" workbookViewId="0">
      <selection activeCell="A50" sqref="A50"/>
    </sheetView>
  </sheetViews>
  <sheetFormatPr defaultRowHeight="79.95" customHeight="1" outlineLevelRow="2" x14ac:dyDescent="0.3"/>
  <cols>
    <col min="2" max="2" width="11.21875" customWidth="1"/>
    <col min="3" max="4" width="10.33203125" customWidth="1"/>
    <col min="5" max="5" width="36.21875" style="1" customWidth="1"/>
    <col min="6" max="7" width="6.21875" customWidth="1"/>
    <col min="8" max="8" width="7.77734375" style="72" customWidth="1"/>
  </cols>
  <sheetData>
    <row r="1" spans="2:8" ht="127.2" thickTop="1" thickBot="1" x14ac:dyDescent="0.35">
      <c r="B1" s="81" t="s">
        <v>109</v>
      </c>
      <c r="C1" s="81" t="s">
        <v>110</v>
      </c>
      <c r="D1" s="81" t="s">
        <v>111</v>
      </c>
      <c r="E1" s="82" t="s">
        <v>112</v>
      </c>
      <c r="F1" s="82" t="s">
        <v>113</v>
      </c>
      <c r="G1" s="82" t="s">
        <v>114</v>
      </c>
      <c r="H1" s="83" t="s">
        <v>108</v>
      </c>
    </row>
    <row r="2" spans="2:8" ht="164.4" customHeight="1" outlineLevel="2" thickTop="1" thickBot="1" x14ac:dyDescent="0.35">
      <c r="B2" s="2" t="s">
        <v>59</v>
      </c>
      <c r="C2" s="3">
        <v>35</v>
      </c>
      <c r="D2" s="3" t="s">
        <v>57</v>
      </c>
      <c r="E2" s="4" t="s">
        <v>90</v>
      </c>
      <c r="F2" s="5" t="s">
        <v>92</v>
      </c>
      <c r="G2" s="5">
        <v>1</v>
      </c>
      <c r="H2" s="59">
        <f>G2/C2</f>
        <v>2.8571428571428571E-2</v>
      </c>
    </row>
    <row r="3" spans="2:8" ht="46.2" customHeight="1" outlineLevel="1" thickTop="1" thickBot="1" x14ac:dyDescent="0.35">
      <c r="B3" s="84" t="s">
        <v>115</v>
      </c>
      <c r="C3" s="75">
        <f>SUBTOTAL(9,C2:C2)</f>
        <v>35</v>
      </c>
      <c r="D3" s="75"/>
      <c r="E3" s="4"/>
      <c r="F3" s="5"/>
      <c r="G3" s="5">
        <f>SUBTOTAL(9,G2:G2)</f>
        <v>1</v>
      </c>
      <c r="H3" s="59">
        <f>SUBTOTAL(9,H2:H2)</f>
        <v>2.8571428571428571E-2</v>
      </c>
    </row>
    <row r="4" spans="2:8" ht="150.6" customHeight="1" outlineLevel="2" thickTop="1" thickBot="1" x14ac:dyDescent="0.35">
      <c r="B4" s="6" t="s">
        <v>60</v>
      </c>
      <c r="C4" s="7">
        <v>92</v>
      </c>
      <c r="D4" s="7" t="s">
        <v>58</v>
      </c>
      <c r="E4" s="8" t="s">
        <v>91</v>
      </c>
      <c r="F4" s="9" t="s">
        <v>93</v>
      </c>
      <c r="G4" s="9">
        <v>1</v>
      </c>
      <c r="H4" s="60">
        <f>G4/C4</f>
        <v>1.0869565217391304E-2</v>
      </c>
    </row>
    <row r="5" spans="2:8" ht="35.4" customHeight="1" outlineLevel="1" thickTop="1" thickBot="1" x14ac:dyDescent="0.35">
      <c r="B5" s="85" t="s">
        <v>116</v>
      </c>
      <c r="C5" s="7">
        <f>SUBTOTAL(9,C4:C4)</f>
        <v>92</v>
      </c>
      <c r="D5" s="7"/>
      <c r="E5" s="8"/>
      <c r="F5" s="9"/>
      <c r="G5" s="9">
        <f>SUBTOTAL(9,G4:G4)</f>
        <v>1</v>
      </c>
      <c r="H5" s="60">
        <f>SUBTOTAL(9,H4:H4)</f>
        <v>1.0869565217391304E-2</v>
      </c>
    </row>
    <row r="6" spans="2:8" ht="15" customHeight="1" outlineLevel="2" thickTop="1" thickBot="1" x14ac:dyDescent="0.35">
      <c r="B6" s="10" t="s">
        <v>61</v>
      </c>
      <c r="C6" s="11">
        <v>18</v>
      </c>
      <c r="D6" s="11" t="s">
        <v>31</v>
      </c>
      <c r="E6" s="12">
        <v>0</v>
      </c>
      <c r="F6" s="13">
        <v>0</v>
      </c>
      <c r="G6" s="13">
        <v>0</v>
      </c>
      <c r="H6" s="61">
        <f t="shared" ref="H6:H63" si="0">G6/C6</f>
        <v>0</v>
      </c>
    </row>
    <row r="7" spans="2:8" ht="15" customHeight="1" outlineLevel="1" thickTop="1" thickBot="1" x14ac:dyDescent="0.35">
      <c r="B7" s="86" t="s">
        <v>117</v>
      </c>
      <c r="C7" s="74">
        <f>SUBTOTAL(9,C6:C6)</f>
        <v>18</v>
      </c>
      <c r="D7" s="74"/>
      <c r="E7" s="12"/>
      <c r="F7" s="13"/>
      <c r="G7" s="13">
        <f>SUBTOTAL(9,G6:G6)</f>
        <v>0</v>
      </c>
      <c r="H7" s="61">
        <f>SUBTOTAL(9,H6:H6)</f>
        <v>0</v>
      </c>
    </row>
    <row r="8" spans="2:8" ht="79.8" hidden="1" customHeight="1" outlineLevel="2" thickTop="1" thickBot="1" x14ac:dyDescent="0.35">
      <c r="B8" s="14" t="s">
        <v>62</v>
      </c>
      <c r="C8" s="15">
        <v>1</v>
      </c>
      <c r="D8" s="15" t="s">
        <v>32</v>
      </c>
      <c r="E8" s="16" t="s">
        <v>7</v>
      </c>
      <c r="F8" s="17" t="s">
        <v>94</v>
      </c>
      <c r="G8" s="17">
        <v>0</v>
      </c>
      <c r="H8" s="62">
        <f t="shared" si="0"/>
        <v>0</v>
      </c>
    </row>
    <row r="9" spans="2:8" ht="13.2" customHeight="1" outlineLevel="1" collapsed="1" thickTop="1" thickBot="1" x14ac:dyDescent="0.35">
      <c r="B9" s="87" t="s">
        <v>118</v>
      </c>
      <c r="C9" s="15">
        <f>SUBTOTAL(9,C8:C8)</f>
        <v>1</v>
      </c>
      <c r="D9" s="15"/>
      <c r="E9" s="16"/>
      <c r="F9" s="17"/>
      <c r="G9" s="17">
        <f>SUBTOTAL(9,G8:G8)</f>
        <v>0</v>
      </c>
      <c r="H9" s="62">
        <f>SUBTOTAL(9,H8:H8)</f>
        <v>0</v>
      </c>
    </row>
    <row r="10" spans="2:8" ht="16.2" customHeight="1" outlineLevel="2" thickTop="1" thickBot="1" x14ac:dyDescent="0.35">
      <c r="B10" s="6" t="s">
        <v>63</v>
      </c>
      <c r="C10" s="7">
        <v>9</v>
      </c>
      <c r="D10" s="7" t="s">
        <v>33</v>
      </c>
      <c r="E10" s="18">
        <v>0</v>
      </c>
      <c r="F10" s="19">
        <v>0</v>
      </c>
      <c r="G10" s="19">
        <v>0</v>
      </c>
      <c r="H10" s="63">
        <f t="shared" si="0"/>
        <v>0</v>
      </c>
    </row>
    <row r="11" spans="2:8" ht="16.2" customHeight="1" outlineLevel="1" thickTop="1" thickBot="1" x14ac:dyDescent="0.35">
      <c r="B11" s="85" t="s">
        <v>119</v>
      </c>
      <c r="C11" s="7">
        <f>SUBTOTAL(9,C10:C10)</f>
        <v>9</v>
      </c>
      <c r="D11" s="7"/>
      <c r="E11" s="18"/>
      <c r="F11" s="19"/>
      <c r="G11" s="19">
        <f>SUBTOTAL(9,G10:G10)</f>
        <v>0</v>
      </c>
      <c r="H11" s="63">
        <f>SUBTOTAL(9,H10:H10)</f>
        <v>0</v>
      </c>
    </row>
    <row r="12" spans="2:8" ht="18.600000000000001" customHeight="1" outlineLevel="2" thickTop="1" thickBot="1" x14ac:dyDescent="0.35">
      <c r="B12" s="10" t="s">
        <v>64</v>
      </c>
      <c r="C12" s="11">
        <v>0</v>
      </c>
      <c r="D12" s="11" t="s">
        <v>34</v>
      </c>
      <c r="E12" s="20">
        <v>0</v>
      </c>
      <c r="F12" s="21">
        <v>0</v>
      </c>
      <c r="G12" s="21">
        <v>0</v>
      </c>
      <c r="H12" s="64">
        <v>0</v>
      </c>
    </row>
    <row r="13" spans="2:8" ht="18.600000000000001" customHeight="1" outlineLevel="1" thickTop="1" thickBot="1" x14ac:dyDescent="0.35">
      <c r="B13" s="86" t="s">
        <v>120</v>
      </c>
      <c r="C13" s="74">
        <f>SUBTOTAL(9,C12:C12)</f>
        <v>0</v>
      </c>
      <c r="D13" s="74"/>
      <c r="E13" s="20"/>
      <c r="F13" s="21"/>
      <c r="G13" s="21">
        <f>SUBTOTAL(9,G12:G12)</f>
        <v>0</v>
      </c>
      <c r="H13" s="64">
        <f>SUBTOTAL(9,H12:H12)</f>
        <v>0</v>
      </c>
    </row>
    <row r="14" spans="2:8" ht="19.8" customHeight="1" outlineLevel="2" thickTop="1" thickBot="1" x14ac:dyDescent="0.35">
      <c r="B14" s="2" t="s">
        <v>65</v>
      </c>
      <c r="C14" s="3">
        <v>1</v>
      </c>
      <c r="D14" s="3" t="s">
        <v>35</v>
      </c>
      <c r="E14" s="4">
        <v>0</v>
      </c>
      <c r="F14" s="5">
        <v>0</v>
      </c>
      <c r="G14" s="5">
        <v>0</v>
      </c>
      <c r="H14" s="59">
        <f t="shared" si="0"/>
        <v>0</v>
      </c>
    </row>
    <row r="15" spans="2:8" ht="19.8" customHeight="1" outlineLevel="1" thickTop="1" thickBot="1" x14ac:dyDescent="0.35">
      <c r="B15" s="84" t="s">
        <v>121</v>
      </c>
      <c r="C15" s="75">
        <f>SUBTOTAL(9,C14:C14)</f>
        <v>1</v>
      </c>
      <c r="D15" s="75"/>
      <c r="E15" s="4"/>
      <c r="F15" s="5"/>
      <c r="G15" s="5">
        <f>SUBTOTAL(9,G14:G14)</f>
        <v>0</v>
      </c>
      <c r="H15" s="59">
        <f>SUBTOTAL(9,H14:H14)</f>
        <v>0</v>
      </c>
    </row>
    <row r="16" spans="2:8" ht="13.8" customHeight="1" outlineLevel="2" thickTop="1" thickBot="1" x14ac:dyDescent="0.35">
      <c r="B16" s="14" t="s">
        <v>66</v>
      </c>
      <c r="C16" s="14">
        <v>2</v>
      </c>
      <c r="D16" s="14" t="s">
        <v>36</v>
      </c>
      <c r="E16" s="22">
        <v>0</v>
      </c>
      <c r="F16" s="23">
        <v>0</v>
      </c>
      <c r="G16" s="23">
        <v>0</v>
      </c>
      <c r="H16" s="65">
        <f t="shared" si="0"/>
        <v>0</v>
      </c>
    </row>
    <row r="17" spans="2:8" ht="13.8" customHeight="1" outlineLevel="1" thickTop="1" thickBot="1" x14ac:dyDescent="0.35">
      <c r="B17" s="87" t="s">
        <v>122</v>
      </c>
      <c r="C17" s="14">
        <f>SUBTOTAL(9,C16:C16)</f>
        <v>2</v>
      </c>
      <c r="D17" s="14"/>
      <c r="E17" s="22"/>
      <c r="F17" s="23"/>
      <c r="G17" s="23">
        <f>SUBTOTAL(9,G16:G16)</f>
        <v>0</v>
      </c>
      <c r="H17" s="65">
        <f>SUBTOTAL(9,H16:H16)</f>
        <v>0</v>
      </c>
    </row>
    <row r="18" spans="2:8" ht="165" customHeight="1" outlineLevel="2" thickTop="1" thickBot="1" x14ac:dyDescent="0.35">
      <c r="B18" s="6" t="s">
        <v>67</v>
      </c>
      <c r="C18" s="7">
        <v>16</v>
      </c>
      <c r="D18" s="7" t="s">
        <v>37</v>
      </c>
      <c r="E18" s="24" t="s">
        <v>5</v>
      </c>
      <c r="F18" s="9" t="s">
        <v>95</v>
      </c>
      <c r="G18" s="9">
        <v>2</v>
      </c>
      <c r="H18" s="60">
        <f>G18/C18</f>
        <v>0.125</v>
      </c>
    </row>
    <row r="19" spans="2:8" ht="24.6" customHeight="1" outlineLevel="1" thickTop="1" thickBot="1" x14ac:dyDescent="0.35">
      <c r="B19" s="85" t="s">
        <v>123</v>
      </c>
      <c r="C19" s="7">
        <f>SUBTOTAL(9,C18:C18)</f>
        <v>16</v>
      </c>
      <c r="D19" s="7"/>
      <c r="E19" s="24"/>
      <c r="F19" s="9"/>
      <c r="G19" s="9">
        <f>SUBTOTAL(9,G18:G18)</f>
        <v>2</v>
      </c>
      <c r="H19" s="60">
        <f>SUBTOTAL(9,H18:H18)</f>
        <v>0.125</v>
      </c>
    </row>
    <row r="20" spans="2:8" ht="79.95" customHeight="1" outlineLevel="2" thickTop="1" thickBot="1" x14ac:dyDescent="0.35">
      <c r="B20" s="76" t="s">
        <v>68</v>
      </c>
      <c r="C20" s="77">
        <v>5</v>
      </c>
      <c r="D20" s="77" t="s">
        <v>38</v>
      </c>
      <c r="E20" s="25" t="s">
        <v>11</v>
      </c>
      <c r="F20" s="21" t="s">
        <v>98</v>
      </c>
      <c r="G20" s="21">
        <v>2</v>
      </c>
      <c r="H20" s="64">
        <f>G20/5</f>
        <v>0.4</v>
      </c>
    </row>
    <row r="21" spans="2:8" ht="79.95" customHeight="1" outlineLevel="2" thickTop="1" thickBot="1" x14ac:dyDescent="0.35">
      <c r="B21" s="76"/>
      <c r="C21" s="77"/>
      <c r="D21" s="77"/>
      <c r="E21" s="20" t="s">
        <v>15</v>
      </c>
      <c r="F21" s="21" t="s">
        <v>96</v>
      </c>
      <c r="G21" s="21">
        <v>1</v>
      </c>
      <c r="H21" s="64">
        <f>G21/5</f>
        <v>0.2</v>
      </c>
    </row>
    <row r="22" spans="2:8" ht="79.95" customHeight="1" outlineLevel="2" thickTop="1" thickBot="1" x14ac:dyDescent="0.35">
      <c r="B22" s="76"/>
      <c r="C22" s="77"/>
      <c r="D22" s="77"/>
      <c r="E22" s="25" t="s">
        <v>16</v>
      </c>
      <c r="F22" s="21" t="s">
        <v>97</v>
      </c>
      <c r="G22" s="21">
        <v>1</v>
      </c>
      <c r="H22" s="64">
        <f t="shared" ref="H22:H23" si="1">G22/5</f>
        <v>0.2</v>
      </c>
    </row>
    <row r="23" spans="2:8" ht="79.95" customHeight="1" outlineLevel="2" thickTop="1" thickBot="1" x14ac:dyDescent="0.35">
      <c r="B23" s="76"/>
      <c r="C23" s="77"/>
      <c r="D23" s="77"/>
      <c r="E23" s="20" t="s">
        <v>12</v>
      </c>
      <c r="F23" s="21" t="s">
        <v>99</v>
      </c>
      <c r="G23" s="21">
        <v>1</v>
      </c>
      <c r="H23" s="64">
        <f t="shared" si="1"/>
        <v>0.2</v>
      </c>
    </row>
    <row r="24" spans="2:8" ht="16.2" customHeight="1" outlineLevel="1" thickTop="1" thickBot="1" x14ac:dyDescent="0.35">
      <c r="B24" s="86" t="s">
        <v>124</v>
      </c>
      <c r="C24" s="74">
        <f>SUBTOTAL(9,C20:C23)</f>
        <v>5</v>
      </c>
      <c r="D24" s="74"/>
      <c r="E24" s="20"/>
      <c r="F24" s="21"/>
      <c r="G24" s="21">
        <f>SUBTOTAL(9,G20:G23)</f>
        <v>5</v>
      </c>
      <c r="H24" s="64">
        <f>SUBTOTAL(9,H20:H23)</f>
        <v>1</v>
      </c>
    </row>
    <row r="25" spans="2:8" ht="19.2" customHeight="1" outlineLevel="2" thickTop="1" thickBot="1" x14ac:dyDescent="0.35">
      <c r="B25" s="2" t="s">
        <v>69</v>
      </c>
      <c r="C25" s="3">
        <v>8</v>
      </c>
      <c r="D25" s="3" t="s">
        <v>39</v>
      </c>
      <c r="E25" s="26">
        <v>0</v>
      </c>
      <c r="F25" s="27">
        <v>0</v>
      </c>
      <c r="G25" s="27">
        <v>0</v>
      </c>
      <c r="H25" s="66">
        <f t="shared" si="0"/>
        <v>0</v>
      </c>
    </row>
    <row r="26" spans="2:8" ht="19.2" customHeight="1" outlineLevel="1" thickTop="1" thickBot="1" x14ac:dyDescent="0.35">
      <c r="B26" s="84" t="s">
        <v>125</v>
      </c>
      <c r="C26" s="75">
        <f>SUBTOTAL(9,C25:C25)</f>
        <v>8</v>
      </c>
      <c r="D26" s="75"/>
      <c r="E26" s="26"/>
      <c r="F26" s="27"/>
      <c r="G26" s="27">
        <f>SUBTOTAL(9,G25:G25)</f>
        <v>0</v>
      </c>
      <c r="H26" s="66">
        <f>SUBTOTAL(9,H25:H25)</f>
        <v>0</v>
      </c>
    </row>
    <row r="27" spans="2:8" ht="15" customHeight="1" outlineLevel="2" thickTop="1" thickBot="1" x14ac:dyDescent="0.35">
      <c r="B27" s="28" t="s">
        <v>70</v>
      </c>
      <c r="C27" s="29"/>
      <c r="D27" s="30" t="s">
        <v>40</v>
      </c>
      <c r="E27" s="31">
        <v>0</v>
      </c>
      <c r="F27" s="32">
        <v>0</v>
      </c>
      <c r="G27" s="32">
        <v>0</v>
      </c>
      <c r="H27" s="67">
        <v>0</v>
      </c>
    </row>
    <row r="28" spans="2:8" ht="15" customHeight="1" outlineLevel="1" thickTop="1" thickBot="1" x14ac:dyDescent="0.35">
      <c r="B28" s="88" t="s">
        <v>126</v>
      </c>
      <c r="C28" s="29">
        <f>SUBTOTAL(9,C27:C27)</f>
        <v>0</v>
      </c>
      <c r="D28" s="30"/>
      <c r="E28" s="31"/>
      <c r="F28" s="32"/>
      <c r="G28" s="32">
        <f>SUBTOTAL(9,G27:G27)</f>
        <v>0</v>
      </c>
      <c r="H28" s="67">
        <f>SUBTOTAL(9,H27:H27)</f>
        <v>0</v>
      </c>
    </row>
    <row r="29" spans="2:8" ht="15" customHeight="1" outlineLevel="2" thickTop="1" thickBot="1" x14ac:dyDescent="0.35">
      <c r="B29" s="6" t="s">
        <v>71</v>
      </c>
      <c r="C29" s="7">
        <v>3</v>
      </c>
      <c r="D29" s="7" t="s">
        <v>41</v>
      </c>
      <c r="E29" s="8">
        <v>0</v>
      </c>
      <c r="F29" s="9">
        <v>0</v>
      </c>
      <c r="G29" s="9">
        <v>0</v>
      </c>
      <c r="H29" s="60">
        <f t="shared" si="0"/>
        <v>0</v>
      </c>
    </row>
    <row r="30" spans="2:8" ht="15" customHeight="1" outlineLevel="1" thickTop="1" thickBot="1" x14ac:dyDescent="0.35">
      <c r="B30" s="85" t="s">
        <v>127</v>
      </c>
      <c r="C30" s="7">
        <f>SUBTOTAL(9,C29:C29)</f>
        <v>3</v>
      </c>
      <c r="D30" s="7"/>
      <c r="E30" s="8"/>
      <c r="F30" s="9"/>
      <c r="G30" s="9">
        <f>SUBTOTAL(9,G29:G29)</f>
        <v>0</v>
      </c>
      <c r="H30" s="60">
        <f>SUBTOTAL(9,H29:H29)</f>
        <v>0</v>
      </c>
    </row>
    <row r="31" spans="2:8" ht="163.80000000000001" customHeight="1" outlineLevel="2" thickTop="1" thickBot="1" x14ac:dyDescent="0.35">
      <c r="B31" s="33" t="s">
        <v>72</v>
      </c>
      <c r="C31" s="34">
        <v>4</v>
      </c>
      <c r="D31" s="34" t="s">
        <v>42</v>
      </c>
      <c r="E31" s="35" t="s">
        <v>17</v>
      </c>
      <c r="F31" s="36" t="s">
        <v>101</v>
      </c>
      <c r="G31" s="36">
        <v>2</v>
      </c>
      <c r="H31" s="68">
        <f>G31/C31</f>
        <v>0.5</v>
      </c>
    </row>
    <row r="32" spans="2:8" ht="22.2" customHeight="1" outlineLevel="1" thickTop="1" thickBot="1" x14ac:dyDescent="0.35">
      <c r="B32" s="89" t="s">
        <v>128</v>
      </c>
      <c r="C32" s="34">
        <f>SUBTOTAL(9,C31:C31)</f>
        <v>4</v>
      </c>
      <c r="D32" s="34"/>
      <c r="E32" s="35"/>
      <c r="F32" s="36"/>
      <c r="G32" s="36">
        <f>SUBTOTAL(9,G31:G31)</f>
        <v>2</v>
      </c>
      <c r="H32" s="68">
        <f>SUBTOTAL(9,H31:H31)</f>
        <v>0.5</v>
      </c>
    </row>
    <row r="33" spans="2:8" ht="152.4" customHeight="1" outlineLevel="2" thickTop="1" thickBot="1" x14ac:dyDescent="0.35">
      <c r="B33" s="37" t="s">
        <v>73</v>
      </c>
      <c r="C33" s="38">
        <v>25</v>
      </c>
      <c r="D33" s="38" t="s">
        <v>43</v>
      </c>
      <c r="E33" s="39" t="s">
        <v>1</v>
      </c>
      <c r="F33" s="40" t="s">
        <v>100</v>
      </c>
      <c r="G33" s="40">
        <v>1</v>
      </c>
      <c r="H33" s="69">
        <f>G33/C33</f>
        <v>0.04</v>
      </c>
    </row>
    <row r="34" spans="2:8" ht="31.8" customHeight="1" outlineLevel="1" thickTop="1" thickBot="1" x14ac:dyDescent="0.35">
      <c r="B34" s="90" t="s">
        <v>129</v>
      </c>
      <c r="C34" s="38">
        <f>SUBTOTAL(9,C33:C33)</f>
        <v>25</v>
      </c>
      <c r="D34" s="38"/>
      <c r="E34" s="39"/>
      <c r="F34" s="40"/>
      <c r="G34" s="40">
        <f>SUBTOTAL(9,G33:G33)</f>
        <v>1</v>
      </c>
      <c r="H34" s="69">
        <f>SUBTOTAL(9,H33:H33)</f>
        <v>0.04</v>
      </c>
    </row>
    <row r="35" spans="2:8" ht="186.6" customHeight="1" outlineLevel="2" thickTop="1" thickBot="1" x14ac:dyDescent="0.35">
      <c r="B35" s="10" t="s">
        <v>74</v>
      </c>
      <c r="C35" s="11">
        <v>16</v>
      </c>
      <c r="D35" s="11" t="s">
        <v>44</v>
      </c>
      <c r="E35" s="20" t="s">
        <v>13</v>
      </c>
      <c r="F35" s="21" t="s">
        <v>101</v>
      </c>
      <c r="G35" s="21">
        <v>1</v>
      </c>
      <c r="H35" s="64">
        <f>G35/C35</f>
        <v>6.25E-2</v>
      </c>
    </row>
    <row r="36" spans="2:8" ht="26.4" customHeight="1" outlineLevel="1" thickTop="1" thickBot="1" x14ac:dyDescent="0.35">
      <c r="B36" s="86" t="s">
        <v>130</v>
      </c>
      <c r="C36" s="74">
        <f>SUBTOTAL(9,C35:C35)</f>
        <v>16</v>
      </c>
      <c r="D36" s="74"/>
      <c r="E36" s="20"/>
      <c r="F36" s="21"/>
      <c r="G36" s="21">
        <f>SUBTOTAL(9,G35:G35)</f>
        <v>1</v>
      </c>
      <c r="H36" s="64">
        <f>SUBTOTAL(9,H35:H35)</f>
        <v>6.25E-2</v>
      </c>
    </row>
    <row r="37" spans="2:8" ht="175.2" customHeight="1" outlineLevel="2" thickTop="1" thickBot="1" x14ac:dyDescent="0.35">
      <c r="B37" s="41" t="s">
        <v>75</v>
      </c>
      <c r="C37" s="42">
        <v>12</v>
      </c>
      <c r="D37" s="42" t="s">
        <v>45</v>
      </c>
      <c r="E37" s="43" t="s">
        <v>14</v>
      </c>
      <c r="F37" s="44" t="s">
        <v>102</v>
      </c>
      <c r="G37" s="44">
        <v>6</v>
      </c>
      <c r="H37" s="70">
        <f>G37/C37</f>
        <v>0.5</v>
      </c>
    </row>
    <row r="38" spans="2:8" ht="16.2" customHeight="1" outlineLevel="1" thickTop="1" thickBot="1" x14ac:dyDescent="0.35">
      <c r="B38" s="91" t="s">
        <v>131</v>
      </c>
      <c r="C38" s="42">
        <f>SUBTOTAL(9,C37:C37)</f>
        <v>12</v>
      </c>
      <c r="D38" s="42"/>
      <c r="E38" s="43"/>
      <c r="F38" s="44"/>
      <c r="G38" s="44">
        <f>SUBTOTAL(9,G37:G37)</f>
        <v>6</v>
      </c>
      <c r="H38" s="70">
        <f>SUBTOTAL(9,H37:H37)</f>
        <v>0.5</v>
      </c>
    </row>
    <row r="39" spans="2:8" ht="22.2" customHeight="1" outlineLevel="2" thickTop="1" thickBot="1" x14ac:dyDescent="0.35">
      <c r="B39" s="6" t="s">
        <v>76</v>
      </c>
      <c r="C39" s="7">
        <v>50</v>
      </c>
      <c r="D39" s="7" t="s">
        <v>46</v>
      </c>
      <c r="E39" s="8">
        <v>0</v>
      </c>
      <c r="F39" s="9">
        <v>0</v>
      </c>
      <c r="G39" s="9">
        <v>0</v>
      </c>
      <c r="H39" s="60">
        <f t="shared" si="0"/>
        <v>0</v>
      </c>
    </row>
    <row r="40" spans="2:8" ht="22.2" customHeight="1" outlineLevel="1" thickTop="1" thickBot="1" x14ac:dyDescent="0.35">
      <c r="B40" s="85" t="s">
        <v>132</v>
      </c>
      <c r="C40" s="7">
        <f>SUBTOTAL(9,C39:C39)</f>
        <v>50</v>
      </c>
      <c r="D40" s="7"/>
      <c r="E40" s="8"/>
      <c r="F40" s="9"/>
      <c r="G40" s="9">
        <f>SUBTOTAL(9,G39:G39)</f>
        <v>0</v>
      </c>
      <c r="H40" s="60">
        <f>SUBTOTAL(9,H39:H39)</f>
        <v>0</v>
      </c>
    </row>
    <row r="41" spans="2:8" ht="18.600000000000001" customHeight="1" outlineLevel="2" thickTop="1" thickBot="1" x14ac:dyDescent="0.35">
      <c r="B41" s="2" t="s">
        <v>77</v>
      </c>
      <c r="C41" s="3">
        <v>19</v>
      </c>
      <c r="D41" s="3" t="s">
        <v>47</v>
      </c>
      <c r="E41" s="4">
        <v>0</v>
      </c>
      <c r="F41" s="5">
        <v>0</v>
      </c>
      <c r="G41" s="5">
        <v>0</v>
      </c>
      <c r="H41" s="59">
        <f t="shared" si="0"/>
        <v>0</v>
      </c>
    </row>
    <row r="42" spans="2:8" ht="18.600000000000001" customHeight="1" outlineLevel="1" thickTop="1" thickBot="1" x14ac:dyDescent="0.35">
      <c r="B42" s="84" t="s">
        <v>133</v>
      </c>
      <c r="C42" s="75">
        <f>SUBTOTAL(9,C41:C41)</f>
        <v>19</v>
      </c>
      <c r="D42" s="75"/>
      <c r="E42" s="4"/>
      <c r="F42" s="5"/>
      <c r="G42" s="5">
        <f>SUBTOTAL(9,G41:G41)</f>
        <v>0</v>
      </c>
      <c r="H42" s="59">
        <f>SUBTOTAL(9,H41:H41)</f>
        <v>0</v>
      </c>
    </row>
    <row r="43" spans="2:8" ht="148.80000000000001" customHeight="1" outlineLevel="2" thickTop="1" thickBot="1" x14ac:dyDescent="0.35">
      <c r="B43" s="10" t="s">
        <v>89</v>
      </c>
      <c r="C43" s="11">
        <v>1</v>
      </c>
      <c r="D43" s="11" t="s">
        <v>89</v>
      </c>
      <c r="E43" s="20" t="s">
        <v>18</v>
      </c>
      <c r="F43" s="21" t="s">
        <v>103</v>
      </c>
      <c r="G43" s="21">
        <v>1</v>
      </c>
      <c r="H43" s="64">
        <f>G43/C43</f>
        <v>1</v>
      </c>
    </row>
    <row r="44" spans="2:8" ht="22.2" customHeight="1" outlineLevel="1" thickTop="1" thickBot="1" x14ac:dyDescent="0.35">
      <c r="B44" s="86" t="s">
        <v>134</v>
      </c>
      <c r="C44" s="74">
        <f>SUBTOTAL(9,C43:C43)</f>
        <v>1</v>
      </c>
      <c r="D44" s="74"/>
      <c r="E44" s="20"/>
      <c r="F44" s="21"/>
      <c r="G44" s="21">
        <f>SUBTOTAL(9,G43:G43)</f>
        <v>1</v>
      </c>
      <c r="H44" s="64">
        <f>SUBTOTAL(9,H43:H43)</f>
        <v>1</v>
      </c>
    </row>
    <row r="45" spans="2:8" ht="21" customHeight="1" outlineLevel="2" thickTop="1" thickBot="1" x14ac:dyDescent="0.35">
      <c r="B45" s="28" t="s">
        <v>78</v>
      </c>
      <c r="C45" s="30">
        <v>38</v>
      </c>
      <c r="D45" s="30" t="s">
        <v>48</v>
      </c>
      <c r="E45" s="31">
        <v>0</v>
      </c>
      <c r="F45" s="32">
        <v>0</v>
      </c>
      <c r="G45" s="32">
        <v>0</v>
      </c>
      <c r="H45" s="67">
        <f t="shared" si="0"/>
        <v>0</v>
      </c>
    </row>
    <row r="46" spans="2:8" ht="21" customHeight="1" outlineLevel="1" thickTop="1" thickBot="1" x14ac:dyDescent="0.35">
      <c r="B46" s="88" t="s">
        <v>135</v>
      </c>
      <c r="C46" s="30">
        <f>SUBTOTAL(9,C45:C45)</f>
        <v>38</v>
      </c>
      <c r="D46" s="30"/>
      <c r="E46" s="31"/>
      <c r="F46" s="32"/>
      <c r="G46" s="32">
        <f>SUBTOTAL(9,G45:G45)</f>
        <v>0</v>
      </c>
      <c r="H46" s="67">
        <f>SUBTOTAL(9,H45:H45)</f>
        <v>0</v>
      </c>
    </row>
    <row r="47" spans="2:8" ht="11.4" customHeight="1" outlineLevel="2" thickTop="1" thickBot="1" x14ac:dyDescent="0.35">
      <c r="B47" s="10" t="s">
        <v>79</v>
      </c>
      <c r="C47" s="11">
        <v>38</v>
      </c>
      <c r="D47" s="11" t="s">
        <v>49</v>
      </c>
      <c r="E47" s="20">
        <v>0</v>
      </c>
      <c r="F47" s="21">
        <v>0</v>
      </c>
      <c r="G47" s="21">
        <v>0</v>
      </c>
      <c r="H47" s="64">
        <f t="shared" si="0"/>
        <v>0</v>
      </c>
    </row>
    <row r="48" spans="2:8" ht="11.4" customHeight="1" outlineLevel="1" thickTop="1" thickBot="1" x14ac:dyDescent="0.35">
      <c r="B48" s="86" t="s">
        <v>136</v>
      </c>
      <c r="C48" s="74">
        <f>SUBTOTAL(9,C47:C47)</f>
        <v>38</v>
      </c>
      <c r="D48" s="74"/>
      <c r="E48" s="20"/>
      <c r="F48" s="21"/>
      <c r="G48" s="21">
        <f>SUBTOTAL(9,G47:G47)</f>
        <v>0</v>
      </c>
      <c r="H48" s="64">
        <f>SUBTOTAL(9,H47:H47)</f>
        <v>0</v>
      </c>
    </row>
    <row r="49" spans="2:8" ht="146.4" customHeight="1" outlineLevel="2" thickTop="1" thickBot="1" x14ac:dyDescent="0.35">
      <c r="B49" s="2" t="s">
        <v>80</v>
      </c>
      <c r="C49" s="3">
        <v>47</v>
      </c>
      <c r="D49" s="3" t="s">
        <v>50</v>
      </c>
      <c r="E49" s="4" t="s">
        <v>19</v>
      </c>
      <c r="F49" s="5" t="s">
        <v>104</v>
      </c>
      <c r="G49" s="5">
        <v>2</v>
      </c>
      <c r="H49" s="59">
        <f>G49/C49</f>
        <v>4.2553191489361701E-2</v>
      </c>
    </row>
    <row r="50" spans="2:8" ht="22.8" customHeight="1" outlineLevel="1" thickTop="1" thickBot="1" x14ac:dyDescent="0.35">
      <c r="B50" s="84" t="s">
        <v>137</v>
      </c>
      <c r="C50" s="75">
        <f>SUBTOTAL(9,C49:C49)</f>
        <v>47</v>
      </c>
      <c r="D50" s="75"/>
      <c r="E50" s="4"/>
      <c r="F50" s="5"/>
      <c r="G50" s="5">
        <f>SUBTOTAL(9,G49:G49)</f>
        <v>2</v>
      </c>
      <c r="H50" s="59">
        <f>SUBTOTAL(9,H49:H49)</f>
        <v>4.2553191489361701E-2</v>
      </c>
    </row>
    <row r="51" spans="2:8" ht="35.4" customHeight="1" outlineLevel="2" thickTop="1" thickBot="1" x14ac:dyDescent="0.35">
      <c r="B51" s="6" t="s">
        <v>81</v>
      </c>
      <c r="C51" s="7">
        <v>4</v>
      </c>
      <c r="D51" s="7" t="s">
        <v>51</v>
      </c>
      <c r="E51" s="8">
        <v>0</v>
      </c>
      <c r="F51" s="9">
        <v>0</v>
      </c>
      <c r="G51" s="9">
        <v>0</v>
      </c>
      <c r="H51" s="60">
        <f t="shared" si="0"/>
        <v>0</v>
      </c>
    </row>
    <row r="52" spans="2:8" ht="35.4" customHeight="1" outlineLevel="1" thickTop="1" thickBot="1" x14ac:dyDescent="0.35">
      <c r="B52" s="85" t="s">
        <v>138</v>
      </c>
      <c r="C52" s="7">
        <f>SUBTOTAL(9,C51:C51)</f>
        <v>4</v>
      </c>
      <c r="D52" s="7"/>
      <c r="E52" s="8"/>
      <c r="F52" s="9"/>
      <c r="G52" s="9">
        <f>SUBTOTAL(9,G51:G51)</f>
        <v>0</v>
      </c>
      <c r="H52" s="60">
        <f>SUBTOTAL(9,H51:H51)</f>
        <v>0</v>
      </c>
    </row>
    <row r="53" spans="2:8" ht="79.95" customHeight="1" outlineLevel="2" thickTop="1" thickBot="1" x14ac:dyDescent="0.35">
      <c r="B53" s="79" t="s">
        <v>82</v>
      </c>
      <c r="C53" s="78">
        <v>27</v>
      </c>
      <c r="D53" s="78" t="s">
        <v>52</v>
      </c>
      <c r="E53" s="45" t="s">
        <v>6</v>
      </c>
      <c r="F53" s="5" t="s">
        <v>105</v>
      </c>
      <c r="G53" s="5">
        <v>8</v>
      </c>
      <c r="H53" s="59">
        <f>G53/27</f>
        <v>0.29629629629629628</v>
      </c>
    </row>
    <row r="54" spans="2:8" ht="99" customHeight="1" outlineLevel="2" thickTop="1" thickBot="1" x14ac:dyDescent="0.35">
      <c r="B54" s="79"/>
      <c r="C54" s="78"/>
      <c r="D54" s="78"/>
      <c r="E54" s="4" t="s">
        <v>87</v>
      </c>
      <c r="F54" s="5" t="s">
        <v>94</v>
      </c>
      <c r="G54" s="5">
        <v>7</v>
      </c>
      <c r="H54" s="59">
        <f>G54/27</f>
        <v>0.25925925925925924</v>
      </c>
    </row>
    <row r="55" spans="2:8" ht="24.6" customHeight="1" outlineLevel="1" thickTop="1" thickBot="1" x14ac:dyDescent="0.35">
      <c r="B55" s="84" t="s">
        <v>139</v>
      </c>
      <c r="C55" s="75">
        <f>SUBTOTAL(9,C53:C54)</f>
        <v>27</v>
      </c>
      <c r="D55" s="75"/>
      <c r="E55" s="4"/>
      <c r="F55" s="5"/>
      <c r="G55" s="5">
        <f>SUBTOTAL(9,G53:G54)</f>
        <v>15</v>
      </c>
      <c r="H55" s="59">
        <f>SUBTOTAL(9,H53:H54)</f>
        <v>0.55555555555555558</v>
      </c>
    </row>
    <row r="56" spans="2:8" ht="79.95" customHeight="1" outlineLevel="2" thickTop="1" thickBot="1" x14ac:dyDescent="0.35">
      <c r="B56" s="76" t="s">
        <v>83</v>
      </c>
      <c r="C56" s="77">
        <v>31</v>
      </c>
      <c r="D56" s="77" t="s">
        <v>53</v>
      </c>
      <c r="E56" s="20" t="s">
        <v>20</v>
      </c>
      <c r="F56" s="21" t="s">
        <v>105</v>
      </c>
      <c r="G56" s="21">
        <v>10</v>
      </c>
      <c r="H56" s="64">
        <f>G56/31</f>
        <v>0.32258064516129031</v>
      </c>
    </row>
    <row r="57" spans="2:8" ht="79.95" customHeight="1" outlineLevel="2" thickTop="1" thickBot="1" x14ac:dyDescent="0.35">
      <c r="B57" s="76"/>
      <c r="C57" s="77"/>
      <c r="D57" s="77"/>
      <c r="E57" s="25" t="s">
        <v>88</v>
      </c>
      <c r="F57" s="21" t="s">
        <v>106</v>
      </c>
      <c r="G57" s="21">
        <v>5</v>
      </c>
      <c r="H57" s="64">
        <f>G57/31</f>
        <v>0.16129032258064516</v>
      </c>
    </row>
    <row r="58" spans="2:8" ht="43.2" customHeight="1" outlineLevel="1" thickTop="1" thickBot="1" x14ac:dyDescent="0.35">
      <c r="B58" s="86" t="s">
        <v>140</v>
      </c>
      <c r="C58" s="74">
        <f>SUBTOTAL(9,C56:C57)</f>
        <v>31</v>
      </c>
      <c r="D58" s="74"/>
      <c r="E58" s="25"/>
      <c r="F58" s="21"/>
      <c r="G58" s="21">
        <f>SUBTOTAL(9,G56:G57)</f>
        <v>15</v>
      </c>
      <c r="H58" s="64">
        <f>SUBTOTAL(9,H56:H57)</f>
        <v>0.4838709677419355</v>
      </c>
    </row>
    <row r="59" spans="2:8" ht="154.80000000000001" customHeight="1" outlineLevel="2" thickTop="1" thickBot="1" x14ac:dyDescent="0.35">
      <c r="B59" s="28" t="s">
        <v>84</v>
      </c>
      <c r="C59" s="30">
        <v>4</v>
      </c>
      <c r="D59" s="30" t="s">
        <v>54</v>
      </c>
      <c r="E59" s="73" t="s">
        <v>8</v>
      </c>
      <c r="F59" s="32" t="s">
        <v>107</v>
      </c>
      <c r="G59" s="32">
        <v>1</v>
      </c>
      <c r="H59" s="67">
        <f>G59/C59</f>
        <v>0.25</v>
      </c>
    </row>
    <row r="60" spans="2:8" ht="28.8" customHeight="1" outlineLevel="1" thickTop="1" thickBot="1" x14ac:dyDescent="0.35">
      <c r="B60" s="88" t="s">
        <v>141</v>
      </c>
      <c r="C60" s="30">
        <f>SUBTOTAL(9,C59:C59)</f>
        <v>4</v>
      </c>
      <c r="D60" s="30"/>
      <c r="E60" s="73"/>
      <c r="F60" s="32"/>
      <c r="G60" s="32">
        <f>SUBTOTAL(9,G59:G59)</f>
        <v>1</v>
      </c>
      <c r="H60" s="67">
        <f>SUBTOTAL(9,H59:H59)</f>
        <v>0.25</v>
      </c>
    </row>
    <row r="61" spans="2:8" ht="15.6" outlineLevel="2" thickTop="1" thickBot="1" x14ac:dyDescent="0.35">
      <c r="B61" s="2" t="s">
        <v>85</v>
      </c>
      <c r="C61" s="3">
        <v>45</v>
      </c>
      <c r="D61" s="3" t="s">
        <v>55</v>
      </c>
      <c r="E61" s="46">
        <v>0</v>
      </c>
      <c r="F61" s="47">
        <v>0</v>
      </c>
      <c r="G61" s="47">
        <v>0</v>
      </c>
      <c r="H61" s="71">
        <f t="shared" si="0"/>
        <v>0</v>
      </c>
    </row>
    <row r="62" spans="2:8" ht="15.6" outlineLevel="1" thickTop="1" thickBot="1" x14ac:dyDescent="0.35">
      <c r="B62" s="84" t="s">
        <v>142</v>
      </c>
      <c r="C62" s="75">
        <f>SUBTOTAL(9,C61:C61)</f>
        <v>45</v>
      </c>
      <c r="D62" s="75"/>
      <c r="E62" s="46"/>
      <c r="F62" s="47"/>
      <c r="G62" s="47">
        <f>SUBTOTAL(9,G61:G61)</f>
        <v>0</v>
      </c>
      <c r="H62" s="71">
        <f>SUBTOTAL(9,H61:H61)</f>
        <v>0</v>
      </c>
    </row>
    <row r="63" spans="2:8" ht="14.4" customHeight="1" outlineLevel="2" thickTop="1" thickBot="1" x14ac:dyDescent="0.35">
      <c r="B63" s="6" t="s">
        <v>86</v>
      </c>
      <c r="C63" s="7">
        <v>22</v>
      </c>
      <c r="D63" s="7" t="s">
        <v>56</v>
      </c>
      <c r="E63" s="8">
        <v>0</v>
      </c>
      <c r="F63" s="9">
        <v>0</v>
      </c>
      <c r="G63" s="9">
        <v>0</v>
      </c>
      <c r="H63" s="60">
        <f t="shared" si="0"/>
        <v>0</v>
      </c>
    </row>
    <row r="64" spans="2:8" ht="14.4" customHeight="1" outlineLevel="1" thickTop="1" x14ac:dyDescent="0.3">
      <c r="B64" s="96" t="s">
        <v>143</v>
      </c>
      <c r="C64" s="92">
        <f>SUBTOTAL(9,C63:C63)</f>
        <v>22</v>
      </c>
      <c r="D64" s="92"/>
      <c r="E64" s="93"/>
      <c r="F64" s="94"/>
      <c r="G64" s="94">
        <f>SUBTOTAL(9,G63:G63)</f>
        <v>0</v>
      </c>
      <c r="H64" s="95">
        <f>SUBTOTAL(9,H63:H63)</f>
        <v>0</v>
      </c>
    </row>
    <row r="65" spans="2:8" ht="14.4" customHeight="1" x14ac:dyDescent="0.3">
      <c r="B65" s="96" t="s">
        <v>144</v>
      </c>
      <c r="C65" s="92">
        <f>SUBTOTAL(9,C2:C63)</f>
        <v>573</v>
      </c>
      <c r="D65" s="92"/>
      <c r="E65" s="93"/>
      <c r="F65" s="94"/>
      <c r="G65" s="94">
        <f>SUBTOTAL(9,G2:G63)</f>
        <v>53</v>
      </c>
      <c r="H65" s="95">
        <f>SUBTOTAL(9,H2:H63)</f>
        <v>4.5989207085756725</v>
      </c>
    </row>
  </sheetData>
  <sortState ref="E31:H32">
    <sortCondition descending="1" ref="H31:H32"/>
  </sortState>
  <mergeCells count="9">
    <mergeCell ref="B56:B57"/>
    <mergeCell ref="D56:D57"/>
    <mergeCell ref="C56:C57"/>
    <mergeCell ref="D20:D23"/>
    <mergeCell ref="B20:B23"/>
    <mergeCell ref="C20:C23"/>
    <mergeCell ref="C53:C54"/>
    <mergeCell ref="D53:D54"/>
    <mergeCell ref="B53:B54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9"/>
  <sheetViews>
    <sheetView workbookViewId="0">
      <selection activeCell="E7" sqref="E7"/>
    </sheetView>
  </sheetViews>
  <sheetFormatPr defaultRowHeight="14.4" x14ac:dyDescent="0.3"/>
  <cols>
    <col min="2" max="2" width="6.6640625" style="1" customWidth="1"/>
    <col min="3" max="3" width="48.77734375" style="1" customWidth="1"/>
    <col min="5" max="5" width="8.88671875" style="72"/>
  </cols>
  <sheetData>
    <row r="1" spans="2:5" ht="15.6" thickTop="1" thickBot="1" x14ac:dyDescent="0.35">
      <c r="B1" s="57"/>
      <c r="C1" s="57"/>
      <c r="D1" s="48"/>
      <c r="E1" s="58" t="s">
        <v>108</v>
      </c>
    </row>
    <row r="2" spans="2:5" ht="32.4" thickTop="1" thickBot="1" x14ac:dyDescent="0.35">
      <c r="B2" s="54">
        <v>11</v>
      </c>
      <c r="C2" s="54" t="s">
        <v>9</v>
      </c>
      <c r="D2" s="48">
        <v>7</v>
      </c>
      <c r="E2" s="58">
        <f>D2/B2</f>
        <v>0.63636363636363635</v>
      </c>
    </row>
    <row r="3" spans="2:5" ht="31.2" thickTop="1" thickBot="1" x14ac:dyDescent="0.35">
      <c r="B3" s="80">
        <v>50</v>
      </c>
      <c r="C3" s="55" t="s">
        <v>3</v>
      </c>
      <c r="D3" s="48">
        <v>1</v>
      </c>
      <c r="E3" s="58">
        <f>D3/50</f>
        <v>0.02</v>
      </c>
    </row>
    <row r="4" spans="2:5" ht="31.2" thickTop="1" thickBot="1" x14ac:dyDescent="0.35">
      <c r="B4" s="80"/>
      <c r="C4" s="55" t="s">
        <v>2</v>
      </c>
      <c r="D4" s="48">
        <v>1</v>
      </c>
      <c r="E4" s="58">
        <f>D4/50</f>
        <v>0.02</v>
      </c>
    </row>
    <row r="5" spans="2:5" ht="31.2" thickTop="1" thickBot="1" x14ac:dyDescent="0.35">
      <c r="B5" s="80"/>
      <c r="C5" s="55" t="s">
        <v>4</v>
      </c>
      <c r="D5" s="48">
        <v>1</v>
      </c>
      <c r="E5" s="58">
        <f t="shared" ref="E5" si="0">D5/50</f>
        <v>0.02</v>
      </c>
    </row>
    <row r="6" spans="2:5" ht="16.8" thickTop="1" thickBot="1" x14ac:dyDescent="0.35">
      <c r="B6" s="54"/>
      <c r="C6" s="54" t="s">
        <v>21</v>
      </c>
      <c r="D6" s="48">
        <v>4</v>
      </c>
      <c r="E6" s="58"/>
    </row>
    <row r="7" spans="2:5" ht="16.2" thickTop="1" thickBot="1" x14ac:dyDescent="0.35">
      <c r="B7" s="53"/>
      <c r="C7" s="53" t="s">
        <v>10</v>
      </c>
      <c r="D7" s="48">
        <v>2</v>
      </c>
      <c r="E7" s="58"/>
    </row>
    <row r="8" spans="2:5" ht="16.2" thickTop="1" thickBot="1" x14ac:dyDescent="0.35">
      <c r="B8" s="56"/>
      <c r="C8" s="56" t="s">
        <v>0</v>
      </c>
      <c r="D8" s="48">
        <v>2</v>
      </c>
      <c r="E8" s="58"/>
    </row>
    <row r="9" spans="2:5" ht="15" thickTop="1" x14ac:dyDescent="0.3"/>
  </sheetData>
  <mergeCells count="1">
    <mergeCell ref="B3:B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"/>
  <sheetViews>
    <sheetView workbookViewId="0">
      <selection activeCell="B18" sqref="B18"/>
    </sheetView>
  </sheetViews>
  <sheetFormatPr defaultRowHeight="14.4" x14ac:dyDescent="0.3"/>
  <cols>
    <col min="3" max="3" width="21.109375" customWidth="1"/>
  </cols>
  <sheetData>
    <row r="1" spans="2:5" ht="15" thickBot="1" x14ac:dyDescent="0.35">
      <c r="E1" t="s">
        <v>108</v>
      </c>
    </row>
    <row r="2" spans="2:5" ht="32.4" thickTop="1" thickBot="1" x14ac:dyDescent="0.35">
      <c r="B2" s="48"/>
      <c r="C2" s="49" t="s">
        <v>27</v>
      </c>
      <c r="D2" s="52">
        <v>18</v>
      </c>
      <c r="E2" s="58"/>
    </row>
    <row r="3" spans="2:5" ht="30" customHeight="1" thickTop="1" thickBot="1" x14ac:dyDescent="0.35">
      <c r="B3" s="48">
        <v>31</v>
      </c>
      <c r="C3" s="49" t="s">
        <v>22</v>
      </c>
      <c r="D3" s="50">
        <v>10</v>
      </c>
      <c r="E3" s="58">
        <f>D3/B3</f>
        <v>0.32258064516129031</v>
      </c>
    </row>
    <row r="4" spans="2:5" ht="30" customHeight="1" thickTop="1" thickBot="1" x14ac:dyDescent="0.35">
      <c r="B4" s="48"/>
      <c r="C4" s="53" t="s">
        <v>29</v>
      </c>
      <c r="D4" s="51">
        <v>4</v>
      </c>
      <c r="E4" s="58"/>
    </row>
    <row r="5" spans="2:5" ht="30" customHeight="1" thickTop="1" thickBot="1" x14ac:dyDescent="0.35">
      <c r="B5" s="48"/>
      <c r="C5" s="49" t="s">
        <v>26</v>
      </c>
      <c r="D5" s="52">
        <v>2</v>
      </c>
      <c r="E5" s="58"/>
    </row>
    <row r="6" spans="2:5" ht="30" customHeight="1" thickTop="1" thickBot="1" x14ac:dyDescent="0.35">
      <c r="B6" s="48">
        <v>2</v>
      </c>
      <c r="C6" s="49" t="s">
        <v>23</v>
      </c>
      <c r="D6" s="51">
        <v>1</v>
      </c>
      <c r="E6" s="58">
        <f>D6/B6</f>
        <v>0.5</v>
      </c>
    </row>
    <row r="7" spans="2:5" ht="30" customHeight="1" thickTop="1" thickBot="1" x14ac:dyDescent="0.35">
      <c r="B7" s="48"/>
      <c r="C7" s="49" t="s">
        <v>24</v>
      </c>
      <c r="D7" s="52">
        <v>1</v>
      </c>
      <c r="E7" s="58"/>
    </row>
    <row r="8" spans="2:5" ht="30" customHeight="1" thickTop="1" thickBot="1" x14ac:dyDescent="0.35">
      <c r="B8" s="48"/>
      <c r="C8" s="49" t="s">
        <v>25</v>
      </c>
      <c r="D8" s="52">
        <v>1</v>
      </c>
      <c r="E8" s="58"/>
    </row>
    <row r="9" spans="2:5" ht="30" customHeight="1" thickTop="1" thickBot="1" x14ac:dyDescent="0.35">
      <c r="B9" s="48"/>
      <c r="C9" s="49" t="s">
        <v>28</v>
      </c>
      <c r="D9" s="52">
        <v>1</v>
      </c>
      <c r="E9" s="58"/>
    </row>
    <row r="10" spans="2:5" ht="30" customHeight="1" thickTop="1" thickBot="1" x14ac:dyDescent="0.35">
      <c r="B10" s="48"/>
      <c r="C10" s="53" t="s">
        <v>30</v>
      </c>
      <c r="D10" s="51">
        <v>1</v>
      </c>
      <c r="E10" s="58"/>
    </row>
    <row r="11" spans="2:5" ht="15" thickTop="1" x14ac:dyDescent="0.3">
      <c r="C11" s="1"/>
    </row>
  </sheetData>
  <sortState ref="B1:E10">
    <sortCondition descending="1" ref="D1:D1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2025-05-16T12:02:11Z</dcterms:modified>
</cp:coreProperties>
</file>