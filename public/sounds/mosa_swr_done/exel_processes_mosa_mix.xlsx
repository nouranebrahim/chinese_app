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2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3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hinese\python\praat\mosa_swr_done\"/>
    </mc:Choice>
  </mc:AlternateContent>
  <bookViews>
    <workbookView xWindow="0" yWindow="0" windowWidth="13296" windowHeight="8220" activeTab="2"/>
  </bookViews>
  <sheets>
    <sheet name="Sheet1" sheetId="1" r:id="rId1"/>
    <sheet name="Sheet2" sheetId="2" r:id="rId2"/>
    <sheet name="Sheet3" sheetId="3" r:id="rId3"/>
  </sheets>
  <definedNames>
    <definedName name="__DdeLink__1139_1280826453" localSheetId="0">Sheet1!#REF!</definedName>
    <definedName name="__DdeLink__299_4019134822" localSheetId="0">Sheet1!#REF!</definedName>
    <definedName name="__DdeLink__347_3841694636" localSheetId="0">Sheet1!#REF!</definedName>
    <definedName name="__DdeLink__355_3344034610" localSheetId="0">Sheet1!#REF!</definedName>
    <definedName name="__DdeLink__363_4195966084" localSheetId="0">Sheet1!#REF!</definedName>
    <definedName name="__DdeLink__366_1609274354" localSheetId="0">Sheet1!#REF!</definedName>
    <definedName name="__DdeLink__374_2158327081" localSheetId="0">Sheet1!#REF!</definedName>
    <definedName name="__DdeLink__429_690101127" localSheetId="0">Sheet1!#REF!</definedName>
    <definedName name="__DdeLink__450_690101127" localSheetId="0">Sheet1!#REF!</definedName>
    <definedName name="__DdeLink__454_4201205227" localSheetId="0">Sheet1!#REF!</definedName>
    <definedName name="__DdeLink__461_690101127" localSheetId="0">Sheet1!#REF!</definedName>
    <definedName name="__DdeLink__481_750636418" localSheetId="0">Sheet1!#REF!</definedName>
    <definedName name="__DdeLink__502_3099655138" localSheetId="0">Sheet1!#REF!</definedName>
    <definedName name="__DdeLink__525_3099655138" localSheetId="0">Sheet1!#REF!</definedName>
    <definedName name="__DdeLink__533_4201205227" localSheetId="0">Sheet1!#REF!</definedName>
    <definedName name="__DdeLink__573_3099655138" localSheetId="0">Sheet1!#REF!</definedName>
    <definedName name="__DdeLink__588_3099655138" localSheetId="0">Sheet1!#REF!</definedName>
    <definedName name="__DdeLink__741_3099655138" localSheetId="0">Sheet1!$E$21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9" i="1" l="1"/>
  <c r="G75" i="1"/>
  <c r="C75" i="1"/>
  <c r="H73" i="1"/>
  <c r="G73" i="1"/>
  <c r="C73" i="1"/>
  <c r="H71" i="1"/>
  <c r="G71" i="1"/>
  <c r="C71" i="1"/>
  <c r="C69" i="1"/>
  <c r="G63" i="1"/>
  <c r="C63" i="1"/>
  <c r="G61" i="1"/>
  <c r="C61" i="1"/>
  <c r="G59" i="1"/>
  <c r="C59" i="1"/>
  <c r="H56" i="1"/>
  <c r="G56" i="1"/>
  <c r="C56" i="1"/>
  <c r="G54" i="1"/>
  <c r="C54" i="1"/>
  <c r="H52" i="1"/>
  <c r="G52" i="1"/>
  <c r="C52" i="1"/>
  <c r="G50" i="1"/>
  <c r="C50" i="1"/>
  <c r="G47" i="1"/>
  <c r="C47" i="1"/>
  <c r="G44" i="1"/>
  <c r="C44" i="1"/>
  <c r="G41" i="1"/>
  <c r="C41" i="1"/>
  <c r="H39" i="1"/>
  <c r="G39" i="1"/>
  <c r="C39" i="1"/>
  <c r="G37" i="1"/>
  <c r="C37" i="1"/>
  <c r="H35" i="1"/>
  <c r="G35" i="1"/>
  <c r="C35" i="1"/>
  <c r="G33" i="1"/>
  <c r="C33" i="1"/>
  <c r="G31" i="1"/>
  <c r="C31" i="1"/>
  <c r="G24" i="1"/>
  <c r="C24" i="1"/>
  <c r="G22" i="1"/>
  <c r="C22" i="1"/>
  <c r="G20" i="1"/>
  <c r="C20" i="1"/>
  <c r="G18" i="1"/>
  <c r="C18" i="1"/>
  <c r="G16" i="1"/>
  <c r="C16" i="1"/>
  <c r="G14" i="1"/>
  <c r="C14" i="1"/>
  <c r="H12" i="1"/>
  <c r="G12" i="1"/>
  <c r="C12" i="1"/>
  <c r="H10" i="1"/>
  <c r="G10" i="1"/>
  <c r="C10" i="1"/>
  <c r="G8" i="1"/>
  <c r="C8" i="1"/>
  <c r="E12" i="3" l="1"/>
  <c r="E9" i="3"/>
  <c r="E5" i="3"/>
  <c r="F5" i="2"/>
  <c r="F4" i="2"/>
  <c r="F3" i="2"/>
  <c r="F2" i="2"/>
  <c r="H74" i="1"/>
  <c r="H75" i="1" s="1"/>
  <c r="H66" i="1"/>
  <c r="H64" i="1"/>
  <c r="H62" i="1"/>
  <c r="H63" i="1" s="1"/>
  <c r="H60" i="1"/>
  <c r="H61" i="1" s="1"/>
  <c r="H57" i="1"/>
  <c r="H48" i="1"/>
  <c r="H50" i="1" s="1"/>
  <c r="H49" i="1"/>
  <c r="H46" i="1"/>
  <c r="H45" i="1"/>
  <c r="H43" i="1"/>
  <c r="H42" i="1"/>
  <c r="H40" i="1"/>
  <c r="H41" i="1" s="1"/>
  <c r="H36" i="1"/>
  <c r="H37" i="1" s="1"/>
  <c r="H32" i="1"/>
  <c r="H33" i="1" s="1"/>
  <c r="H30" i="1"/>
  <c r="H29" i="1"/>
  <c r="H28" i="1"/>
  <c r="H26" i="1"/>
  <c r="H25" i="1"/>
  <c r="H23" i="1"/>
  <c r="H24" i="1" s="1"/>
  <c r="H19" i="1"/>
  <c r="H20" i="1" s="1"/>
  <c r="H13" i="1"/>
  <c r="H14" i="1" s="1"/>
  <c r="H6" i="1"/>
  <c r="H2" i="1"/>
  <c r="H47" i="1" l="1"/>
  <c r="H44" i="1"/>
  <c r="H67" i="1"/>
  <c r="H68" i="1"/>
  <c r="H65" i="1"/>
  <c r="H69" i="1" s="1"/>
  <c r="H58" i="1"/>
  <c r="H59" i="1" s="1"/>
  <c r="H53" i="1"/>
  <c r="H54" i="1" s="1"/>
  <c r="H27" i="1"/>
  <c r="H31" i="1" s="1"/>
  <c r="H15" i="1"/>
  <c r="H16" i="1" s="1"/>
  <c r="H17" i="1"/>
  <c r="H18" i="1" s="1"/>
  <c r="H21" i="1"/>
  <c r="H22" i="1" s="1"/>
  <c r="H4" i="1"/>
  <c r="H5" i="1"/>
  <c r="H7" i="1"/>
  <c r="H3" i="1"/>
  <c r="H8" i="1" l="1"/>
</calcChain>
</file>

<file path=xl/sharedStrings.xml><?xml version="1.0" encoding="utf-8"?>
<sst xmlns="http://schemas.openxmlformats.org/spreadsheetml/2006/main" count="182" uniqueCount="174">
  <si>
    <t xml:space="preserve">Glottalization(substitution of [ʕ] with [ʔ]), </t>
  </si>
  <si>
    <t>Glottalization(substitution of [j] with [ʔ]),</t>
  </si>
  <si>
    <t>substitution of [ʔ]with [ʕ]</t>
  </si>
  <si>
    <t>substitution of [r] with [ɻ]</t>
  </si>
  <si>
    <t>substitution of [q] with [g]</t>
  </si>
  <si>
    <t>substitution of [g] with [q]</t>
  </si>
  <si>
    <t>substitution of [g] with [ ɣ]</t>
  </si>
  <si>
    <t>Epenthesis(insertion of [ æ] phone between consonant cluster)</t>
  </si>
  <si>
    <t>Epenthesis(insertion of [ ɑ] phone between consonant cluster)</t>
  </si>
  <si>
    <t>substitution of [d]with [ ð ]</t>
  </si>
  <si>
    <t>substitution of [χ] with [ħ]</t>
  </si>
  <si>
    <t xml:space="preserve">Aspiration ( substitution of [k]with [kʰ]) , </t>
  </si>
  <si>
    <t>depharyngealization and deinterdentalization substitution of[ðˤ] with [z])</t>
  </si>
  <si>
    <t>depharyngealization and aspiration (substitution of [tˤ] with [tʰ]),</t>
  </si>
  <si>
    <t>Devoicing(substitution of [d͡ʒ] with [t͡ʃ])</t>
  </si>
  <si>
    <t>degemination(reduce consonant cluster to one single consonant)</t>
  </si>
  <si>
    <t>deaffrication(substitution of [d͡ʒ]with [ʒ])</t>
  </si>
  <si>
    <t>substitution of [h]with [χ]</t>
  </si>
  <si>
    <t>substitution of [ħ]with [h]</t>
  </si>
  <si>
    <t>substitution of [h]with [ħ]</t>
  </si>
  <si>
    <t>Epenthesis(insert vowel [ʊ] between  consnant cluster)</t>
  </si>
  <si>
    <t>deaffrication and devoicing(substitution of [d͡ʒ]with [k])</t>
  </si>
  <si>
    <t>deaffrication and devoicing(substitution of [d͡ʒ]with [ʃ])</t>
  </si>
  <si>
    <t>devoicing(substitution of [d]with [t])</t>
  </si>
  <si>
    <t>substitution of [ħ]with [ʕ]</t>
  </si>
  <si>
    <t>devoicing(substitution of [b]with [p]), Aspiration ( substitution of [p]with [pʰ]) ,</t>
  </si>
  <si>
    <t>devoicing(substitution of [b]with [p]</t>
  </si>
  <si>
    <t>syllable structure process (consonant deletion of  [ʔ] phone)</t>
  </si>
  <si>
    <t>syllable structure process (consonant insertion of  [t͡s ] phones in final position)</t>
  </si>
  <si>
    <t xml:space="preserve">syllable structure process (consonant deletion of  [r] phone), </t>
  </si>
  <si>
    <t>Definite Article deletion</t>
  </si>
  <si>
    <t>insertion of  Definite Article to the following word</t>
  </si>
  <si>
    <t>replace the Modern Standard Arabic diphthong [æj]with the colloquial arabic vowel[e:]</t>
  </si>
  <si>
    <t>replace the Modern Standard Arabic consonant [q]with the colloquial arabic consonant [ʔ]</t>
  </si>
  <si>
    <t>final consonant deletion affected by colloquial arabic</t>
  </si>
  <si>
    <t>consonant deletion  of [ʔ] phone affected by colloquial Arabic</t>
  </si>
  <si>
    <t>colloquial Arabic word</t>
  </si>
  <si>
    <t>consonant insertion of  [h] phone in final position</t>
  </si>
  <si>
    <r>
      <t>replace</t>
    </r>
    <r>
      <rPr>
        <sz val="12"/>
        <color theme="1"/>
        <rFont val="Arial"/>
        <family val="2"/>
      </rPr>
      <t xml:space="preserve"> masculine  with feminine</t>
    </r>
  </si>
  <si>
    <r>
      <t>replace</t>
    </r>
    <r>
      <rPr>
        <sz val="12"/>
        <color theme="1"/>
        <rFont val="Arial"/>
        <family val="2"/>
      </rPr>
      <t xml:space="preserve"> plural noun with singular noun</t>
    </r>
  </si>
  <si>
    <t>Deletion of feminine marker</t>
  </si>
  <si>
    <t>س</t>
  </si>
  <si>
    <t>ز</t>
  </si>
  <si>
    <t>ص</t>
  </si>
  <si>
    <t>ث</t>
  </si>
  <si>
    <t>ظ</t>
  </si>
  <si>
    <t>ذ</t>
  </si>
  <si>
    <t>ك</t>
  </si>
  <si>
    <t>ج</t>
  </si>
  <si>
    <t>ق</t>
  </si>
  <si>
    <t>ش</t>
  </si>
  <si>
    <t>خ</t>
  </si>
  <si>
    <t>غ</t>
  </si>
  <si>
    <t>ع</t>
  </si>
  <si>
    <t>ح</t>
  </si>
  <si>
    <t>ه</t>
  </si>
  <si>
    <t>ء</t>
  </si>
  <si>
    <t>ف</t>
  </si>
  <si>
    <t>ن</t>
  </si>
  <si>
    <t>م</t>
  </si>
  <si>
    <t>ب</t>
  </si>
  <si>
    <t>ط</t>
  </si>
  <si>
    <t>ت</t>
  </si>
  <si>
    <t>د</t>
  </si>
  <si>
    <t>ض</t>
  </si>
  <si>
    <t>و</t>
  </si>
  <si>
    <t>ي</t>
  </si>
  <si>
    <t xml:space="preserve">ر </t>
  </si>
  <si>
    <t xml:space="preserve">ل  </t>
  </si>
  <si>
    <t>r</t>
  </si>
  <si>
    <t>l</t>
  </si>
  <si>
    <t>s</t>
  </si>
  <si>
    <t>z</t>
  </si>
  <si>
    <t>sˤ</t>
  </si>
  <si>
    <t>θ</t>
  </si>
  <si>
    <t>ðˤ</t>
  </si>
  <si>
    <t>ð</t>
  </si>
  <si>
    <t>k</t>
  </si>
  <si>
    <t>g</t>
  </si>
  <si>
    <t>q</t>
  </si>
  <si>
    <t>ʃ</t>
  </si>
  <si>
    <t>χ</t>
  </si>
  <si>
    <t>ɣ</t>
  </si>
  <si>
    <t>ʕ</t>
  </si>
  <si>
    <t>ħ</t>
  </si>
  <si>
    <t>h</t>
  </si>
  <si>
    <t>ʔ</t>
  </si>
  <si>
    <t>f</t>
  </si>
  <si>
    <t>n</t>
  </si>
  <si>
    <t>m</t>
  </si>
  <si>
    <t>b</t>
  </si>
  <si>
    <t>tˤ</t>
  </si>
  <si>
    <t>t</t>
  </si>
  <si>
    <t>d</t>
  </si>
  <si>
    <t>dˤ</t>
  </si>
  <si>
    <t>w</t>
  </si>
  <si>
    <t>j</t>
  </si>
  <si>
    <t>substitution of [t]with [t͡s ]</t>
  </si>
  <si>
    <t xml:space="preserve">devoicing(substitution of [d]with [d̥])  </t>
  </si>
  <si>
    <t>devoicing(substitution of [z]with [s]),</t>
  </si>
  <si>
    <t>substitution of [r] with [ʁ]</t>
  </si>
  <si>
    <t>substitution of [r] with [ʀ]</t>
  </si>
  <si>
    <r>
      <rPr>
        <sz val="11"/>
        <color rgb="FF7030A0"/>
        <rFont val="Calibri"/>
        <family val="2"/>
        <scheme val="minor"/>
      </rPr>
      <t xml:space="preserve"> lateralization(substitution of [r] with [l]),</t>
    </r>
    <r>
      <rPr>
        <sz val="11"/>
        <color rgb="FF9C6500"/>
        <rFont val="Calibri"/>
        <family val="2"/>
        <scheme val="minor"/>
      </rPr>
      <t xml:space="preserve"> </t>
    </r>
  </si>
  <si>
    <t>assimilation (the  [d] phone changes to  [n] to become  similar to the nearby  phone[n])</t>
  </si>
  <si>
    <t>assimilation (the  [n] phone changes to  [t]  phone to become  similar to the nearby  phone[t])</t>
  </si>
  <si>
    <t>syllable structure process (consonant deletion of  [d] phone)</t>
  </si>
  <si>
    <t>gliding(substitution of [r] with [j])</t>
  </si>
  <si>
    <t>[l]</t>
  </si>
  <si>
    <t>[ɻ]</t>
  </si>
  <si>
    <t>[ʁ]</t>
  </si>
  <si>
    <t>[ʀ]</t>
  </si>
  <si>
    <t>[j]</t>
  </si>
  <si>
    <t>[s]</t>
  </si>
  <si>
    <t>[z]</t>
  </si>
  <si>
    <t>[kʰ]</t>
  </si>
  <si>
    <t>[q]</t>
  </si>
  <si>
    <t>[k]</t>
  </si>
  <si>
    <t>[ʃ]</t>
  </si>
  <si>
    <t>[ʒ]</t>
  </si>
  <si>
    <t>[ɣ]</t>
  </si>
  <si>
    <t>[t͡ʃ]</t>
  </si>
  <si>
    <t>[g]</t>
  </si>
  <si>
    <t>[ħ]</t>
  </si>
  <si>
    <t>[ʔ]</t>
  </si>
  <si>
    <t>[ʕ]</t>
  </si>
  <si>
    <t>[h]</t>
  </si>
  <si>
    <t>[χ]</t>
  </si>
  <si>
    <t>[t]</t>
  </si>
  <si>
    <t>[p]</t>
  </si>
  <si>
    <t>[pʰ]</t>
  </si>
  <si>
    <t>[tʰ]</t>
  </si>
  <si>
    <t>[t͡s]</t>
  </si>
  <si>
    <t>[d̥]</t>
  </si>
  <si>
    <t>[ð]</t>
  </si>
  <si>
    <t>[n]</t>
  </si>
  <si>
    <t>[-]</t>
  </si>
  <si>
    <t>percentage</t>
  </si>
  <si>
    <t>letter</t>
  </si>
  <si>
    <t>total</t>
  </si>
  <si>
    <t>arabic letter</t>
  </si>
  <si>
    <t>phonological_processes</t>
  </si>
  <si>
    <t>allpohone</t>
  </si>
  <si>
    <t>number of error</t>
  </si>
  <si>
    <t>r Total</t>
  </si>
  <si>
    <t>l Total</t>
  </si>
  <si>
    <t>s Total</t>
  </si>
  <si>
    <t>z Total</t>
  </si>
  <si>
    <t>sˤ Total</t>
  </si>
  <si>
    <t>θ Total</t>
  </si>
  <si>
    <t>ðˤ Total</t>
  </si>
  <si>
    <t>ð Total</t>
  </si>
  <si>
    <t>k Total</t>
  </si>
  <si>
    <t>g Total</t>
  </si>
  <si>
    <t>q Total</t>
  </si>
  <si>
    <t>ʃ Total</t>
  </si>
  <si>
    <t>χ Total</t>
  </si>
  <si>
    <t>ɣ Total</t>
  </si>
  <si>
    <t>ʕ Total</t>
  </si>
  <si>
    <t>ħ Total</t>
  </si>
  <si>
    <t>h Total</t>
  </si>
  <si>
    <t>ʔ Total</t>
  </si>
  <si>
    <t>f Total</t>
  </si>
  <si>
    <t>n Total</t>
  </si>
  <si>
    <t>m Total</t>
  </si>
  <si>
    <t>b Total</t>
  </si>
  <si>
    <t>tˤ Total</t>
  </si>
  <si>
    <t>t Total</t>
  </si>
  <si>
    <t>d Total</t>
  </si>
  <si>
    <t>dˤ Total</t>
  </si>
  <si>
    <t>w Total</t>
  </si>
  <si>
    <t>j Total</t>
  </si>
  <si>
    <t>replace the MSA consonant [θ]with the colloquial arabic consonant [s]</t>
  </si>
  <si>
    <t>replace the MSA diphthong [æw]with the colloquial arabic vowel[o:]</t>
  </si>
  <si>
    <t>replace the MSA consonant [d͡ʒ]with the colloquial arabic consonant [g]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</si>
</sst>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CE181E"/>
      <name val="Arial"/>
      <family val="2"/>
    </font>
    <font>
      <b/>
      <sz val="16"/>
      <color rgb="FFCE181E"/>
      <name val="Arial"/>
      <family val="2"/>
    </font>
    <font>
      <sz val="12"/>
      <color rgb="FF7030A0"/>
      <name val="Arial"/>
      <family val="2"/>
    </font>
    <font>
      <sz val="11"/>
      <color rgb="FF7030A0"/>
      <name val="Calibri"/>
      <family val="2"/>
      <scheme val="minor"/>
    </font>
    <font>
      <b/>
      <sz val="12"/>
      <color rgb="FF7030A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9C65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7" tint="0.59999389629810485"/>
        <bgColor indexed="65"/>
      </patternFill>
    </fill>
  </fills>
  <borders count="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</borders>
  <cellStyleXfs count="11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9" fontId="1" fillId="0" borderId="0" applyFont="0" applyFill="0" applyBorder="0" applyAlignment="0" applyProtection="0"/>
  </cellStyleXfs>
  <cellXfs count="93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12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4" fillId="4" borderId="1" xfId="3" applyBorder="1" applyAlignment="1">
      <alignment vertical="center" wrapText="1"/>
    </xf>
    <xf numFmtId="0" fontId="4" fillId="4" borderId="1" xfId="3" applyBorder="1" applyAlignment="1">
      <alignment vertical="center"/>
    </xf>
    <xf numFmtId="0" fontId="11" fillId="4" borderId="1" xfId="3" applyFont="1" applyBorder="1" applyAlignment="1">
      <alignment vertical="center" wrapText="1"/>
    </xf>
    <xf numFmtId="0" fontId="3" fillId="3" borderId="1" xfId="2" applyBorder="1" applyAlignment="1">
      <alignment horizontal="center" vertical="center"/>
    </xf>
    <xf numFmtId="0" fontId="3" fillId="3" borderId="1" xfId="2" applyBorder="1" applyAlignment="1">
      <alignment horizontal="center" vertical="center" wrapText="1" readingOrder="2"/>
    </xf>
    <xf numFmtId="0" fontId="3" fillId="3" borderId="1" xfId="2" applyBorder="1" applyAlignment="1">
      <alignment vertical="center" wrapText="1"/>
    </xf>
    <xf numFmtId="0" fontId="3" fillId="3" borderId="1" xfId="2" applyBorder="1" applyAlignment="1">
      <alignment vertical="center"/>
    </xf>
    <xf numFmtId="0" fontId="2" fillId="2" borderId="1" xfId="1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2" fillId="2" borderId="1" xfId="1" applyBorder="1" applyAlignment="1">
      <alignment wrapText="1"/>
    </xf>
    <xf numFmtId="0" fontId="2" fillId="2" borderId="1" xfId="1" applyBorder="1"/>
    <xf numFmtId="0" fontId="1" fillId="9" borderId="1" xfId="8" applyBorder="1" applyAlignment="1">
      <alignment horizontal="center" vertical="center"/>
    </xf>
    <xf numFmtId="0" fontId="1" fillId="9" borderId="1" xfId="8" applyBorder="1" applyAlignment="1">
      <alignment horizontal="center" vertical="center" wrapText="1" readingOrder="2"/>
    </xf>
    <xf numFmtId="0" fontId="1" fillId="9" borderId="1" xfId="8" applyBorder="1" applyAlignment="1">
      <alignment vertical="center" wrapText="1"/>
    </xf>
    <xf numFmtId="0" fontId="1" fillId="9" borderId="1" xfId="8" applyBorder="1" applyAlignment="1">
      <alignment vertical="center"/>
    </xf>
    <xf numFmtId="0" fontId="3" fillId="3" borderId="1" xfId="2" applyBorder="1" applyAlignment="1">
      <alignment wrapText="1"/>
    </xf>
    <xf numFmtId="0" fontId="3" fillId="3" borderId="1" xfId="2" applyBorder="1"/>
    <xf numFmtId="0" fontId="2" fillId="2" borderId="1" xfId="1" applyBorder="1" applyAlignment="1">
      <alignment vertical="center" wrapText="1"/>
    </xf>
    <xf numFmtId="0" fontId="2" fillId="2" borderId="1" xfId="1" applyBorder="1" applyAlignment="1">
      <alignment vertical="center"/>
    </xf>
    <xf numFmtId="0" fontId="4" fillId="4" borderId="1" xfId="3" applyBorder="1" applyAlignment="1">
      <alignment horizontal="center" vertical="center"/>
    </xf>
    <xf numFmtId="0" fontId="4" fillId="4" borderId="1" xfId="3" applyBorder="1" applyAlignment="1">
      <alignment horizontal="center" vertical="center" wrapText="1" readingOrder="2"/>
    </xf>
    <xf numFmtId="0" fontId="11" fillId="3" borderId="1" xfId="2" applyFont="1" applyBorder="1" applyAlignment="1">
      <alignment vertical="center" wrapText="1"/>
    </xf>
    <xf numFmtId="0" fontId="11" fillId="2" borderId="1" xfId="1" applyFont="1" applyBorder="1" applyAlignment="1">
      <alignment vertical="center" wrapText="1"/>
    </xf>
    <xf numFmtId="0" fontId="1" fillId="7" borderId="1" xfId="6" applyBorder="1" applyAlignment="1">
      <alignment horizontal="center" vertical="center"/>
    </xf>
    <xf numFmtId="0" fontId="1" fillId="7" borderId="1" xfId="6" applyBorder="1" applyAlignment="1">
      <alignment horizontal="center" vertical="center" wrapText="1" readingOrder="2"/>
    </xf>
    <xf numFmtId="0" fontId="1" fillId="7" borderId="1" xfId="6" applyBorder="1" applyAlignment="1">
      <alignment vertical="center" wrapText="1"/>
    </xf>
    <xf numFmtId="0" fontId="1" fillId="7" borderId="1" xfId="6" applyBorder="1" applyAlignment="1">
      <alignment vertical="center"/>
    </xf>
    <xf numFmtId="0" fontId="1" fillId="5" borderId="1" xfId="4" applyBorder="1" applyAlignment="1">
      <alignment horizontal="center" vertical="center"/>
    </xf>
    <xf numFmtId="0" fontId="1" fillId="5" borderId="1" xfId="4" applyBorder="1" applyAlignment="1">
      <alignment horizontal="center" vertical="center" wrapText="1" readingOrder="2"/>
    </xf>
    <xf numFmtId="0" fontId="11" fillId="5" borderId="1" xfId="4" applyFont="1" applyBorder="1" applyAlignment="1">
      <alignment vertical="center" wrapText="1"/>
    </xf>
    <xf numFmtId="0" fontId="1" fillId="5" borderId="1" xfId="4" applyBorder="1" applyAlignment="1">
      <alignment vertical="center"/>
    </xf>
    <xf numFmtId="0" fontId="1" fillId="6" borderId="1" xfId="5" applyBorder="1" applyAlignment="1">
      <alignment horizontal="center" vertical="center"/>
    </xf>
    <xf numFmtId="0" fontId="1" fillId="6" borderId="1" xfId="5" applyBorder="1" applyAlignment="1">
      <alignment horizontal="center" vertical="center" wrapText="1" readingOrder="2"/>
    </xf>
    <xf numFmtId="0" fontId="11" fillId="6" borderId="1" xfId="5" applyFont="1" applyBorder="1" applyAlignment="1">
      <alignment vertical="center" wrapText="1"/>
    </xf>
    <xf numFmtId="0" fontId="1" fillId="6" borderId="1" xfId="5" applyBorder="1" applyAlignment="1">
      <alignment vertical="center"/>
    </xf>
    <xf numFmtId="0" fontId="1" fillId="8" borderId="1" xfId="7" applyBorder="1" applyAlignment="1">
      <alignment vertical="center" wrapText="1"/>
    </xf>
    <xf numFmtId="0" fontId="1" fillId="8" borderId="1" xfId="7" applyBorder="1" applyAlignment="1">
      <alignment vertical="center"/>
    </xf>
    <xf numFmtId="0" fontId="0" fillId="7" borderId="1" xfId="6" applyFont="1" applyBorder="1" applyAlignment="1">
      <alignment vertical="center" wrapText="1"/>
    </xf>
    <xf numFmtId="0" fontId="5" fillId="2" borderId="1" xfId="1" applyFont="1" applyBorder="1" applyAlignment="1">
      <alignment vertical="center" wrapText="1"/>
    </xf>
    <xf numFmtId="0" fontId="1" fillId="10" borderId="1" xfId="9" applyBorder="1" applyAlignment="1">
      <alignment vertical="center" wrapText="1"/>
    </xf>
    <xf numFmtId="0" fontId="1" fillId="10" borderId="1" xfId="9" applyBorder="1" applyAlignment="1">
      <alignment vertical="center"/>
    </xf>
    <xf numFmtId="10" fontId="0" fillId="0" borderId="0" xfId="0" applyNumberFormat="1"/>
    <xf numFmtId="10" fontId="4" fillId="4" borderId="1" xfId="3" applyNumberFormat="1" applyBorder="1" applyAlignment="1">
      <alignment vertical="center"/>
    </xf>
    <xf numFmtId="10" fontId="3" fillId="3" borderId="1" xfId="2" applyNumberFormat="1" applyBorder="1" applyAlignment="1">
      <alignment vertical="center"/>
    </xf>
    <xf numFmtId="10" fontId="2" fillId="2" borderId="1" xfId="1" applyNumberFormat="1" applyBorder="1"/>
    <xf numFmtId="10" fontId="1" fillId="9" borderId="1" xfId="8" applyNumberFormat="1" applyBorder="1" applyAlignment="1">
      <alignment vertical="center"/>
    </xf>
    <xf numFmtId="10" fontId="2" fillId="2" borderId="1" xfId="1" applyNumberFormat="1" applyBorder="1" applyAlignment="1">
      <alignment vertical="center"/>
    </xf>
    <xf numFmtId="10" fontId="1" fillId="7" borderId="1" xfId="6" applyNumberFormat="1" applyBorder="1" applyAlignment="1">
      <alignment vertical="center"/>
    </xf>
    <xf numFmtId="10" fontId="1" fillId="5" borderId="1" xfId="4" applyNumberFormat="1" applyBorder="1" applyAlignment="1">
      <alignment vertical="center"/>
    </xf>
    <xf numFmtId="10" fontId="1" fillId="6" borderId="1" xfId="5" applyNumberFormat="1" applyBorder="1" applyAlignment="1">
      <alignment vertical="center"/>
    </xf>
    <xf numFmtId="10" fontId="1" fillId="8" borderId="1" xfId="7" applyNumberFormat="1" applyBorder="1" applyAlignment="1">
      <alignment vertical="center"/>
    </xf>
    <xf numFmtId="10" fontId="1" fillId="10" borderId="1" xfId="9" applyNumberFormat="1" applyBorder="1" applyAlignment="1">
      <alignment vertical="center"/>
    </xf>
    <xf numFmtId="10" fontId="0" fillId="0" borderId="1" xfId="0" applyNumberFormat="1" applyBorder="1"/>
    <xf numFmtId="0" fontId="0" fillId="0" borderId="2" xfId="0" applyBorder="1"/>
    <xf numFmtId="0" fontId="9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10" fontId="0" fillId="0" borderId="1" xfId="0" applyNumberFormat="1" applyBorder="1" applyAlignment="1">
      <alignment wrapText="1"/>
    </xf>
    <xf numFmtId="10" fontId="0" fillId="0" borderId="1" xfId="10" applyNumberFormat="1" applyFont="1" applyBorder="1"/>
    <xf numFmtId="0" fontId="2" fillId="2" borderId="1" xfId="1" applyBorder="1" applyAlignment="1">
      <alignment horizontal="center" vertical="center" wrapText="1" readingOrder="2"/>
    </xf>
    <xf numFmtId="0" fontId="1" fillId="8" borderId="1" xfId="7" applyBorder="1" applyAlignment="1">
      <alignment horizontal="center" vertical="center" wrapText="1" readingOrder="2"/>
    </xf>
    <xf numFmtId="0" fontId="3" fillId="3" borderId="1" xfId="2" applyBorder="1" applyAlignment="1">
      <alignment horizontal="center" vertical="center" wrapText="1" readingOrder="2"/>
    </xf>
    <xf numFmtId="0" fontId="4" fillId="4" borderId="1" xfId="3" applyBorder="1" applyAlignment="1">
      <alignment horizontal="center" vertical="center" wrapText="1" readingOrder="2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10" fontId="14" fillId="0" borderId="1" xfId="0" applyNumberFormat="1" applyFont="1" applyBorder="1" applyAlignment="1">
      <alignment horizontal="center" vertical="center" wrapText="1"/>
    </xf>
    <xf numFmtId="0" fontId="14" fillId="0" borderId="0" xfId="0" applyFont="1"/>
    <xf numFmtId="0" fontId="15" fillId="4" borderId="1" xfId="3" applyFont="1" applyBorder="1" applyAlignment="1">
      <alignment horizontal="center" vertical="center"/>
    </xf>
    <xf numFmtId="0" fontId="16" fillId="3" borderId="1" xfId="2" applyFont="1" applyBorder="1" applyAlignment="1">
      <alignment horizontal="center" vertical="center"/>
    </xf>
    <xf numFmtId="0" fontId="17" fillId="2" borderId="1" xfId="1" applyFont="1" applyBorder="1" applyAlignment="1">
      <alignment horizontal="center" vertical="center"/>
    </xf>
    <xf numFmtId="0" fontId="13" fillId="9" borderId="1" xfId="8" applyFont="1" applyBorder="1" applyAlignment="1">
      <alignment horizontal="center" vertical="center"/>
    </xf>
    <xf numFmtId="0" fontId="13" fillId="7" borderId="1" xfId="6" applyFont="1" applyBorder="1" applyAlignment="1">
      <alignment horizontal="center" vertical="center"/>
    </xf>
    <xf numFmtId="0" fontId="13" fillId="5" borderId="1" xfId="4" applyFont="1" applyBorder="1" applyAlignment="1">
      <alignment horizontal="center" vertical="center"/>
    </xf>
    <xf numFmtId="0" fontId="13" fillId="6" borderId="1" xfId="5" applyFont="1" applyBorder="1" applyAlignment="1">
      <alignment horizontal="center" vertical="center"/>
    </xf>
    <xf numFmtId="0" fontId="13" fillId="8" borderId="1" xfId="7" applyFont="1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1" fillId="8" borderId="1" xfId="7" applyBorder="1" applyAlignment="1">
      <alignment horizontal="center" vertical="center"/>
    </xf>
    <xf numFmtId="0" fontId="1" fillId="8" borderId="1" xfId="7" applyBorder="1" applyAlignment="1">
      <alignment horizontal="center" vertical="center" wrapText="1" readingOrder="2"/>
    </xf>
    <xf numFmtId="0" fontId="3" fillId="3" borderId="1" xfId="2" applyBorder="1" applyAlignment="1">
      <alignment horizontal="center" vertical="center" wrapText="1" readingOrder="2"/>
    </xf>
    <xf numFmtId="0" fontId="3" fillId="3" borderId="1" xfId="2" applyBorder="1" applyAlignment="1">
      <alignment horizontal="center" vertical="center"/>
    </xf>
    <xf numFmtId="0" fontId="4" fillId="4" borderId="1" xfId="3" applyBorder="1" applyAlignment="1">
      <alignment horizontal="center" vertical="center" wrapText="1" readingOrder="2"/>
    </xf>
    <xf numFmtId="0" fontId="4" fillId="4" borderId="1" xfId="3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</cellXfs>
  <cellStyles count="11">
    <cellStyle name="20% - Accent3" xfId="6" builtinId="38"/>
    <cellStyle name="20% - Accent4" xfId="7" builtinId="42"/>
    <cellStyle name="20% - Accent5" xfId="8" builtinId="46"/>
    <cellStyle name="40% - Accent1" xfId="4" builtinId="31"/>
    <cellStyle name="40% - Accent2" xfId="5" builtinId="35"/>
    <cellStyle name="40% - Accent4" xfId="9" builtinId="43"/>
    <cellStyle name="Bad" xfId="2" builtinId="27"/>
    <cellStyle name="Good" xfId="1" builtinId="26"/>
    <cellStyle name="Neutral" xfId="3" builtinId="28"/>
    <cellStyle name="Normal" xfId="0" builtinId="0"/>
    <cellStyle name="Percent" xfId="10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[r]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Sheet1!$F$2:$F$7</c:f>
              <c:strCache>
                <c:ptCount val="6"/>
                <c:pt idx="0">
                  <c:v>[ʁ]</c:v>
                </c:pt>
                <c:pt idx="1">
                  <c:v>[l]</c:v>
                </c:pt>
                <c:pt idx="2">
                  <c:v>[ɻ]</c:v>
                </c:pt>
                <c:pt idx="3">
                  <c:v>[ʀ]</c:v>
                </c:pt>
                <c:pt idx="4">
                  <c:v>[j]</c:v>
                </c:pt>
                <c:pt idx="5">
                  <c:v>[-]</c:v>
                </c:pt>
              </c:strCache>
            </c:strRef>
          </c:cat>
          <c:val>
            <c:numRef>
              <c:f>Sheet1!$G$2:$G$7</c:f>
              <c:numCache>
                <c:formatCode>General</c:formatCode>
                <c:ptCount val="6"/>
                <c:pt idx="0">
                  <c:v>15</c:v>
                </c:pt>
                <c:pt idx="1">
                  <c:v>8</c:v>
                </c:pt>
                <c:pt idx="2">
                  <c:v>6</c:v>
                </c:pt>
                <c:pt idx="3">
                  <c:v>4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B4-42FE-B857-200FEFA37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7007424"/>
        <c:axId val="657005344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Sheet1!$F$2:$F$7</c:f>
              <c:strCache>
                <c:ptCount val="6"/>
                <c:pt idx="0">
                  <c:v>[ʁ]</c:v>
                </c:pt>
                <c:pt idx="1">
                  <c:v>[l]</c:v>
                </c:pt>
                <c:pt idx="2">
                  <c:v>[ɻ]</c:v>
                </c:pt>
                <c:pt idx="3">
                  <c:v>[ʀ]</c:v>
                </c:pt>
                <c:pt idx="4">
                  <c:v>[j]</c:v>
                </c:pt>
                <c:pt idx="5">
                  <c:v>[-]</c:v>
                </c:pt>
              </c:strCache>
            </c:strRef>
          </c:cat>
          <c:val>
            <c:numRef>
              <c:f>Sheet1!$H$2:$H$7</c:f>
              <c:numCache>
                <c:formatCode>0.00%</c:formatCode>
                <c:ptCount val="6"/>
                <c:pt idx="0">
                  <c:v>0.36585365853658536</c:v>
                </c:pt>
                <c:pt idx="1">
                  <c:v>0.1951219512195122</c:v>
                </c:pt>
                <c:pt idx="2">
                  <c:v>0.14634146341463414</c:v>
                </c:pt>
                <c:pt idx="3">
                  <c:v>9.7560975609756101E-2</c:v>
                </c:pt>
                <c:pt idx="4">
                  <c:v>7.3170731707317069E-2</c:v>
                </c:pt>
                <c:pt idx="5">
                  <c:v>2.4390243902439025E-2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B4-42FE-B857-200FEFA37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7007840"/>
        <c:axId val="657006592"/>
      </c:lineChart>
      <c:catAx>
        <c:axId val="65700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005344"/>
        <c:crosses val="autoZero"/>
        <c:auto val="1"/>
        <c:lblAlgn val="ctr"/>
        <c:lblOffset val="100"/>
        <c:noMultiLvlLbl val="0"/>
      </c:catAx>
      <c:valAx>
        <c:axId val="65700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007424"/>
        <c:crosses val="autoZero"/>
        <c:crossBetween val="between"/>
      </c:valAx>
      <c:valAx>
        <c:axId val="657006592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007840"/>
        <c:crosses val="max"/>
        <c:crossBetween val="between"/>
      </c:valAx>
      <c:catAx>
        <c:axId val="6570078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57006592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[z]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Sheet1!$F$13</c:f>
              <c:strCache>
                <c:ptCount val="1"/>
                <c:pt idx="0">
                  <c:v>[s]</c:v>
                </c:pt>
              </c:strCache>
            </c:strRef>
          </c:cat>
          <c:val>
            <c:numRef>
              <c:f>Sheet1!$G$13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66-45A7-AB30-272349B8A41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Sheet1!$F$13</c:f>
              <c:strCache>
                <c:ptCount val="1"/>
                <c:pt idx="0">
                  <c:v>[s]</c:v>
                </c:pt>
              </c:strCache>
            </c:strRef>
          </c:cat>
          <c:val>
            <c:numRef>
              <c:f>Sheet1!$H$13</c:f>
              <c:numCache>
                <c:formatCode>0.00%</c:formatCode>
                <c:ptCount val="1"/>
                <c:pt idx="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66-45A7-AB30-272349B8A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4975296"/>
        <c:axId val="790880592"/>
      </c:barChart>
      <c:catAx>
        <c:axId val="79497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880592"/>
        <c:crosses val="autoZero"/>
        <c:auto val="1"/>
        <c:lblAlgn val="ctr"/>
        <c:lblOffset val="100"/>
        <c:noMultiLvlLbl val="0"/>
      </c:catAx>
      <c:valAx>
        <c:axId val="79088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9752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[ðˤ]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Sheet1!$F$19</c:f>
              <c:strCache>
                <c:ptCount val="1"/>
                <c:pt idx="0">
                  <c:v>[z]</c:v>
                </c:pt>
              </c:strCache>
            </c:strRef>
          </c:cat>
          <c:val>
            <c:numRef>
              <c:f>Sheet1!$G$19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09-4325-A54C-45A76B78888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Sheet1!$F$19</c:f>
              <c:strCache>
                <c:ptCount val="1"/>
                <c:pt idx="0">
                  <c:v>[z]</c:v>
                </c:pt>
              </c:strCache>
            </c:strRef>
          </c:cat>
          <c:val>
            <c:numRef>
              <c:f>Sheet1!$H$19</c:f>
              <c:numCache>
                <c:formatCode>0.00%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09-4325-A54C-45A76B788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8803888"/>
        <c:axId val="794967504"/>
      </c:barChart>
      <c:catAx>
        <c:axId val="59880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967504"/>
        <c:crosses val="autoZero"/>
        <c:auto val="1"/>
        <c:lblAlgn val="ctr"/>
        <c:lblOffset val="100"/>
        <c:noMultiLvlLbl val="0"/>
      </c:catAx>
      <c:valAx>
        <c:axId val="79496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8038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Sheet1!$F$23</c:f>
              <c:strCache>
                <c:ptCount val="1"/>
                <c:pt idx="0">
                  <c:v>[kʰ]</c:v>
                </c:pt>
              </c:strCache>
            </c:strRef>
          </c:cat>
          <c:val>
            <c:numRef>
              <c:f>Sheet1!$G$23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BF-4D12-83A2-0C4F30A177B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Sheet1!$F$23</c:f>
              <c:strCache>
                <c:ptCount val="1"/>
                <c:pt idx="0">
                  <c:v>[kʰ]</c:v>
                </c:pt>
              </c:strCache>
            </c:strRef>
          </c:cat>
          <c:val>
            <c:numRef>
              <c:f>Sheet1!$H$23</c:f>
              <c:numCache>
                <c:formatCode>0.00%</c:formatCode>
                <c:ptCount val="1"/>
                <c:pt idx="0">
                  <c:v>0.30769230769230771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BF-4D12-83A2-0C4F30A17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4979872"/>
        <c:axId val="794974464"/>
      </c:barChart>
      <c:catAx>
        <c:axId val="79497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974464"/>
        <c:crosses val="autoZero"/>
        <c:auto val="1"/>
        <c:lblAlgn val="ctr"/>
        <c:lblOffset val="100"/>
        <c:noMultiLvlLbl val="0"/>
      </c:catAx>
      <c:valAx>
        <c:axId val="79497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9798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[d͡ʒ]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Sheet1!$F$25:$F$30</c:f>
              <c:strCache>
                <c:ptCount val="6"/>
                <c:pt idx="0">
                  <c:v>[ʒ]</c:v>
                </c:pt>
                <c:pt idx="1">
                  <c:v>[q]</c:v>
                </c:pt>
                <c:pt idx="2">
                  <c:v>[k]</c:v>
                </c:pt>
                <c:pt idx="3">
                  <c:v>[ʃ]</c:v>
                </c:pt>
                <c:pt idx="4">
                  <c:v>[ɣ]</c:v>
                </c:pt>
                <c:pt idx="5">
                  <c:v>[t͡ʃ]</c:v>
                </c:pt>
              </c:strCache>
            </c:strRef>
          </c:cat>
          <c:val>
            <c:numRef>
              <c:f>Sheet1!$G$25:$G$30</c:f>
              <c:numCache>
                <c:formatCode>General</c:formatCode>
                <c:ptCount val="6"/>
                <c:pt idx="0">
                  <c:v>6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02-4899-B192-938CB1F1F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7004096"/>
        <c:axId val="657007008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Sheet1!$F$25:$F$30</c:f>
              <c:strCache>
                <c:ptCount val="6"/>
                <c:pt idx="0">
                  <c:v>[ʒ]</c:v>
                </c:pt>
                <c:pt idx="1">
                  <c:v>[q]</c:v>
                </c:pt>
                <c:pt idx="2">
                  <c:v>[k]</c:v>
                </c:pt>
                <c:pt idx="3">
                  <c:v>[ʃ]</c:v>
                </c:pt>
                <c:pt idx="4">
                  <c:v>[ɣ]</c:v>
                </c:pt>
                <c:pt idx="5">
                  <c:v>[t͡ʃ]</c:v>
                </c:pt>
              </c:strCache>
            </c:strRef>
          </c:cat>
          <c:val>
            <c:numRef>
              <c:f>Sheet1!$H$25:$H$30</c:f>
              <c:numCache>
                <c:formatCode>0.00%</c:formatCode>
                <c:ptCount val="6"/>
                <c:pt idx="0">
                  <c:v>0.33333333333333331</c:v>
                </c:pt>
                <c:pt idx="1">
                  <c:v>5.5555555555555552E-2</c:v>
                </c:pt>
                <c:pt idx="2">
                  <c:v>5.5555555555555552E-2</c:v>
                </c:pt>
                <c:pt idx="3">
                  <c:v>5.5555555555555552E-2</c:v>
                </c:pt>
                <c:pt idx="4">
                  <c:v>5.5555555555555552E-2</c:v>
                </c:pt>
                <c:pt idx="5">
                  <c:v>5.5555555555555552E-2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02-4899-B192-938CB1F1F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0879344"/>
        <c:axId val="790878928"/>
      </c:lineChart>
      <c:catAx>
        <c:axId val="65700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007008"/>
        <c:crosses val="autoZero"/>
        <c:auto val="1"/>
        <c:lblAlgn val="ctr"/>
        <c:lblOffset val="100"/>
        <c:noMultiLvlLbl val="0"/>
      </c:catAx>
      <c:valAx>
        <c:axId val="65700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004096"/>
        <c:crosses val="autoZero"/>
        <c:crossBetween val="between"/>
      </c:valAx>
      <c:valAx>
        <c:axId val="790878928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879344"/>
        <c:crosses val="max"/>
        <c:crossBetween val="between"/>
      </c:valAx>
      <c:catAx>
        <c:axId val="7908793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90878928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[q]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Sheet1!$F$32</c:f>
              <c:strCache>
                <c:ptCount val="1"/>
                <c:pt idx="0">
                  <c:v>[g]</c:v>
                </c:pt>
              </c:strCache>
            </c:strRef>
          </c:cat>
          <c:val>
            <c:numRef>
              <c:f>Sheet1!$G$32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D9-49BE-A99C-BA18B67E6B5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Sheet1!$F$32</c:f>
              <c:strCache>
                <c:ptCount val="1"/>
                <c:pt idx="0">
                  <c:v>[g]</c:v>
                </c:pt>
              </c:strCache>
            </c:strRef>
          </c:cat>
          <c:val>
            <c:numRef>
              <c:f>Sheet1!$H$32</c:f>
              <c:numCache>
                <c:formatCode>0.00%</c:formatCode>
                <c:ptCount val="1"/>
                <c:pt idx="0">
                  <c:v>0.22222222222222221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D9-49BE-A99C-BA18B67E6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0884752"/>
        <c:axId val="643465936"/>
      </c:barChart>
      <c:catAx>
        <c:axId val="79088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465936"/>
        <c:crosses val="autoZero"/>
        <c:auto val="1"/>
        <c:lblAlgn val="ctr"/>
        <c:lblOffset val="100"/>
        <c:noMultiLvlLbl val="0"/>
      </c:catAx>
      <c:valAx>
        <c:axId val="64346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8847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[χ]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Sheet1!$F$36</c:f>
              <c:strCache>
                <c:ptCount val="1"/>
                <c:pt idx="0">
                  <c:v>[ħ]</c:v>
                </c:pt>
              </c:strCache>
            </c:strRef>
          </c:cat>
          <c:val>
            <c:numRef>
              <c:f>Sheet1!$G$36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86-4E7F-9B00-286898B700F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Sheet1!$F$36</c:f>
              <c:strCache>
                <c:ptCount val="1"/>
                <c:pt idx="0">
                  <c:v>[ħ]</c:v>
                </c:pt>
              </c:strCache>
            </c:strRef>
          </c:cat>
          <c:val>
            <c:numRef>
              <c:f>Sheet1!$H$36</c:f>
              <c:numCache>
                <c:formatCode>0.00%</c:formatCode>
                <c:ptCount val="1"/>
                <c:pt idx="0">
                  <c:v>0.1111111111111111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86-4E7F-9B00-286898B70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8810128"/>
        <c:axId val="598805552"/>
      </c:barChart>
      <c:catAx>
        <c:axId val="59881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805552"/>
        <c:crosses val="autoZero"/>
        <c:auto val="1"/>
        <c:lblAlgn val="ctr"/>
        <c:lblOffset val="100"/>
        <c:noMultiLvlLbl val="0"/>
      </c:catAx>
      <c:valAx>
        <c:axId val="59880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8101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[ʕ]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Sheet1!$F$40</c:f>
              <c:strCache>
                <c:ptCount val="1"/>
                <c:pt idx="0">
                  <c:v>[ʔ]</c:v>
                </c:pt>
              </c:strCache>
            </c:strRef>
          </c:cat>
          <c:val>
            <c:numRef>
              <c:f>Sheet1!$G$40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6E-4631-B4B3-CE1D1C7BB4A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Sheet1!$F$40</c:f>
              <c:strCache>
                <c:ptCount val="1"/>
                <c:pt idx="0">
                  <c:v>[ʔ]</c:v>
                </c:pt>
              </c:strCache>
            </c:strRef>
          </c:cat>
          <c:val>
            <c:numRef>
              <c:f>Sheet1!$H$40</c:f>
              <c:numCache>
                <c:formatCode>0.00%</c:formatCode>
                <c:ptCount val="1"/>
                <c:pt idx="0">
                  <c:v>0.10169491525423729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6E-4631-B4B3-CE1D1C7BB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4965424"/>
        <c:axId val="794967088"/>
      </c:barChart>
      <c:catAx>
        <c:axId val="79496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967088"/>
        <c:crosses val="autoZero"/>
        <c:auto val="1"/>
        <c:lblAlgn val="ctr"/>
        <c:lblOffset val="100"/>
        <c:noMultiLvlLbl val="0"/>
      </c:catAx>
      <c:valAx>
        <c:axId val="79496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9654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[ħ]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Sheet1!$F$42:$F$43</c:f>
              <c:strCache>
                <c:ptCount val="2"/>
                <c:pt idx="0">
                  <c:v>[ʕ]</c:v>
                </c:pt>
                <c:pt idx="1">
                  <c:v>[h]</c:v>
                </c:pt>
              </c:strCache>
            </c:strRef>
          </c:cat>
          <c:val>
            <c:numRef>
              <c:f>Sheet1!$G$42:$G$43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21-48C7-A2BB-0B4E4F521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6812736"/>
        <c:axId val="796825216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Sheet1!$F$42:$F$43</c:f>
              <c:strCache>
                <c:ptCount val="2"/>
                <c:pt idx="0">
                  <c:v>[ʕ]</c:v>
                </c:pt>
                <c:pt idx="1">
                  <c:v>[h]</c:v>
                </c:pt>
              </c:strCache>
            </c:strRef>
          </c:cat>
          <c:val>
            <c:numRef>
              <c:f>Sheet1!$H$42:$H$43</c:f>
              <c:numCache>
                <c:formatCode>0.00%</c:formatCode>
                <c:ptCount val="2"/>
                <c:pt idx="0">
                  <c:v>3.7037037037037035E-2</c:v>
                </c:pt>
                <c:pt idx="1">
                  <c:v>3.7037037037037035E-2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21-48C7-A2BB-0B4E4F521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6821056"/>
        <c:axId val="796826880"/>
      </c:lineChart>
      <c:catAx>
        <c:axId val="79681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25216"/>
        <c:crosses val="autoZero"/>
        <c:auto val="1"/>
        <c:lblAlgn val="ctr"/>
        <c:lblOffset val="100"/>
        <c:noMultiLvlLbl val="0"/>
      </c:catAx>
      <c:valAx>
        <c:axId val="79682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2736"/>
        <c:crosses val="autoZero"/>
        <c:crossBetween val="between"/>
      </c:valAx>
      <c:valAx>
        <c:axId val="796826880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21056"/>
        <c:crosses val="max"/>
        <c:crossBetween val="between"/>
      </c:valAx>
      <c:catAx>
        <c:axId val="7968210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9682688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[h]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Sheet1!$F$45:$F$46</c:f>
              <c:strCache>
                <c:ptCount val="2"/>
                <c:pt idx="0">
                  <c:v>[χ]</c:v>
                </c:pt>
                <c:pt idx="1">
                  <c:v>[ħ]</c:v>
                </c:pt>
              </c:strCache>
            </c:strRef>
          </c:cat>
          <c:val>
            <c:numRef>
              <c:f>Sheet1!$G$45:$G$46</c:f>
              <c:numCache>
                <c:formatCode>General</c:formatCode>
                <c:ptCount val="2"/>
                <c:pt idx="0">
                  <c:v>8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B1-45FD-B806-E89C8B735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3469264"/>
        <c:axId val="643467600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Sheet1!$F$45:$F$46</c:f>
              <c:strCache>
                <c:ptCount val="2"/>
                <c:pt idx="0">
                  <c:v>[χ]</c:v>
                </c:pt>
                <c:pt idx="1">
                  <c:v>[ħ]</c:v>
                </c:pt>
              </c:strCache>
            </c:strRef>
          </c:cat>
          <c:val>
            <c:numRef>
              <c:f>Sheet1!$H$45:$H$46</c:f>
              <c:numCache>
                <c:formatCode>0.00%</c:formatCode>
                <c:ptCount val="2"/>
                <c:pt idx="0">
                  <c:v>0.33333333333333331</c:v>
                </c:pt>
                <c:pt idx="1">
                  <c:v>0.125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B1-45FD-B806-E89C8B735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4980288"/>
        <c:axId val="794979040"/>
      </c:lineChart>
      <c:catAx>
        <c:axId val="64346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467600"/>
        <c:crosses val="autoZero"/>
        <c:auto val="1"/>
        <c:lblAlgn val="ctr"/>
        <c:lblOffset val="100"/>
        <c:noMultiLvlLbl val="0"/>
      </c:catAx>
      <c:valAx>
        <c:axId val="64346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469264"/>
        <c:crosses val="autoZero"/>
        <c:crossBetween val="between"/>
      </c:valAx>
      <c:valAx>
        <c:axId val="794979040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980288"/>
        <c:crosses val="max"/>
        <c:crossBetween val="between"/>
      </c:valAx>
      <c:catAx>
        <c:axId val="7949802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9497904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[ʔ]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Sheet1!$F$48:$F$49</c:f>
              <c:strCache>
                <c:ptCount val="2"/>
                <c:pt idx="0">
                  <c:v>[ʕ]</c:v>
                </c:pt>
                <c:pt idx="1">
                  <c:v>[-]</c:v>
                </c:pt>
              </c:strCache>
            </c:strRef>
          </c:cat>
          <c:val>
            <c:numRef>
              <c:f>Sheet1!$G$48:$G$49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C9-4805-9218-B488B7892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897440"/>
        <c:axId val="793890784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Sheet1!$F$48:$F$49</c:f>
              <c:strCache>
                <c:ptCount val="2"/>
                <c:pt idx="0">
                  <c:v>[ʕ]</c:v>
                </c:pt>
                <c:pt idx="1">
                  <c:v>[-]</c:v>
                </c:pt>
              </c:strCache>
            </c:strRef>
          </c:cat>
          <c:val>
            <c:numRef>
              <c:f>Sheet1!$H$48:$H$49</c:f>
              <c:numCache>
                <c:formatCode>0.00%</c:formatCode>
                <c:ptCount val="2"/>
                <c:pt idx="0">
                  <c:v>2.2727272727272728E-2</c:v>
                </c:pt>
                <c:pt idx="1">
                  <c:v>2.2727272727272728E-2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C9-4805-9218-B488B7892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892448"/>
        <c:axId val="793896192"/>
      </c:lineChart>
      <c:catAx>
        <c:axId val="79389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890784"/>
        <c:crosses val="autoZero"/>
        <c:auto val="1"/>
        <c:lblAlgn val="ctr"/>
        <c:lblOffset val="100"/>
        <c:noMultiLvlLbl val="0"/>
      </c:catAx>
      <c:valAx>
        <c:axId val="79389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897440"/>
        <c:crosses val="autoZero"/>
        <c:crossBetween val="between"/>
      </c:valAx>
      <c:valAx>
        <c:axId val="793896192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892448"/>
        <c:crosses val="max"/>
        <c:crossBetween val="between"/>
      </c:valAx>
      <c:catAx>
        <c:axId val="7938924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93896192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Sheet1!$F$53</c:f>
              <c:strCache>
                <c:ptCount val="1"/>
                <c:pt idx="0">
                  <c:v>[t]</c:v>
                </c:pt>
              </c:strCache>
            </c:strRef>
          </c:cat>
          <c:val>
            <c:numRef>
              <c:f>Sheet1!$G$53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CC-4150-A8D7-C10E3FE3888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Sheet1!$F$53</c:f>
              <c:strCache>
                <c:ptCount val="1"/>
                <c:pt idx="0">
                  <c:v>[t]</c:v>
                </c:pt>
              </c:strCache>
            </c:strRef>
          </c:cat>
          <c:val>
            <c:numRef>
              <c:f>Sheet1!$H$53</c:f>
              <c:numCache>
                <c:formatCode>0.00%</c:formatCode>
                <c:ptCount val="1"/>
                <c:pt idx="0">
                  <c:v>1.8181818181818181E-2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CC-4150-A8D7-C10E3FE38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891200"/>
        <c:axId val="793893280"/>
      </c:barChart>
      <c:catAx>
        <c:axId val="79389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893280"/>
        <c:crosses val="autoZero"/>
        <c:auto val="1"/>
        <c:lblAlgn val="ctr"/>
        <c:lblOffset val="100"/>
        <c:noMultiLvlLbl val="0"/>
      </c:catAx>
      <c:valAx>
        <c:axId val="79389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8912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[b]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Sheet1!$F$57:$F$58</c:f>
              <c:strCache>
                <c:ptCount val="2"/>
                <c:pt idx="0">
                  <c:v>[pʰ]</c:v>
                </c:pt>
                <c:pt idx="1">
                  <c:v>[p]</c:v>
                </c:pt>
              </c:strCache>
            </c:strRef>
          </c:cat>
          <c:val>
            <c:numRef>
              <c:f>Sheet1!$G$57:$G$58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60-45FB-B9CE-59E29E9C5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6824800"/>
        <c:axId val="796825632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Sheet1!$F$57:$F$58</c:f>
              <c:strCache>
                <c:ptCount val="2"/>
                <c:pt idx="0">
                  <c:v>[pʰ]</c:v>
                </c:pt>
                <c:pt idx="1">
                  <c:v>[p]</c:v>
                </c:pt>
              </c:strCache>
            </c:strRef>
          </c:cat>
          <c:val>
            <c:numRef>
              <c:f>Sheet1!$H$57:$H$58</c:f>
              <c:numCache>
                <c:formatCode>0.00%</c:formatCode>
                <c:ptCount val="2"/>
                <c:pt idx="0">
                  <c:v>3.0303030303030304E-2</c:v>
                </c:pt>
                <c:pt idx="1">
                  <c:v>1.5151515151515152E-2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60-45FB-B9CE-59E29E9C5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6814816"/>
        <c:axId val="796811904"/>
      </c:lineChart>
      <c:catAx>
        <c:axId val="796824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25632"/>
        <c:crosses val="autoZero"/>
        <c:auto val="1"/>
        <c:lblAlgn val="ctr"/>
        <c:lblOffset val="100"/>
        <c:noMultiLvlLbl val="0"/>
      </c:catAx>
      <c:valAx>
        <c:axId val="79682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24800"/>
        <c:crosses val="autoZero"/>
        <c:crossBetween val="between"/>
      </c:valAx>
      <c:valAx>
        <c:axId val="796811904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4816"/>
        <c:crosses val="max"/>
        <c:crossBetween val="between"/>
      </c:valAx>
      <c:catAx>
        <c:axId val="7968148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9681190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[tˤ]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Sheet1!$F$60</c:f>
              <c:strCache>
                <c:ptCount val="1"/>
                <c:pt idx="0">
                  <c:v>[tʰ]</c:v>
                </c:pt>
              </c:strCache>
            </c:strRef>
          </c:cat>
          <c:val>
            <c:numRef>
              <c:f>Sheet1!$G$60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20-4FCB-9EDE-F13824A256F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Sheet1!$F$60</c:f>
              <c:strCache>
                <c:ptCount val="1"/>
                <c:pt idx="0">
                  <c:v>[tʰ]</c:v>
                </c:pt>
              </c:strCache>
            </c:strRef>
          </c:cat>
          <c:val>
            <c:numRef>
              <c:f>Sheet1!$H$60</c:f>
              <c:numCache>
                <c:formatCode>0.00%</c:formatCode>
                <c:ptCount val="1"/>
                <c:pt idx="0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20-4FCB-9EDE-F13824A25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6822720"/>
        <c:axId val="796813984"/>
      </c:barChart>
      <c:catAx>
        <c:axId val="79682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3984"/>
        <c:crosses val="autoZero"/>
        <c:auto val="1"/>
        <c:lblAlgn val="ctr"/>
        <c:lblOffset val="100"/>
        <c:noMultiLvlLbl val="0"/>
      </c:catAx>
      <c:valAx>
        <c:axId val="79681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2272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[t]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Sheet1!$F$62</c:f>
              <c:strCache>
                <c:ptCount val="1"/>
                <c:pt idx="0">
                  <c:v>[t͡s]</c:v>
                </c:pt>
              </c:strCache>
            </c:strRef>
          </c:cat>
          <c:val>
            <c:numRef>
              <c:f>Sheet1!$G$62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79-48CC-9C84-5F2347E02E1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Sheet1!$F$62</c:f>
              <c:strCache>
                <c:ptCount val="1"/>
                <c:pt idx="0">
                  <c:v>[t͡s]</c:v>
                </c:pt>
              </c:strCache>
            </c:strRef>
          </c:cat>
          <c:val>
            <c:numRef>
              <c:f>Sheet1!$H$62</c:f>
              <c:numCache>
                <c:formatCode>0.00%</c:formatCode>
                <c:ptCount val="1"/>
                <c:pt idx="0">
                  <c:v>0.1875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79-48CC-9C84-5F2347E02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0883920"/>
        <c:axId val="790884336"/>
      </c:barChart>
      <c:catAx>
        <c:axId val="79088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884336"/>
        <c:crosses val="autoZero"/>
        <c:auto val="1"/>
        <c:lblAlgn val="ctr"/>
        <c:lblOffset val="100"/>
        <c:noMultiLvlLbl val="0"/>
      </c:catAx>
      <c:valAx>
        <c:axId val="79088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88392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Sheet1!$F$64:$F$69</c:f>
              <c:strCache>
                <c:ptCount val="5"/>
                <c:pt idx="0">
                  <c:v>[n]</c:v>
                </c:pt>
                <c:pt idx="1">
                  <c:v>[-]</c:v>
                </c:pt>
                <c:pt idx="2">
                  <c:v>[t]</c:v>
                </c:pt>
                <c:pt idx="3">
                  <c:v>[d̥]</c:v>
                </c:pt>
                <c:pt idx="4">
                  <c:v>[ð]</c:v>
                </c:pt>
              </c:strCache>
            </c:strRef>
          </c:cat>
          <c:val>
            <c:numRef>
              <c:f>Sheet1!$G$64:$G$69</c:f>
              <c:numCache>
                <c:formatCode>General</c:formatCode>
                <c:ptCount val="6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C7-4639-AD10-8747B1209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1976656"/>
        <c:axId val="921981232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Sheet1!$F$64:$F$69</c:f>
              <c:strCache>
                <c:ptCount val="5"/>
                <c:pt idx="0">
                  <c:v>[n]</c:v>
                </c:pt>
                <c:pt idx="1">
                  <c:v>[-]</c:v>
                </c:pt>
                <c:pt idx="2">
                  <c:v>[t]</c:v>
                </c:pt>
                <c:pt idx="3">
                  <c:v>[d̥]</c:v>
                </c:pt>
                <c:pt idx="4">
                  <c:v>[ð]</c:v>
                </c:pt>
              </c:strCache>
            </c:strRef>
          </c:cat>
          <c:val>
            <c:numRef>
              <c:f>Sheet1!$H$64:$H$69</c:f>
              <c:numCache>
                <c:formatCode>0.00%</c:formatCode>
                <c:ptCount val="6"/>
                <c:pt idx="0">
                  <c:v>0.1111111111111111</c:v>
                </c:pt>
                <c:pt idx="1">
                  <c:v>0.1111111111111111</c:v>
                </c:pt>
                <c:pt idx="2">
                  <c:v>8.3333333333333329E-2</c:v>
                </c:pt>
                <c:pt idx="3">
                  <c:v>2.7777777777777776E-2</c:v>
                </c:pt>
                <c:pt idx="4">
                  <c:v>2.7777777777777776E-2</c:v>
                </c:pt>
                <c:pt idx="5">
                  <c:v>0.3611111111111111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C7-4639-AD10-8747B1209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1983728"/>
        <c:axId val="921983312"/>
      </c:lineChart>
      <c:catAx>
        <c:axId val="92197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981232"/>
        <c:crosses val="autoZero"/>
        <c:auto val="1"/>
        <c:lblAlgn val="ctr"/>
        <c:lblOffset val="100"/>
        <c:noMultiLvlLbl val="0"/>
      </c:catAx>
      <c:valAx>
        <c:axId val="92198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976656"/>
        <c:crosses val="autoZero"/>
        <c:crossBetween val="between"/>
      </c:valAx>
      <c:valAx>
        <c:axId val="921983312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983728"/>
        <c:crosses val="max"/>
        <c:crossBetween val="between"/>
      </c:valAx>
      <c:catAx>
        <c:axId val="9219837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1983312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[j]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Sheet1!$F$74</c:f>
              <c:strCache>
                <c:ptCount val="1"/>
                <c:pt idx="0">
                  <c:v>[ʔ]</c:v>
                </c:pt>
              </c:strCache>
            </c:strRef>
          </c:cat>
          <c:val>
            <c:numRef>
              <c:f>Sheet1!$G$74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5A-4FA9-8B30-493FAAA5596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Sheet1!$F$74</c:f>
              <c:strCache>
                <c:ptCount val="1"/>
                <c:pt idx="0">
                  <c:v>[ʔ]</c:v>
                </c:pt>
              </c:strCache>
            </c:strRef>
          </c:cat>
          <c:val>
            <c:numRef>
              <c:f>Sheet1!$H$74</c:f>
              <c:numCache>
                <c:formatCode>0.00%</c:formatCode>
                <c:ptCount val="1"/>
                <c:pt idx="0">
                  <c:v>1.5151515151515152E-2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5A-4FA9-8B30-493FAAA55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1982064"/>
        <c:axId val="921978736"/>
      </c:barChart>
      <c:catAx>
        <c:axId val="92198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978736"/>
        <c:crosses val="autoZero"/>
        <c:auto val="1"/>
        <c:lblAlgn val="ctr"/>
        <c:lblOffset val="100"/>
        <c:noMultiLvlLbl val="0"/>
      </c:catAx>
      <c:valAx>
        <c:axId val="92197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9820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syllable</a:t>
            </a:r>
            <a:r>
              <a:rPr lang="en-US" baseline="0"/>
              <a:t> structure processes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Sheet2!$D$2:$D$7</c:f>
              <c:strCache>
                <c:ptCount val="6"/>
                <c:pt idx="0">
                  <c:v>degemination(reduce consonant cluster to one single consonant)</c:v>
                </c:pt>
                <c:pt idx="1">
                  <c:v>Epenthesis(insert vowel [ʊ] between  consnant cluster)</c:v>
                </c:pt>
                <c:pt idx="2">
                  <c:v>Epenthesis(insertion of [ ɑ] phone between consonant cluster)</c:v>
                </c:pt>
                <c:pt idx="3">
                  <c:v>Epenthesis(insertion of [ æ] phone between consonant cluster)</c:v>
                </c:pt>
                <c:pt idx="5">
                  <c:v>syllable structure process (consonant insertion of  [t͡s ] phones in final position)</c:v>
                </c:pt>
              </c:strCache>
            </c:strRef>
          </c:cat>
          <c:val>
            <c:numRef>
              <c:f>Sheet2!$E$2:$E$7</c:f>
              <c:numCache>
                <c:formatCode>General</c:formatCode>
                <c:ptCount val="6"/>
                <c:pt idx="0">
                  <c:v>6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ED-4E4F-8579-11F629AED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6818560"/>
        <c:axId val="796820640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ED-4E4F-8579-11F629AED6D7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4ED-4E4F-8579-11F629AED6D7}"/>
              </c:ext>
            </c:extLst>
          </c:dPt>
          <c:cat>
            <c:strRef>
              <c:f>Sheet2!$D$2:$D$7</c:f>
              <c:strCache>
                <c:ptCount val="6"/>
                <c:pt idx="0">
                  <c:v>degemination(reduce consonant cluster to one single consonant)</c:v>
                </c:pt>
                <c:pt idx="1">
                  <c:v>Epenthesis(insert vowel [ʊ] between  consnant cluster)</c:v>
                </c:pt>
                <c:pt idx="2">
                  <c:v>Epenthesis(insertion of [ ɑ] phone between consonant cluster)</c:v>
                </c:pt>
                <c:pt idx="3">
                  <c:v>Epenthesis(insertion of [ æ] phone between consonant cluster)</c:v>
                </c:pt>
                <c:pt idx="5">
                  <c:v>syllable structure process (consonant insertion of  [t͡s ] phones in final position)</c:v>
                </c:pt>
              </c:strCache>
            </c:strRef>
          </c:cat>
          <c:val>
            <c:numRef>
              <c:f>Sheet2!$F$2:$F$7</c:f>
              <c:numCache>
                <c:formatCode>0.00%</c:formatCode>
                <c:ptCount val="6"/>
                <c:pt idx="0">
                  <c:v>0.21428571428571427</c:v>
                </c:pt>
                <c:pt idx="1">
                  <c:v>1.6129032258064516E-2</c:v>
                </c:pt>
                <c:pt idx="2">
                  <c:v>1.6129032258064516E-2</c:v>
                </c:pt>
                <c:pt idx="3">
                  <c:v>3.2258064516129031E-2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ED-4E4F-8579-11F629AED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3468432"/>
        <c:axId val="643465104"/>
      </c:lineChart>
      <c:catAx>
        <c:axId val="796818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20640"/>
        <c:crosses val="autoZero"/>
        <c:auto val="1"/>
        <c:lblAlgn val="ctr"/>
        <c:lblOffset val="100"/>
        <c:noMultiLvlLbl val="0"/>
      </c:catAx>
      <c:valAx>
        <c:axId val="79682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560"/>
        <c:crosses val="autoZero"/>
        <c:crossBetween val="between"/>
      </c:valAx>
      <c:valAx>
        <c:axId val="643465104"/>
        <c:scaling>
          <c:orientation val="minMax"/>
        </c:scaling>
        <c:delete val="1"/>
        <c:axPos val="r"/>
        <c:numFmt formatCode="0.00%" sourceLinked="1"/>
        <c:majorTickMark val="none"/>
        <c:minorTickMark val="none"/>
        <c:tickLblPos val="nextTo"/>
        <c:crossAx val="643468432"/>
        <c:crosses val="max"/>
        <c:crossBetween val="between"/>
      </c:valAx>
      <c:catAx>
        <c:axId val="6434684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4346510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Sheet3!$C$2:$C$15</c:f>
              <c:strCache>
                <c:ptCount val="14"/>
                <c:pt idx="0">
                  <c:v>colloquial Arabic word</c:v>
                </c:pt>
                <c:pt idx="1">
                  <c:v>insertion of  Definite Article to the following word</c:v>
                </c:pt>
                <c:pt idx="2">
                  <c:v>replace masculine  with feminine</c:v>
                </c:pt>
                <c:pt idx="3">
                  <c:v>Definite Article deletion</c:v>
                </c:pt>
                <c:pt idx="4">
                  <c:v>replace the MSA consonant [θ]with the colloquial arabic consonant [s]</c:v>
                </c:pt>
                <c:pt idx="5">
                  <c:v>consonant insertion of  [h] phone in final position</c:v>
                </c:pt>
                <c:pt idx="6">
                  <c:v>Deletion of feminine marker</c:v>
                </c:pt>
                <c:pt idx="7">
                  <c:v>replace the MSA diphthong [æw]with the colloquial arabic vowel[o:]</c:v>
                </c:pt>
                <c:pt idx="8">
                  <c:v>replace the Modern Standard Arabic consonant [q]with the colloquial arabic consonant [ʔ]</c:v>
                </c:pt>
                <c:pt idx="9">
                  <c:v>replace the MSA consonant [d͡ʒ]with the colloquial arabic consonant [g]</c:v>
                </c:pt>
                <c:pt idx="10">
                  <c:v>replace the Modern Standard Arabic diphthong [æj]with the colloquial arabic vowel[e:]</c:v>
                </c:pt>
                <c:pt idx="11">
                  <c:v>final consonant deletion affected by colloquial arabic</c:v>
                </c:pt>
                <c:pt idx="12">
                  <c:v>consonant deletion  of [ʔ] phone affected by colloquial Arabic</c:v>
                </c:pt>
                <c:pt idx="13">
                  <c:v>replace plural noun with singular noun</c:v>
                </c:pt>
              </c:strCache>
            </c:strRef>
          </c:cat>
          <c:val>
            <c:numRef>
              <c:f>Sheet3!$D$2:$D$15</c:f>
              <c:numCache>
                <c:formatCode>General</c:formatCode>
                <c:ptCount val="14"/>
                <c:pt idx="0">
                  <c:v>47</c:v>
                </c:pt>
                <c:pt idx="1">
                  <c:v>23</c:v>
                </c:pt>
                <c:pt idx="2">
                  <c:v>16</c:v>
                </c:pt>
                <c:pt idx="3">
                  <c:v>12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C6-40AF-9732-9E9FCA002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6815232"/>
        <c:axId val="796821472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Sheet3!$C$2:$C$15</c:f>
              <c:strCache>
                <c:ptCount val="14"/>
                <c:pt idx="0">
                  <c:v>colloquial Arabic word</c:v>
                </c:pt>
                <c:pt idx="1">
                  <c:v>insertion of  Definite Article to the following word</c:v>
                </c:pt>
                <c:pt idx="2">
                  <c:v>replace masculine  with feminine</c:v>
                </c:pt>
                <c:pt idx="3">
                  <c:v>Definite Article deletion</c:v>
                </c:pt>
                <c:pt idx="4">
                  <c:v>replace the MSA consonant [θ]with the colloquial arabic consonant [s]</c:v>
                </c:pt>
                <c:pt idx="5">
                  <c:v>consonant insertion of  [h] phone in final position</c:v>
                </c:pt>
                <c:pt idx="6">
                  <c:v>Deletion of feminine marker</c:v>
                </c:pt>
                <c:pt idx="7">
                  <c:v>replace the MSA diphthong [æw]with the colloquial arabic vowel[o:]</c:v>
                </c:pt>
                <c:pt idx="8">
                  <c:v>replace the Modern Standard Arabic consonant [q]with the colloquial arabic consonant [ʔ]</c:v>
                </c:pt>
                <c:pt idx="9">
                  <c:v>replace the MSA consonant [d͡ʒ]with the colloquial arabic consonant [g]</c:v>
                </c:pt>
                <c:pt idx="10">
                  <c:v>replace the Modern Standard Arabic diphthong [æj]with the colloquial arabic vowel[e:]</c:v>
                </c:pt>
                <c:pt idx="11">
                  <c:v>final consonant deletion affected by colloquial arabic</c:v>
                </c:pt>
                <c:pt idx="12">
                  <c:v>consonant deletion  of [ʔ] phone affected by colloquial Arabic</c:v>
                </c:pt>
                <c:pt idx="13">
                  <c:v>replace plural noun with singular noun</c:v>
                </c:pt>
              </c:strCache>
            </c:strRef>
          </c:cat>
          <c:val>
            <c:numRef>
              <c:f>Sheet3!$E$2:$E$15</c:f>
              <c:numCache>
                <c:formatCode>0.00%</c:formatCode>
                <c:ptCount val="14"/>
                <c:pt idx="3">
                  <c:v>0.42857142857142855</c:v>
                </c:pt>
                <c:pt idx="7">
                  <c:v>0.13333333333333333</c:v>
                </c:pt>
                <c:pt idx="10">
                  <c:v>0.33333333333333331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C6-40AF-9732-9E9FCA002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3469680"/>
        <c:axId val="796821888"/>
      </c:lineChart>
      <c:catAx>
        <c:axId val="79681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21472"/>
        <c:crosses val="autoZero"/>
        <c:auto val="1"/>
        <c:lblAlgn val="ctr"/>
        <c:lblOffset val="100"/>
        <c:noMultiLvlLbl val="0"/>
      </c:catAx>
      <c:valAx>
        <c:axId val="79682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5232"/>
        <c:crosses val="autoZero"/>
        <c:crossBetween val="between"/>
      </c:valAx>
      <c:valAx>
        <c:axId val="796821888"/>
        <c:scaling>
          <c:orientation val="minMax"/>
        </c:scaling>
        <c:delete val="1"/>
        <c:axPos val="r"/>
        <c:numFmt formatCode="0.00%" sourceLinked="1"/>
        <c:majorTickMark val="none"/>
        <c:minorTickMark val="none"/>
        <c:tickLblPos val="nextTo"/>
        <c:crossAx val="643469680"/>
        <c:crosses val="max"/>
        <c:crossBetween val="between"/>
      </c:valAx>
      <c:catAx>
        <c:axId val="6434696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96821888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</xdr:colOff>
      <xdr:row>1</xdr:row>
      <xdr:rowOff>76200</xdr:rowOff>
    </xdr:from>
    <xdr:to>
      <xdr:col>15</xdr:col>
      <xdr:colOff>320040</xdr:colOff>
      <xdr:row>6</xdr:row>
      <xdr:rowOff>678180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</xdr:colOff>
      <xdr:row>12</xdr:row>
      <xdr:rowOff>60960</xdr:rowOff>
    </xdr:from>
    <xdr:to>
      <xdr:col>15</xdr:col>
      <xdr:colOff>327660</xdr:colOff>
      <xdr:row>12</xdr:row>
      <xdr:rowOff>1524000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30480</xdr:colOff>
      <xdr:row>18</xdr:row>
      <xdr:rowOff>76200</xdr:rowOff>
    </xdr:from>
    <xdr:to>
      <xdr:col>15</xdr:col>
      <xdr:colOff>335280</xdr:colOff>
      <xdr:row>18</xdr:row>
      <xdr:rowOff>1866900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7620</xdr:colOff>
      <xdr:row>22</xdr:row>
      <xdr:rowOff>60960</xdr:rowOff>
    </xdr:from>
    <xdr:to>
      <xdr:col>15</xdr:col>
      <xdr:colOff>312420</xdr:colOff>
      <xdr:row>22</xdr:row>
      <xdr:rowOff>1775460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15240</xdr:colOff>
      <xdr:row>24</xdr:row>
      <xdr:rowOff>68580</xdr:rowOff>
    </xdr:from>
    <xdr:to>
      <xdr:col>15</xdr:col>
      <xdr:colOff>320040</xdr:colOff>
      <xdr:row>29</xdr:row>
      <xdr:rowOff>632460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30480</xdr:colOff>
      <xdr:row>31</xdr:row>
      <xdr:rowOff>83820</xdr:rowOff>
    </xdr:from>
    <xdr:to>
      <xdr:col>15</xdr:col>
      <xdr:colOff>335280</xdr:colOff>
      <xdr:row>31</xdr:row>
      <xdr:rowOff>2293620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30480</xdr:colOff>
      <xdr:row>35</xdr:row>
      <xdr:rowOff>60960</xdr:rowOff>
    </xdr:from>
    <xdr:to>
      <xdr:col>15</xdr:col>
      <xdr:colOff>335280</xdr:colOff>
      <xdr:row>35</xdr:row>
      <xdr:rowOff>1729740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22860</xdr:colOff>
      <xdr:row>39</xdr:row>
      <xdr:rowOff>60960</xdr:rowOff>
    </xdr:from>
    <xdr:to>
      <xdr:col>15</xdr:col>
      <xdr:colOff>327660</xdr:colOff>
      <xdr:row>39</xdr:row>
      <xdr:rowOff>2506980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22860</xdr:colOff>
      <xdr:row>41</xdr:row>
      <xdr:rowOff>91440</xdr:rowOff>
    </xdr:from>
    <xdr:to>
      <xdr:col>15</xdr:col>
      <xdr:colOff>327660</xdr:colOff>
      <xdr:row>42</xdr:row>
      <xdr:rowOff>1280160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22860</xdr:colOff>
      <xdr:row>44</xdr:row>
      <xdr:rowOff>129540</xdr:rowOff>
    </xdr:from>
    <xdr:to>
      <xdr:col>15</xdr:col>
      <xdr:colOff>327660</xdr:colOff>
      <xdr:row>45</xdr:row>
      <xdr:rowOff>1127760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7620</xdr:colOff>
      <xdr:row>47</xdr:row>
      <xdr:rowOff>91440</xdr:rowOff>
    </xdr:from>
    <xdr:to>
      <xdr:col>15</xdr:col>
      <xdr:colOff>312420</xdr:colOff>
      <xdr:row>48</xdr:row>
      <xdr:rowOff>1653540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22860</xdr:colOff>
      <xdr:row>52</xdr:row>
      <xdr:rowOff>22860</xdr:rowOff>
    </xdr:from>
    <xdr:to>
      <xdr:col>15</xdr:col>
      <xdr:colOff>327660</xdr:colOff>
      <xdr:row>52</xdr:row>
      <xdr:rowOff>2011680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22860</xdr:colOff>
      <xdr:row>56</xdr:row>
      <xdr:rowOff>34290</xdr:rowOff>
    </xdr:from>
    <xdr:to>
      <xdr:col>15</xdr:col>
      <xdr:colOff>327660</xdr:colOff>
      <xdr:row>57</xdr:row>
      <xdr:rowOff>1417320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0</xdr:colOff>
      <xdr:row>59</xdr:row>
      <xdr:rowOff>68580</xdr:rowOff>
    </xdr:from>
    <xdr:to>
      <xdr:col>15</xdr:col>
      <xdr:colOff>304800</xdr:colOff>
      <xdr:row>59</xdr:row>
      <xdr:rowOff>2110740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7620</xdr:colOff>
      <xdr:row>61</xdr:row>
      <xdr:rowOff>76200</xdr:rowOff>
    </xdr:from>
    <xdr:to>
      <xdr:col>15</xdr:col>
      <xdr:colOff>312420</xdr:colOff>
      <xdr:row>61</xdr:row>
      <xdr:rowOff>1851660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38100</xdr:colOff>
      <xdr:row>63</xdr:row>
      <xdr:rowOff>83820</xdr:rowOff>
    </xdr:from>
    <xdr:to>
      <xdr:col>15</xdr:col>
      <xdr:colOff>342900</xdr:colOff>
      <xdr:row>69</xdr:row>
      <xdr:rowOff>0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22860</xdr:colOff>
      <xdr:row>73</xdr:row>
      <xdr:rowOff>22860</xdr:rowOff>
    </xdr:from>
    <xdr:to>
      <xdr:col>15</xdr:col>
      <xdr:colOff>327660</xdr:colOff>
      <xdr:row>73</xdr:row>
      <xdr:rowOff>1821180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342900</xdr:colOff>
      <xdr:row>0</xdr:row>
      <xdr:rowOff>163830</xdr:rowOff>
    </xdr:from>
    <xdr:to>
      <xdr:col>15</xdr:col>
      <xdr:colOff>525780</xdr:colOff>
      <xdr:row>15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114300</xdr:colOff>
      <xdr:row>1</xdr:row>
      <xdr:rowOff>15240</xdr:rowOff>
    </xdr:from>
    <xdr:to>
      <xdr:col>17</xdr:col>
      <xdr:colOff>579120</xdr:colOff>
      <xdr:row>15</xdr:row>
      <xdr:rowOff>15240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77"/>
  <sheetViews>
    <sheetView zoomScaleNormal="100" workbookViewId="0">
      <selection activeCell="A76" sqref="A76:XFD76"/>
    </sheetView>
  </sheetViews>
  <sheetFormatPr defaultRowHeight="14.4" outlineLevelRow="2" x14ac:dyDescent="0.3"/>
  <cols>
    <col min="2" max="2" width="11.21875" customWidth="1"/>
    <col min="3" max="4" width="10.33203125" customWidth="1"/>
    <col min="5" max="5" width="36.21875" style="1" customWidth="1"/>
    <col min="6" max="7" width="6.21875" customWidth="1"/>
    <col min="8" max="8" width="9.109375" style="50" customWidth="1"/>
  </cols>
  <sheetData>
    <row r="1" spans="2:8" s="75" customFormat="1" ht="36.6" customHeight="1" thickTop="1" thickBot="1" x14ac:dyDescent="0.45">
      <c r="B1" s="72" t="s">
        <v>137</v>
      </c>
      <c r="C1" s="72" t="s">
        <v>138</v>
      </c>
      <c r="D1" s="72" t="s">
        <v>139</v>
      </c>
      <c r="E1" s="73" t="s">
        <v>140</v>
      </c>
      <c r="F1" s="73" t="s">
        <v>141</v>
      </c>
      <c r="G1" s="73" t="s">
        <v>142</v>
      </c>
      <c r="H1" s="74" t="s">
        <v>136</v>
      </c>
    </row>
    <row r="2" spans="2:8" ht="60" customHeight="1" outlineLevel="2" thickTop="1" thickBot="1" x14ac:dyDescent="0.35">
      <c r="B2" s="91" t="s">
        <v>69</v>
      </c>
      <c r="C2" s="90">
        <v>41</v>
      </c>
      <c r="D2" s="90" t="s">
        <v>67</v>
      </c>
      <c r="E2" s="9" t="s">
        <v>100</v>
      </c>
      <c r="F2" s="10" t="s">
        <v>109</v>
      </c>
      <c r="G2" s="10">
        <v>15</v>
      </c>
      <c r="H2" s="51">
        <f>G2/41</f>
        <v>0.36585365853658536</v>
      </c>
    </row>
    <row r="3" spans="2:8" ht="60" customHeight="1" outlineLevel="2" thickTop="1" thickBot="1" x14ac:dyDescent="0.35">
      <c r="B3" s="91"/>
      <c r="C3" s="90"/>
      <c r="D3" s="90"/>
      <c r="E3" s="9" t="s">
        <v>102</v>
      </c>
      <c r="F3" s="10" t="s">
        <v>107</v>
      </c>
      <c r="G3" s="10">
        <v>8</v>
      </c>
      <c r="H3" s="51">
        <f t="shared" ref="H3:H7" si="0">G3/41</f>
        <v>0.1951219512195122</v>
      </c>
    </row>
    <row r="4" spans="2:8" ht="60" customHeight="1" outlineLevel="2" thickTop="1" thickBot="1" x14ac:dyDescent="0.35">
      <c r="B4" s="91"/>
      <c r="C4" s="90"/>
      <c r="D4" s="90"/>
      <c r="E4" s="11" t="s">
        <v>3</v>
      </c>
      <c r="F4" s="10" t="s">
        <v>108</v>
      </c>
      <c r="G4" s="10">
        <v>6</v>
      </c>
      <c r="H4" s="51">
        <f t="shared" si="0"/>
        <v>0.14634146341463414</v>
      </c>
    </row>
    <row r="5" spans="2:8" ht="60" customHeight="1" outlineLevel="2" thickTop="1" thickBot="1" x14ac:dyDescent="0.35">
      <c r="B5" s="91"/>
      <c r="C5" s="90"/>
      <c r="D5" s="90"/>
      <c r="E5" s="9" t="s">
        <v>101</v>
      </c>
      <c r="F5" s="10" t="s">
        <v>110</v>
      </c>
      <c r="G5" s="10">
        <v>4</v>
      </c>
      <c r="H5" s="51">
        <f t="shared" si="0"/>
        <v>9.7560975609756101E-2</v>
      </c>
    </row>
    <row r="6" spans="2:8" ht="60" customHeight="1" outlineLevel="2" thickTop="1" thickBot="1" x14ac:dyDescent="0.35">
      <c r="B6" s="91"/>
      <c r="C6" s="90"/>
      <c r="D6" s="90"/>
      <c r="E6" s="9" t="s">
        <v>106</v>
      </c>
      <c r="F6" s="10" t="s">
        <v>111</v>
      </c>
      <c r="G6" s="10">
        <v>3</v>
      </c>
      <c r="H6" s="51">
        <f>G6/41</f>
        <v>7.3170731707317069E-2</v>
      </c>
    </row>
    <row r="7" spans="2:8" ht="60" customHeight="1" outlineLevel="2" thickTop="1" thickBot="1" x14ac:dyDescent="0.35">
      <c r="B7" s="91"/>
      <c r="C7" s="90"/>
      <c r="D7" s="90"/>
      <c r="E7" s="9" t="s">
        <v>29</v>
      </c>
      <c r="F7" s="10" t="s">
        <v>135</v>
      </c>
      <c r="G7" s="10">
        <v>1</v>
      </c>
      <c r="H7" s="51">
        <f t="shared" si="0"/>
        <v>2.4390243902439025E-2</v>
      </c>
    </row>
    <row r="8" spans="2:8" ht="18.600000000000001" customHeight="1" outlineLevel="1" thickTop="1" thickBot="1" x14ac:dyDescent="0.35">
      <c r="B8" s="76" t="s">
        <v>143</v>
      </c>
      <c r="C8" s="71">
        <f>SUBTOTAL(9,C2:C7)</f>
        <v>41</v>
      </c>
      <c r="D8" s="71"/>
      <c r="E8" s="9"/>
      <c r="F8" s="10"/>
      <c r="G8" s="10">
        <f>SUBTOTAL(9,G2:G7)</f>
        <v>37</v>
      </c>
      <c r="H8" s="51">
        <f>SUBTOTAL(9,H2:H7)</f>
        <v>0.90243902439024393</v>
      </c>
    </row>
    <row r="9" spans="2:8" ht="15.6" customHeight="1" outlineLevel="2" thickTop="1" thickBot="1" x14ac:dyDescent="0.35">
      <c r="B9" s="12" t="s">
        <v>70</v>
      </c>
      <c r="C9" s="13">
        <v>62</v>
      </c>
      <c r="D9" s="13" t="s">
        <v>68</v>
      </c>
      <c r="E9" s="14">
        <v>0</v>
      </c>
      <c r="F9" s="15">
        <v>0</v>
      </c>
      <c r="G9" s="15">
        <v>0</v>
      </c>
      <c r="H9" s="52">
        <v>0</v>
      </c>
    </row>
    <row r="10" spans="2:8" ht="15.6" customHeight="1" outlineLevel="1" thickTop="1" thickBot="1" x14ac:dyDescent="0.35">
      <c r="B10" s="77" t="s">
        <v>144</v>
      </c>
      <c r="C10" s="70">
        <f>SUBTOTAL(9,C9:C9)</f>
        <v>62</v>
      </c>
      <c r="D10" s="70"/>
      <c r="E10" s="14"/>
      <c r="F10" s="15"/>
      <c r="G10" s="15">
        <f>SUBTOTAL(9,G9:G9)</f>
        <v>0</v>
      </c>
      <c r="H10" s="52">
        <f>SUBTOTAL(9,H9:H9)</f>
        <v>0</v>
      </c>
    </row>
    <row r="11" spans="2:8" ht="16.8" customHeight="1" outlineLevel="2" thickTop="1" thickBot="1" x14ac:dyDescent="0.35">
      <c r="B11" s="16" t="s">
        <v>71</v>
      </c>
      <c r="C11" s="17">
        <v>36</v>
      </c>
      <c r="D11" s="17" t="s">
        <v>41</v>
      </c>
      <c r="E11" s="18">
        <v>0</v>
      </c>
      <c r="F11" s="19">
        <v>0</v>
      </c>
      <c r="G11" s="19">
        <v>0</v>
      </c>
      <c r="H11" s="53">
        <v>0</v>
      </c>
    </row>
    <row r="12" spans="2:8" ht="16.8" customHeight="1" outlineLevel="1" thickTop="1" thickBot="1" x14ac:dyDescent="0.35">
      <c r="B12" s="78" t="s">
        <v>145</v>
      </c>
      <c r="C12" s="68">
        <f>SUBTOTAL(9,C11:C11)</f>
        <v>36</v>
      </c>
      <c r="D12" s="68"/>
      <c r="E12" s="18"/>
      <c r="F12" s="19"/>
      <c r="G12" s="19">
        <f>SUBTOTAL(9,G11:G11)</f>
        <v>0</v>
      </c>
      <c r="H12" s="53">
        <f>SUBTOTAL(9,H11:H11)</f>
        <v>0</v>
      </c>
    </row>
    <row r="13" spans="2:8" ht="123.6" customHeight="1" outlineLevel="2" thickTop="1" thickBot="1" x14ac:dyDescent="0.35">
      <c r="B13" s="20" t="s">
        <v>72</v>
      </c>
      <c r="C13" s="21">
        <v>10</v>
      </c>
      <c r="D13" s="21" t="s">
        <v>42</v>
      </c>
      <c r="E13" s="22" t="s">
        <v>99</v>
      </c>
      <c r="F13" s="23" t="s">
        <v>112</v>
      </c>
      <c r="G13" s="23">
        <v>5</v>
      </c>
      <c r="H13" s="54">
        <f>G13/C13</f>
        <v>0.5</v>
      </c>
    </row>
    <row r="14" spans="2:8" ht="24.6" customHeight="1" outlineLevel="1" thickTop="1" thickBot="1" x14ac:dyDescent="0.35">
      <c r="B14" s="79" t="s">
        <v>146</v>
      </c>
      <c r="C14" s="21">
        <f>SUBTOTAL(9,C13:C13)</f>
        <v>10</v>
      </c>
      <c r="D14" s="21"/>
      <c r="E14" s="22"/>
      <c r="F14" s="23"/>
      <c r="G14" s="23">
        <f>SUBTOTAL(9,G13:G13)</f>
        <v>5</v>
      </c>
      <c r="H14" s="54">
        <f>SUBTOTAL(9,H13:H13)</f>
        <v>0.5</v>
      </c>
    </row>
    <row r="15" spans="2:8" ht="12" customHeight="1" outlineLevel="2" thickTop="1" thickBot="1" x14ac:dyDescent="0.35">
      <c r="B15" s="12" t="s">
        <v>73</v>
      </c>
      <c r="C15" s="13">
        <v>6</v>
      </c>
      <c r="D15" s="13" t="s">
        <v>43</v>
      </c>
      <c r="E15" s="24">
        <v>0</v>
      </c>
      <c r="F15" s="25">
        <v>0</v>
      </c>
      <c r="G15" s="25">
        <v>0</v>
      </c>
      <c r="H15" s="52">
        <f t="shared" ref="H15:H21" si="1">G15/C15</f>
        <v>0</v>
      </c>
    </row>
    <row r="16" spans="2:8" ht="12" customHeight="1" outlineLevel="1" thickTop="1" thickBot="1" x14ac:dyDescent="0.35">
      <c r="B16" s="77" t="s">
        <v>147</v>
      </c>
      <c r="C16" s="70">
        <f>SUBTOTAL(9,C15:C15)</f>
        <v>6</v>
      </c>
      <c r="D16" s="70"/>
      <c r="E16" s="24"/>
      <c r="F16" s="25"/>
      <c r="G16" s="25">
        <f>SUBTOTAL(9,G15:G15)</f>
        <v>0</v>
      </c>
      <c r="H16" s="52">
        <f>SUBTOTAL(9,H15:H15)</f>
        <v>0</v>
      </c>
    </row>
    <row r="17" spans="2:8" ht="16.8" customHeight="1" outlineLevel="2" thickTop="1" thickBot="1" x14ac:dyDescent="0.35">
      <c r="B17" s="16" t="s">
        <v>74</v>
      </c>
      <c r="C17" s="17">
        <v>10</v>
      </c>
      <c r="D17" s="17" t="s">
        <v>44</v>
      </c>
      <c r="E17" s="26">
        <v>0</v>
      </c>
      <c r="F17" s="27">
        <v>0</v>
      </c>
      <c r="G17" s="27">
        <v>0</v>
      </c>
      <c r="H17" s="55">
        <f t="shared" si="1"/>
        <v>0</v>
      </c>
    </row>
    <row r="18" spans="2:8" ht="16.8" customHeight="1" outlineLevel="1" thickTop="1" thickBot="1" x14ac:dyDescent="0.35">
      <c r="B18" s="78" t="s">
        <v>148</v>
      </c>
      <c r="C18" s="68">
        <f>SUBTOTAL(9,C17:C17)</f>
        <v>10</v>
      </c>
      <c r="D18" s="68"/>
      <c r="E18" s="26"/>
      <c r="F18" s="27"/>
      <c r="G18" s="27">
        <f>SUBTOTAL(9,G17:G17)</f>
        <v>0</v>
      </c>
      <c r="H18" s="55">
        <f>SUBTOTAL(9,H17:H17)</f>
        <v>0</v>
      </c>
    </row>
    <row r="19" spans="2:8" ht="154.19999999999999" customHeight="1" outlineLevel="2" thickTop="1" thickBot="1" x14ac:dyDescent="0.35">
      <c r="B19" s="28" t="s">
        <v>75</v>
      </c>
      <c r="C19" s="29">
        <v>1</v>
      </c>
      <c r="D19" s="29" t="s">
        <v>45</v>
      </c>
      <c r="E19" s="9" t="s">
        <v>12</v>
      </c>
      <c r="F19" s="10" t="s">
        <v>113</v>
      </c>
      <c r="G19" s="10">
        <v>1</v>
      </c>
      <c r="H19" s="60">
        <f>G19/C19</f>
        <v>1</v>
      </c>
    </row>
    <row r="20" spans="2:8" ht="26.4" customHeight="1" outlineLevel="1" thickTop="1" thickBot="1" x14ac:dyDescent="0.35">
      <c r="B20" s="76" t="s">
        <v>149</v>
      </c>
      <c r="C20" s="71">
        <f>SUBTOTAL(9,C19:C19)</f>
        <v>1</v>
      </c>
      <c r="D20" s="71"/>
      <c r="E20" s="9"/>
      <c r="F20" s="10"/>
      <c r="G20" s="10">
        <f>SUBTOTAL(9,G19:G19)</f>
        <v>1</v>
      </c>
      <c r="H20" s="60">
        <f>SUBTOTAL(9,H19:H19)</f>
        <v>1</v>
      </c>
    </row>
    <row r="21" spans="2:8" ht="21.6" customHeight="1" outlineLevel="2" thickTop="1" thickBot="1" x14ac:dyDescent="0.35">
      <c r="B21" s="20" t="s">
        <v>76</v>
      </c>
      <c r="C21" s="20">
        <v>1</v>
      </c>
      <c r="D21" s="20" t="s">
        <v>46</v>
      </c>
      <c r="E21" s="22">
        <v>0</v>
      </c>
      <c r="F21" s="23">
        <v>0</v>
      </c>
      <c r="G21" s="23">
        <v>0</v>
      </c>
      <c r="H21" s="54">
        <f t="shared" si="1"/>
        <v>0</v>
      </c>
    </row>
    <row r="22" spans="2:8" ht="21.6" customHeight="1" outlineLevel="1" thickTop="1" thickBot="1" x14ac:dyDescent="0.35">
      <c r="B22" s="79" t="s">
        <v>150</v>
      </c>
      <c r="C22" s="20">
        <f>SUBTOTAL(9,C21:C21)</f>
        <v>1</v>
      </c>
      <c r="D22" s="20"/>
      <c r="E22" s="22"/>
      <c r="F22" s="23"/>
      <c r="G22" s="23">
        <f>SUBTOTAL(9,G21:G21)</f>
        <v>0</v>
      </c>
      <c r="H22" s="54">
        <f>SUBTOTAL(9,H21:H21)</f>
        <v>0</v>
      </c>
    </row>
    <row r="23" spans="2:8" ht="146.4" customHeight="1" outlineLevel="2" thickTop="1" thickBot="1" x14ac:dyDescent="0.35">
      <c r="B23" s="12" t="s">
        <v>77</v>
      </c>
      <c r="C23" s="13">
        <v>13</v>
      </c>
      <c r="D23" s="13" t="s">
        <v>47</v>
      </c>
      <c r="E23" s="30" t="s">
        <v>11</v>
      </c>
      <c r="F23" s="15" t="s">
        <v>114</v>
      </c>
      <c r="G23" s="15">
        <v>4</v>
      </c>
      <c r="H23" s="52">
        <f>G23/C23</f>
        <v>0.30769230769230771</v>
      </c>
    </row>
    <row r="24" spans="2:8" ht="21" customHeight="1" outlineLevel="1" thickTop="1" thickBot="1" x14ac:dyDescent="0.35">
      <c r="B24" s="77" t="s">
        <v>151</v>
      </c>
      <c r="C24" s="70">
        <f>SUBTOTAL(9,C23:C23)</f>
        <v>13</v>
      </c>
      <c r="D24" s="70"/>
      <c r="E24" s="30"/>
      <c r="F24" s="15"/>
      <c r="G24" s="15">
        <f>SUBTOTAL(9,G23:G23)</f>
        <v>4</v>
      </c>
      <c r="H24" s="52">
        <f>SUBTOTAL(9,H23:H23)</f>
        <v>0.30769230769230771</v>
      </c>
    </row>
    <row r="25" spans="2:8" ht="60" customHeight="1" outlineLevel="2" thickTop="1" thickBot="1" x14ac:dyDescent="0.35">
      <c r="B25" s="84" t="s">
        <v>78</v>
      </c>
      <c r="C25" s="85">
        <v>18</v>
      </c>
      <c r="D25" s="85" t="s">
        <v>48</v>
      </c>
      <c r="E25" s="31" t="s">
        <v>16</v>
      </c>
      <c r="F25" s="27" t="s">
        <v>118</v>
      </c>
      <c r="G25" s="27">
        <v>6</v>
      </c>
      <c r="H25" s="53">
        <f>G25/18</f>
        <v>0.33333333333333331</v>
      </c>
    </row>
    <row r="26" spans="2:8" ht="60" customHeight="1" outlineLevel="2" thickTop="1" thickBot="1" x14ac:dyDescent="0.35">
      <c r="B26" s="84"/>
      <c r="C26" s="85"/>
      <c r="D26" s="85"/>
      <c r="E26" s="18" t="s">
        <v>5</v>
      </c>
      <c r="F26" s="19" t="s">
        <v>115</v>
      </c>
      <c r="G26" s="19">
        <v>1</v>
      </c>
      <c r="H26" s="53">
        <f>G26/18</f>
        <v>5.5555555555555552E-2</v>
      </c>
    </row>
    <row r="27" spans="2:8" ht="60" customHeight="1" outlineLevel="2" thickTop="1" thickBot="1" x14ac:dyDescent="0.35">
      <c r="B27" s="84"/>
      <c r="C27" s="85"/>
      <c r="D27" s="85"/>
      <c r="E27" s="26" t="s">
        <v>21</v>
      </c>
      <c r="F27" s="27" t="s">
        <v>116</v>
      </c>
      <c r="G27" s="27">
        <v>1</v>
      </c>
      <c r="H27" s="53">
        <f t="shared" ref="H27" si="2">G27/18</f>
        <v>5.5555555555555552E-2</v>
      </c>
    </row>
    <row r="28" spans="2:8" ht="60" customHeight="1" outlineLevel="2" thickTop="1" thickBot="1" x14ac:dyDescent="0.35">
      <c r="B28" s="84"/>
      <c r="C28" s="85"/>
      <c r="D28" s="85"/>
      <c r="E28" s="31" t="s">
        <v>22</v>
      </c>
      <c r="F28" s="27" t="s">
        <v>117</v>
      </c>
      <c r="G28" s="27">
        <v>1</v>
      </c>
      <c r="H28" s="53">
        <f>G28/18</f>
        <v>5.5555555555555552E-2</v>
      </c>
    </row>
    <row r="29" spans="2:8" ht="60" customHeight="1" outlineLevel="2" thickTop="1" thickBot="1" x14ac:dyDescent="0.35">
      <c r="B29" s="84"/>
      <c r="C29" s="85"/>
      <c r="D29" s="85"/>
      <c r="E29" s="26" t="s">
        <v>6</v>
      </c>
      <c r="F29" s="27" t="s">
        <v>119</v>
      </c>
      <c r="G29" s="27">
        <v>1</v>
      </c>
      <c r="H29" s="53">
        <f>G29/18</f>
        <v>5.5555555555555552E-2</v>
      </c>
    </row>
    <row r="30" spans="2:8" ht="60" customHeight="1" outlineLevel="2" thickTop="1" thickBot="1" x14ac:dyDescent="0.35">
      <c r="B30" s="84"/>
      <c r="C30" s="85"/>
      <c r="D30" s="85"/>
      <c r="E30" s="26" t="s">
        <v>14</v>
      </c>
      <c r="F30" s="27" t="s">
        <v>120</v>
      </c>
      <c r="G30" s="27">
        <v>1</v>
      </c>
      <c r="H30" s="53">
        <f>G30/18</f>
        <v>5.5555555555555552E-2</v>
      </c>
    </row>
    <row r="31" spans="2:8" ht="21" customHeight="1" outlineLevel="1" thickTop="1" thickBot="1" x14ac:dyDescent="0.35">
      <c r="B31" s="78" t="s">
        <v>152</v>
      </c>
      <c r="C31" s="68">
        <f>SUBTOTAL(9,C25:C30)</f>
        <v>18</v>
      </c>
      <c r="D31" s="68"/>
      <c r="E31" s="26"/>
      <c r="F31" s="27"/>
      <c r="G31" s="27">
        <f>SUBTOTAL(9,G25:G30)</f>
        <v>11</v>
      </c>
      <c r="H31" s="53">
        <f>SUBTOTAL(9,H25:H30)</f>
        <v>0.61111111111111116</v>
      </c>
    </row>
    <row r="32" spans="2:8" ht="184.8" customHeight="1" outlineLevel="2" thickTop="1" thickBot="1" x14ac:dyDescent="0.35">
      <c r="B32" s="28" t="s">
        <v>79</v>
      </c>
      <c r="C32" s="29">
        <v>9</v>
      </c>
      <c r="D32" s="29" t="s">
        <v>49</v>
      </c>
      <c r="E32" s="11" t="s">
        <v>4</v>
      </c>
      <c r="F32" s="10" t="s">
        <v>121</v>
      </c>
      <c r="G32" s="10">
        <v>2</v>
      </c>
      <c r="H32" s="51">
        <f>G32/C32</f>
        <v>0.22222222222222221</v>
      </c>
    </row>
    <row r="33" spans="2:8" ht="184.8" customHeight="1" outlineLevel="1" thickTop="1" thickBot="1" x14ac:dyDescent="0.35">
      <c r="B33" s="76" t="s">
        <v>153</v>
      </c>
      <c r="C33" s="71">
        <f>SUBTOTAL(9,C32:C32)</f>
        <v>9</v>
      </c>
      <c r="D33" s="71"/>
      <c r="E33" s="11"/>
      <c r="F33" s="10"/>
      <c r="G33" s="10">
        <f>SUBTOTAL(9,G32:G32)</f>
        <v>2</v>
      </c>
      <c r="H33" s="51">
        <f>SUBTOTAL(9,H32:H32)</f>
        <v>0.22222222222222221</v>
      </c>
    </row>
    <row r="34" spans="2:8" ht="60" customHeight="1" outlineLevel="2" thickTop="1" thickBot="1" x14ac:dyDescent="0.35">
      <c r="B34" s="32" t="s">
        <v>80</v>
      </c>
      <c r="C34" s="33">
        <v>15</v>
      </c>
      <c r="D34" s="33" t="s">
        <v>50</v>
      </c>
      <c r="E34" s="34">
        <v>0</v>
      </c>
      <c r="F34" s="35">
        <v>0</v>
      </c>
      <c r="G34" s="35">
        <v>0</v>
      </c>
      <c r="H34" s="56">
        <v>0</v>
      </c>
    </row>
    <row r="35" spans="2:8" ht="23.4" customHeight="1" outlineLevel="1" thickTop="1" thickBot="1" x14ac:dyDescent="0.35">
      <c r="B35" s="80" t="s">
        <v>154</v>
      </c>
      <c r="C35" s="33">
        <f>SUBTOTAL(9,C34:C34)</f>
        <v>15</v>
      </c>
      <c r="D35" s="33"/>
      <c r="E35" s="34"/>
      <c r="F35" s="35"/>
      <c r="G35" s="35">
        <f>SUBTOTAL(9,G34:G34)</f>
        <v>0</v>
      </c>
      <c r="H35" s="56">
        <f>SUBTOTAL(9,H34:H34)</f>
        <v>0</v>
      </c>
    </row>
    <row r="36" spans="2:8" ht="141" customHeight="1" outlineLevel="2" thickTop="1" thickBot="1" x14ac:dyDescent="0.35">
      <c r="B36" s="12" t="s">
        <v>81</v>
      </c>
      <c r="C36" s="13">
        <v>9</v>
      </c>
      <c r="D36" s="13" t="s">
        <v>51</v>
      </c>
      <c r="E36" s="14" t="s">
        <v>10</v>
      </c>
      <c r="F36" s="15" t="s">
        <v>122</v>
      </c>
      <c r="G36" s="15">
        <v>1</v>
      </c>
      <c r="H36" s="52">
        <f>G36/C36</f>
        <v>0.1111111111111111</v>
      </c>
    </row>
    <row r="37" spans="2:8" ht="14.4" customHeight="1" outlineLevel="1" thickTop="1" thickBot="1" x14ac:dyDescent="0.35">
      <c r="B37" s="77" t="s">
        <v>155</v>
      </c>
      <c r="C37" s="70">
        <f>SUBTOTAL(9,C36:C36)</f>
        <v>9</v>
      </c>
      <c r="D37" s="70"/>
      <c r="E37" s="14"/>
      <c r="F37" s="15"/>
      <c r="G37" s="15">
        <f>SUBTOTAL(9,G36:G36)</f>
        <v>1</v>
      </c>
      <c r="H37" s="52">
        <f>SUBTOTAL(9,H36:H36)</f>
        <v>0.1111111111111111</v>
      </c>
    </row>
    <row r="38" spans="2:8" ht="21.6" customHeight="1" outlineLevel="2" thickTop="1" thickBot="1" x14ac:dyDescent="0.35">
      <c r="B38" s="36" t="s">
        <v>82</v>
      </c>
      <c r="C38" s="37">
        <v>1</v>
      </c>
      <c r="D38" s="37" t="s">
        <v>52</v>
      </c>
      <c r="E38" s="38">
        <v>0</v>
      </c>
      <c r="F38" s="39">
        <v>0</v>
      </c>
      <c r="G38" s="39">
        <v>0</v>
      </c>
      <c r="H38" s="57">
        <v>0</v>
      </c>
    </row>
    <row r="39" spans="2:8" ht="21.6" customHeight="1" outlineLevel="1" thickTop="1" thickBot="1" x14ac:dyDescent="0.35">
      <c r="B39" s="81" t="s">
        <v>156</v>
      </c>
      <c r="C39" s="37">
        <f>SUBTOTAL(9,C38:C38)</f>
        <v>1</v>
      </c>
      <c r="D39" s="37"/>
      <c r="E39" s="38"/>
      <c r="F39" s="39"/>
      <c r="G39" s="39">
        <f>SUBTOTAL(9,G38:G38)</f>
        <v>0</v>
      </c>
      <c r="H39" s="57">
        <f>SUBTOTAL(9,H38:H38)</f>
        <v>0</v>
      </c>
    </row>
    <row r="40" spans="2:8" ht="201.6" customHeight="1" outlineLevel="2" thickTop="1" thickBot="1" x14ac:dyDescent="0.35">
      <c r="B40" s="40" t="s">
        <v>83</v>
      </c>
      <c r="C40" s="41">
        <v>59</v>
      </c>
      <c r="D40" s="41" t="s">
        <v>53</v>
      </c>
      <c r="E40" s="42" t="s">
        <v>0</v>
      </c>
      <c r="F40" s="43" t="s">
        <v>123</v>
      </c>
      <c r="G40" s="43">
        <v>6</v>
      </c>
      <c r="H40" s="58">
        <f>G40/C40</f>
        <v>0.10169491525423729</v>
      </c>
    </row>
    <row r="41" spans="2:8" ht="11.4" customHeight="1" outlineLevel="1" thickTop="1" thickBot="1" x14ac:dyDescent="0.35">
      <c r="B41" s="82" t="s">
        <v>157</v>
      </c>
      <c r="C41" s="41">
        <f>SUBTOTAL(9,C40:C40)</f>
        <v>59</v>
      </c>
      <c r="D41" s="41"/>
      <c r="E41" s="42"/>
      <c r="F41" s="43"/>
      <c r="G41" s="43">
        <f>SUBTOTAL(9,G40:G40)</f>
        <v>6</v>
      </c>
      <c r="H41" s="58">
        <f>SUBTOTAL(9,H40:H40)</f>
        <v>0.10169491525423729</v>
      </c>
    </row>
    <row r="42" spans="2:8" ht="91.2" customHeight="1" outlineLevel="2" thickTop="1" thickBot="1" x14ac:dyDescent="0.35">
      <c r="B42" s="84" t="s">
        <v>84</v>
      </c>
      <c r="C42" s="85">
        <v>27</v>
      </c>
      <c r="D42" s="85" t="s">
        <v>54</v>
      </c>
      <c r="E42" s="26" t="s">
        <v>24</v>
      </c>
      <c r="F42" s="27" t="s">
        <v>124</v>
      </c>
      <c r="G42" s="27">
        <v>1</v>
      </c>
      <c r="H42" s="55">
        <f>G42/C42</f>
        <v>3.7037037037037035E-2</v>
      </c>
    </row>
    <row r="43" spans="2:8" ht="109.8" customHeight="1" outlineLevel="2" thickTop="1" thickBot="1" x14ac:dyDescent="0.35">
      <c r="B43" s="84"/>
      <c r="C43" s="85"/>
      <c r="D43" s="85"/>
      <c r="E43" s="26" t="s">
        <v>18</v>
      </c>
      <c r="F43" s="27" t="s">
        <v>125</v>
      </c>
      <c r="G43" s="27">
        <v>1</v>
      </c>
      <c r="H43" s="55">
        <f>G43/C42</f>
        <v>3.7037037037037035E-2</v>
      </c>
    </row>
    <row r="44" spans="2:8" ht="18.600000000000001" customHeight="1" outlineLevel="1" thickTop="1" thickBot="1" x14ac:dyDescent="0.35">
      <c r="B44" s="78" t="s">
        <v>158</v>
      </c>
      <c r="C44" s="68">
        <f>SUBTOTAL(9,C42:C43)</f>
        <v>27</v>
      </c>
      <c r="D44" s="68"/>
      <c r="E44" s="26"/>
      <c r="F44" s="27"/>
      <c r="G44" s="27">
        <f>SUBTOTAL(9,G42:G43)</f>
        <v>2</v>
      </c>
      <c r="H44" s="55">
        <f>SUBTOTAL(9,H42:H43)</f>
        <v>7.407407407407407E-2</v>
      </c>
    </row>
    <row r="45" spans="2:8" ht="96.6" customHeight="1" outlineLevel="2" thickTop="1" thickBot="1" x14ac:dyDescent="0.35">
      <c r="B45" s="86" t="s">
        <v>85</v>
      </c>
      <c r="C45" s="87">
        <v>24</v>
      </c>
      <c r="D45" s="87" t="s">
        <v>55</v>
      </c>
      <c r="E45" s="44" t="s">
        <v>17</v>
      </c>
      <c r="F45" s="45" t="s">
        <v>126</v>
      </c>
      <c r="G45" s="45">
        <v>8</v>
      </c>
      <c r="H45" s="59">
        <f>G45/24</f>
        <v>0.33333333333333331</v>
      </c>
    </row>
    <row r="46" spans="2:8" ht="100.2" customHeight="1" outlineLevel="2" thickTop="1" thickBot="1" x14ac:dyDescent="0.35">
      <c r="B46" s="86"/>
      <c r="C46" s="87"/>
      <c r="D46" s="87"/>
      <c r="E46" s="44" t="s">
        <v>19</v>
      </c>
      <c r="F46" s="45" t="s">
        <v>122</v>
      </c>
      <c r="G46" s="45">
        <v>3</v>
      </c>
      <c r="H46" s="59">
        <f>G46/24</f>
        <v>0.125</v>
      </c>
    </row>
    <row r="47" spans="2:8" ht="22.8" customHeight="1" outlineLevel="1" thickTop="1" thickBot="1" x14ac:dyDescent="0.35">
      <c r="B47" s="83" t="s">
        <v>159</v>
      </c>
      <c r="C47" s="69">
        <f>SUBTOTAL(9,C45:C46)</f>
        <v>24</v>
      </c>
      <c r="D47" s="69"/>
      <c r="E47" s="44"/>
      <c r="F47" s="45"/>
      <c r="G47" s="45">
        <f>SUBTOTAL(9,G45:G46)</f>
        <v>11</v>
      </c>
      <c r="H47" s="59">
        <f>SUBTOTAL(9,H45:H46)</f>
        <v>0.45833333333333331</v>
      </c>
    </row>
    <row r="48" spans="2:8" ht="122.4" customHeight="1" outlineLevel="2" thickTop="1" thickBot="1" x14ac:dyDescent="0.35">
      <c r="B48" s="89" t="s">
        <v>86</v>
      </c>
      <c r="C48" s="88">
        <v>44</v>
      </c>
      <c r="D48" s="88" t="s">
        <v>56</v>
      </c>
      <c r="E48" s="14" t="s">
        <v>2</v>
      </c>
      <c r="F48" s="15" t="s">
        <v>124</v>
      </c>
      <c r="G48" s="15">
        <v>1</v>
      </c>
      <c r="H48" s="52">
        <f>G48/44</f>
        <v>2.2727272727272728E-2</v>
      </c>
    </row>
    <row r="49" spans="2:8" ht="136.19999999999999" customHeight="1" outlineLevel="2" thickTop="1" thickBot="1" x14ac:dyDescent="0.35">
      <c r="B49" s="89"/>
      <c r="C49" s="88"/>
      <c r="D49" s="88"/>
      <c r="E49" s="14" t="s">
        <v>27</v>
      </c>
      <c r="F49" s="15" t="s">
        <v>135</v>
      </c>
      <c r="G49" s="15">
        <v>1</v>
      </c>
      <c r="H49" s="52">
        <f>G49/44</f>
        <v>2.2727272727272728E-2</v>
      </c>
    </row>
    <row r="50" spans="2:8" ht="10.199999999999999" customHeight="1" outlineLevel="1" thickTop="1" thickBot="1" x14ac:dyDescent="0.35">
      <c r="B50" s="77" t="s">
        <v>160</v>
      </c>
      <c r="C50" s="70">
        <f>SUBTOTAL(9,C48:C49)</f>
        <v>44</v>
      </c>
      <c r="D50" s="70"/>
      <c r="E50" s="14"/>
      <c r="F50" s="15"/>
      <c r="G50" s="15">
        <f>SUBTOTAL(9,G48:G49)</f>
        <v>2</v>
      </c>
      <c r="H50" s="52">
        <f>SUBTOTAL(9,H48:H49)</f>
        <v>4.5454545454545456E-2</v>
      </c>
    </row>
    <row r="51" spans="2:8" ht="15.6" customHeight="1" outlineLevel="2" thickTop="1" thickBot="1" x14ac:dyDescent="0.35">
      <c r="B51" s="28" t="s">
        <v>87</v>
      </c>
      <c r="C51" s="29">
        <v>29</v>
      </c>
      <c r="D51" s="29" t="s">
        <v>57</v>
      </c>
      <c r="E51" s="9">
        <v>0</v>
      </c>
      <c r="F51" s="10">
        <v>0</v>
      </c>
      <c r="G51" s="10">
        <v>0</v>
      </c>
      <c r="H51" s="51">
        <v>0</v>
      </c>
    </row>
    <row r="52" spans="2:8" ht="15.6" customHeight="1" outlineLevel="1" thickTop="1" thickBot="1" x14ac:dyDescent="0.35">
      <c r="B52" s="76" t="s">
        <v>161</v>
      </c>
      <c r="C52" s="71">
        <f>SUBTOTAL(9,C51:C51)</f>
        <v>29</v>
      </c>
      <c r="D52" s="71"/>
      <c r="E52" s="9"/>
      <c r="F52" s="10"/>
      <c r="G52" s="10">
        <f>SUBTOTAL(9,G51:G51)</f>
        <v>0</v>
      </c>
      <c r="H52" s="51">
        <f>SUBTOTAL(9,H51:H51)</f>
        <v>0</v>
      </c>
    </row>
    <row r="53" spans="2:8" ht="159" customHeight="1" outlineLevel="2" thickTop="1" thickBot="1" x14ac:dyDescent="0.35">
      <c r="B53" s="32" t="s">
        <v>88</v>
      </c>
      <c r="C53" s="33">
        <v>55</v>
      </c>
      <c r="D53" s="33" t="s">
        <v>58</v>
      </c>
      <c r="E53" s="46" t="s">
        <v>104</v>
      </c>
      <c r="F53" s="35" t="s">
        <v>127</v>
      </c>
      <c r="G53" s="35">
        <v>1</v>
      </c>
      <c r="H53" s="56">
        <f>G53/C53</f>
        <v>1.8181818181818181E-2</v>
      </c>
    </row>
    <row r="54" spans="2:8" ht="25.8" customHeight="1" outlineLevel="1" thickTop="1" thickBot="1" x14ac:dyDescent="0.35">
      <c r="B54" s="80" t="s">
        <v>162</v>
      </c>
      <c r="C54" s="33">
        <f>SUBTOTAL(9,C53:C53)</f>
        <v>55</v>
      </c>
      <c r="D54" s="33"/>
      <c r="E54" s="46"/>
      <c r="F54" s="35"/>
      <c r="G54" s="35">
        <f>SUBTOTAL(9,G53:G53)</f>
        <v>1</v>
      </c>
      <c r="H54" s="56">
        <f>SUBTOTAL(9,H53:H53)</f>
        <v>1.8181818181818181E-2</v>
      </c>
    </row>
    <row r="55" spans="2:8" ht="19.8" customHeight="1" outlineLevel="2" thickTop="1" thickBot="1" x14ac:dyDescent="0.35">
      <c r="B55" s="16" t="s">
        <v>89</v>
      </c>
      <c r="C55" s="17">
        <v>56</v>
      </c>
      <c r="D55" s="17" t="s">
        <v>59</v>
      </c>
      <c r="E55" s="26">
        <v>0</v>
      </c>
      <c r="F55" s="27">
        <v>0</v>
      </c>
      <c r="G55" s="27">
        <v>0</v>
      </c>
      <c r="H55" s="55">
        <v>0</v>
      </c>
    </row>
    <row r="56" spans="2:8" ht="19.8" customHeight="1" outlineLevel="1" thickTop="1" thickBot="1" x14ac:dyDescent="0.35">
      <c r="B56" s="78" t="s">
        <v>163</v>
      </c>
      <c r="C56" s="68">
        <f>SUBTOTAL(9,C55:C55)</f>
        <v>56</v>
      </c>
      <c r="D56" s="68"/>
      <c r="E56" s="26"/>
      <c r="F56" s="27"/>
      <c r="G56" s="27">
        <f>SUBTOTAL(9,G55:G55)</f>
        <v>0</v>
      </c>
      <c r="H56" s="55">
        <f>SUBTOTAL(9,H55:H55)</f>
        <v>0</v>
      </c>
    </row>
    <row r="57" spans="2:8" ht="121.2" customHeight="1" outlineLevel="2" thickTop="1" thickBot="1" x14ac:dyDescent="0.35">
      <c r="B57" s="91" t="s">
        <v>90</v>
      </c>
      <c r="C57" s="90">
        <v>66</v>
      </c>
      <c r="D57" s="90" t="s">
        <v>60</v>
      </c>
      <c r="E57" s="9" t="s">
        <v>25</v>
      </c>
      <c r="F57" s="10" t="s">
        <v>129</v>
      </c>
      <c r="G57" s="10">
        <v>2</v>
      </c>
      <c r="H57" s="51">
        <f>G57/66</f>
        <v>3.0303030303030304E-2</v>
      </c>
    </row>
    <row r="58" spans="2:8" ht="114" customHeight="1" outlineLevel="2" thickTop="1" thickBot="1" x14ac:dyDescent="0.35">
      <c r="B58" s="91"/>
      <c r="C58" s="90"/>
      <c r="D58" s="90"/>
      <c r="E58" s="9" t="s">
        <v>26</v>
      </c>
      <c r="F58" s="10" t="s">
        <v>128</v>
      </c>
      <c r="G58" s="10">
        <v>1</v>
      </c>
      <c r="H58" s="51">
        <f>G58/66</f>
        <v>1.5151515151515152E-2</v>
      </c>
    </row>
    <row r="59" spans="2:8" ht="21" customHeight="1" outlineLevel="1" thickTop="1" thickBot="1" x14ac:dyDescent="0.35">
      <c r="B59" s="76" t="s">
        <v>164</v>
      </c>
      <c r="C59" s="71">
        <f>SUBTOTAL(9,C57:C58)</f>
        <v>66</v>
      </c>
      <c r="D59" s="71"/>
      <c r="E59" s="9"/>
      <c r="F59" s="10"/>
      <c r="G59" s="10">
        <f>SUBTOTAL(9,G57:G58)</f>
        <v>3</v>
      </c>
      <c r="H59" s="51">
        <f>SUBTOTAL(9,H57:H58)</f>
        <v>4.5454545454545456E-2</v>
      </c>
    </row>
    <row r="60" spans="2:8" ht="173.4" customHeight="1" outlineLevel="2" thickTop="1" thickBot="1" x14ac:dyDescent="0.35">
      <c r="B60" s="12" t="s">
        <v>91</v>
      </c>
      <c r="C60" s="13">
        <v>4</v>
      </c>
      <c r="D60" s="13" t="s">
        <v>61</v>
      </c>
      <c r="E60" s="14" t="s">
        <v>13</v>
      </c>
      <c r="F60" s="15" t="s">
        <v>130</v>
      </c>
      <c r="G60" s="15">
        <v>1</v>
      </c>
      <c r="H60" s="52">
        <f>G60/C60</f>
        <v>0.25</v>
      </c>
    </row>
    <row r="61" spans="2:8" ht="36" customHeight="1" outlineLevel="1" thickTop="1" thickBot="1" x14ac:dyDescent="0.35">
      <c r="B61" s="77" t="s">
        <v>165</v>
      </c>
      <c r="C61" s="70">
        <f>SUBTOTAL(9,C60:C60)</f>
        <v>4</v>
      </c>
      <c r="D61" s="70"/>
      <c r="E61" s="14"/>
      <c r="F61" s="15"/>
      <c r="G61" s="15">
        <f>SUBTOTAL(9,G60:G60)</f>
        <v>1</v>
      </c>
      <c r="H61" s="52">
        <f>SUBTOTAL(9,H60:H60)</f>
        <v>0.25</v>
      </c>
    </row>
    <row r="62" spans="2:8" ht="151.80000000000001" customHeight="1" outlineLevel="2" thickTop="1" thickBot="1" x14ac:dyDescent="0.35">
      <c r="B62" s="28" t="s">
        <v>92</v>
      </c>
      <c r="C62" s="29">
        <v>32</v>
      </c>
      <c r="D62" s="29" t="s">
        <v>62</v>
      </c>
      <c r="E62" s="9" t="s">
        <v>97</v>
      </c>
      <c r="F62" s="10" t="s">
        <v>131</v>
      </c>
      <c r="G62" s="10">
        <v>6</v>
      </c>
      <c r="H62" s="51">
        <f>G62/C62</f>
        <v>0.1875</v>
      </c>
    </row>
    <row r="63" spans="2:8" ht="28.2" customHeight="1" outlineLevel="1" thickTop="1" thickBot="1" x14ac:dyDescent="0.35">
      <c r="B63" s="76" t="s">
        <v>166</v>
      </c>
      <c r="C63" s="71">
        <f>SUBTOTAL(9,C62:C62)</f>
        <v>32</v>
      </c>
      <c r="D63" s="71"/>
      <c r="E63" s="9"/>
      <c r="F63" s="10"/>
      <c r="G63" s="10">
        <f>SUBTOTAL(9,G62:G62)</f>
        <v>6</v>
      </c>
      <c r="H63" s="51">
        <f>SUBTOTAL(9,H62:H62)</f>
        <v>0.1875</v>
      </c>
    </row>
    <row r="64" spans="2:8" ht="60" customHeight="1" outlineLevel="2" thickTop="1" thickBot="1" x14ac:dyDescent="0.35">
      <c r="B64" s="84" t="s">
        <v>93</v>
      </c>
      <c r="C64" s="85">
        <v>36</v>
      </c>
      <c r="D64" s="85" t="s">
        <v>63</v>
      </c>
      <c r="E64" s="26" t="s">
        <v>103</v>
      </c>
      <c r="F64" s="27" t="s">
        <v>134</v>
      </c>
      <c r="G64" s="27">
        <v>4</v>
      </c>
      <c r="H64" s="55">
        <f>G64/36</f>
        <v>0.1111111111111111</v>
      </c>
    </row>
    <row r="65" spans="2:8" ht="60" customHeight="1" outlineLevel="2" thickTop="1" thickBot="1" x14ac:dyDescent="0.35">
      <c r="B65" s="84"/>
      <c r="C65" s="85"/>
      <c r="D65" s="85"/>
      <c r="E65" s="26" t="s">
        <v>105</v>
      </c>
      <c r="F65" s="27" t="s">
        <v>135</v>
      </c>
      <c r="G65" s="27">
        <v>4</v>
      </c>
      <c r="H65" s="55">
        <f>G65/36</f>
        <v>0.1111111111111111</v>
      </c>
    </row>
    <row r="66" spans="2:8" ht="60" customHeight="1" outlineLevel="2" thickTop="1" thickBot="1" x14ac:dyDescent="0.35">
      <c r="B66" s="84"/>
      <c r="C66" s="85"/>
      <c r="D66" s="85"/>
      <c r="E66" s="26" t="s">
        <v>23</v>
      </c>
      <c r="F66" s="27" t="s">
        <v>127</v>
      </c>
      <c r="G66" s="27">
        <v>3</v>
      </c>
      <c r="H66" s="55">
        <f>G66/36</f>
        <v>8.3333333333333329E-2</v>
      </c>
    </row>
    <row r="67" spans="2:8" ht="60" customHeight="1" outlineLevel="2" thickTop="1" thickBot="1" x14ac:dyDescent="0.35">
      <c r="B67" s="84"/>
      <c r="C67" s="85"/>
      <c r="D67" s="85"/>
      <c r="E67" s="31" t="s">
        <v>98</v>
      </c>
      <c r="F67" s="27" t="s">
        <v>132</v>
      </c>
      <c r="G67" s="27">
        <v>1</v>
      </c>
      <c r="H67" s="55">
        <f>G67/36</f>
        <v>2.7777777777777776E-2</v>
      </c>
    </row>
    <row r="68" spans="2:8" ht="60" customHeight="1" outlineLevel="1" thickTop="1" thickBot="1" x14ac:dyDescent="0.35">
      <c r="B68" s="16"/>
      <c r="C68" s="17"/>
      <c r="D68" s="17"/>
      <c r="E68" s="47" t="s">
        <v>9</v>
      </c>
      <c r="F68" s="27" t="s">
        <v>133</v>
      </c>
      <c r="G68" s="27">
        <v>1</v>
      </c>
      <c r="H68" s="55">
        <f>G68/36</f>
        <v>2.7777777777777776E-2</v>
      </c>
    </row>
    <row r="69" spans="2:8" ht="21.6" customHeight="1" outlineLevel="1" thickTop="1" thickBot="1" x14ac:dyDescent="0.35">
      <c r="B69" s="78" t="s">
        <v>167</v>
      </c>
      <c r="C69" s="68">
        <f>SUBTOTAL(9,C64:C67)</f>
        <v>36</v>
      </c>
      <c r="D69" s="68"/>
      <c r="E69" s="31"/>
      <c r="F69" s="27"/>
      <c r="G69" s="27">
        <f>SUBTOTAL(9,G64:G68)</f>
        <v>13</v>
      </c>
      <c r="H69" s="55">
        <f>SUBTOTAL(9,H64:H68)</f>
        <v>0.3611111111111111</v>
      </c>
    </row>
    <row r="70" spans="2:8" ht="24" customHeight="1" outlineLevel="2" thickTop="1" thickBot="1" x14ac:dyDescent="0.35">
      <c r="B70" s="32" t="s">
        <v>94</v>
      </c>
      <c r="C70" s="33">
        <v>3</v>
      </c>
      <c r="D70" s="33" t="s">
        <v>64</v>
      </c>
      <c r="E70" s="46">
        <v>0</v>
      </c>
      <c r="F70" s="35">
        <v>0</v>
      </c>
      <c r="G70" s="35">
        <v>0</v>
      </c>
      <c r="H70" s="56">
        <v>0</v>
      </c>
    </row>
    <row r="71" spans="2:8" ht="24" customHeight="1" outlineLevel="1" thickTop="1" thickBot="1" x14ac:dyDescent="0.35">
      <c r="B71" s="80" t="s">
        <v>168</v>
      </c>
      <c r="C71" s="33">
        <f>SUBTOTAL(9,C70:C70)</f>
        <v>3</v>
      </c>
      <c r="D71" s="33"/>
      <c r="E71" s="46"/>
      <c r="F71" s="35"/>
      <c r="G71" s="35">
        <f>SUBTOTAL(9,G70:G70)</f>
        <v>0</v>
      </c>
      <c r="H71" s="56">
        <f>SUBTOTAL(9,H70:H70)</f>
        <v>0</v>
      </c>
    </row>
    <row r="72" spans="2:8" ht="18" customHeight="1" outlineLevel="2" thickTop="1" thickBot="1" x14ac:dyDescent="0.35">
      <c r="B72" s="28" t="s">
        <v>95</v>
      </c>
      <c r="C72" s="29">
        <v>40</v>
      </c>
      <c r="D72" s="29" t="s">
        <v>65</v>
      </c>
      <c r="E72" s="48">
        <v>0</v>
      </c>
      <c r="F72" s="49">
        <v>0</v>
      </c>
      <c r="G72" s="49">
        <v>0</v>
      </c>
      <c r="H72" s="60">
        <v>0</v>
      </c>
    </row>
    <row r="73" spans="2:8" ht="18" customHeight="1" outlineLevel="1" thickTop="1" thickBot="1" x14ac:dyDescent="0.35">
      <c r="B73" s="76" t="s">
        <v>169</v>
      </c>
      <c r="C73" s="71">
        <f>SUBTOTAL(9,C72:C72)</f>
        <v>40</v>
      </c>
      <c r="D73" s="71"/>
      <c r="E73" s="48"/>
      <c r="F73" s="49"/>
      <c r="G73" s="49">
        <f>SUBTOTAL(9,G72:G72)</f>
        <v>0</v>
      </c>
      <c r="H73" s="60">
        <f>SUBTOTAL(9,H72:H72)</f>
        <v>0</v>
      </c>
    </row>
    <row r="74" spans="2:8" ht="145.19999999999999" customHeight="1" outlineLevel="2" thickTop="1" thickBot="1" x14ac:dyDescent="0.35">
      <c r="B74" s="12" t="s">
        <v>96</v>
      </c>
      <c r="C74" s="13">
        <v>66</v>
      </c>
      <c r="D74" s="13" t="s">
        <v>66</v>
      </c>
      <c r="E74" s="14" t="s">
        <v>1</v>
      </c>
      <c r="F74" s="15" t="s">
        <v>123</v>
      </c>
      <c r="G74" s="15">
        <v>1</v>
      </c>
      <c r="H74" s="52">
        <f>G74/C74</f>
        <v>1.5151515151515152E-2</v>
      </c>
    </row>
    <row r="75" spans="2:8" ht="22.8" customHeight="1" outlineLevel="1" thickTop="1" thickBot="1" x14ac:dyDescent="0.35">
      <c r="B75" s="77" t="s">
        <v>170</v>
      </c>
      <c r="C75" s="70">
        <f>SUBTOTAL(9,C74:C74)</f>
        <v>66</v>
      </c>
      <c r="D75" s="70"/>
      <c r="E75" s="14"/>
      <c r="F75" s="15"/>
      <c r="G75" s="15">
        <f>SUBTOTAL(9,G74:G74)</f>
        <v>1</v>
      </c>
      <c r="H75" s="52">
        <f>SUBTOTAL(9,H74:H74)</f>
        <v>1.5151515151515152E-2</v>
      </c>
    </row>
    <row r="76" spans="2:8" ht="15.6" thickTop="1" thickBot="1" x14ac:dyDescent="0.35">
      <c r="B76" s="3"/>
      <c r="C76" s="3"/>
      <c r="D76" s="3"/>
      <c r="E76" s="2"/>
      <c r="F76" s="3"/>
      <c r="G76" s="3"/>
      <c r="H76" s="61"/>
    </row>
    <row r="77" spans="2:8" ht="15" thickTop="1" x14ac:dyDescent="0.3"/>
  </sheetData>
  <sortState ref="E36:H37">
    <sortCondition descending="1" ref="H36:H37"/>
  </sortState>
  <mergeCells count="21">
    <mergeCell ref="D2:D7"/>
    <mergeCell ref="B2:B7"/>
    <mergeCell ref="C2:C7"/>
    <mergeCell ref="B42:B43"/>
    <mergeCell ref="D42:D43"/>
    <mergeCell ref="C42:C43"/>
    <mergeCell ref="D25:D30"/>
    <mergeCell ref="B25:B30"/>
    <mergeCell ref="C25:C30"/>
    <mergeCell ref="B64:B67"/>
    <mergeCell ref="D64:D67"/>
    <mergeCell ref="C64:C67"/>
    <mergeCell ref="B45:B46"/>
    <mergeCell ref="D45:D46"/>
    <mergeCell ref="D48:D49"/>
    <mergeCell ref="B48:B49"/>
    <mergeCell ref="C45:C46"/>
    <mergeCell ref="C48:C49"/>
    <mergeCell ref="C57:C58"/>
    <mergeCell ref="B57:B58"/>
    <mergeCell ref="D57:D58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F9"/>
  <sheetViews>
    <sheetView workbookViewId="0">
      <selection activeCell="F6" sqref="C1:F7"/>
    </sheetView>
  </sheetViews>
  <sheetFormatPr defaultRowHeight="14.4" x14ac:dyDescent="0.3"/>
  <cols>
    <col min="3" max="3" width="6.88671875" style="1" customWidth="1"/>
    <col min="4" max="4" width="48.77734375" style="1" customWidth="1"/>
    <col min="6" max="6" width="8.88671875" style="50"/>
  </cols>
  <sheetData>
    <row r="1" spans="3:6" ht="15.6" thickTop="1" thickBot="1" x14ac:dyDescent="0.35">
      <c r="C1" s="2"/>
      <c r="D1" s="2"/>
      <c r="E1" s="3"/>
      <c r="F1" s="50" t="s">
        <v>136</v>
      </c>
    </row>
    <row r="2" spans="3:6" ht="32.4" thickTop="1" thickBot="1" x14ac:dyDescent="0.35">
      <c r="C2" s="4">
        <v>28</v>
      </c>
      <c r="D2" s="4" t="s">
        <v>15</v>
      </c>
      <c r="E2" s="3">
        <v>6</v>
      </c>
      <c r="F2" s="61">
        <f>E2/C2</f>
        <v>0.21428571428571427</v>
      </c>
    </row>
    <row r="3" spans="3:6" ht="31.2" thickTop="1" thickBot="1" x14ac:dyDescent="0.35">
      <c r="C3" s="92">
        <v>62</v>
      </c>
      <c r="D3" s="5" t="s">
        <v>20</v>
      </c>
      <c r="E3" s="3">
        <v>1</v>
      </c>
      <c r="F3" s="61">
        <f>E3/62</f>
        <v>1.6129032258064516E-2</v>
      </c>
    </row>
    <row r="4" spans="3:6" ht="31.2" thickTop="1" thickBot="1" x14ac:dyDescent="0.35">
      <c r="C4" s="92"/>
      <c r="D4" s="5" t="s">
        <v>8</v>
      </c>
      <c r="E4" s="3">
        <v>1</v>
      </c>
      <c r="F4" s="61">
        <f>E4/62</f>
        <v>1.6129032258064516E-2</v>
      </c>
    </row>
    <row r="5" spans="3:6" ht="31.2" thickTop="1" thickBot="1" x14ac:dyDescent="0.35">
      <c r="C5" s="92"/>
      <c r="D5" s="5" t="s">
        <v>7</v>
      </c>
      <c r="E5" s="3">
        <v>2</v>
      </c>
      <c r="F5" s="61">
        <f>E5/62</f>
        <v>3.2258064516129031E-2</v>
      </c>
    </row>
    <row r="6" spans="3:6" ht="16.8" thickTop="1" thickBot="1" x14ac:dyDescent="0.35">
      <c r="C6" s="6"/>
      <c r="D6" s="6"/>
      <c r="E6" s="3">
        <v>1</v>
      </c>
      <c r="F6" s="61"/>
    </row>
    <row r="7" spans="3:6" ht="32.4" thickTop="1" thickBot="1" x14ac:dyDescent="0.35">
      <c r="C7" s="7"/>
      <c r="D7" s="7" t="s">
        <v>28</v>
      </c>
      <c r="E7" s="3">
        <v>1</v>
      </c>
      <c r="F7" s="61"/>
    </row>
    <row r="8" spans="3:6" ht="15.6" thickTop="1" thickBot="1" x14ac:dyDescent="0.35">
      <c r="C8" s="2"/>
      <c r="D8" s="2"/>
      <c r="E8" s="3"/>
      <c r="F8" s="61"/>
    </row>
    <row r="9" spans="3:6" ht="15" thickTop="1" x14ac:dyDescent="0.3"/>
  </sheetData>
  <mergeCells count="1">
    <mergeCell ref="C3:C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tabSelected="1" workbookViewId="0">
      <selection activeCell="C13" sqref="C13"/>
    </sheetView>
  </sheetViews>
  <sheetFormatPr defaultRowHeight="30" customHeight="1" thickTop="1" thickBottom="1" x14ac:dyDescent="0.35"/>
  <cols>
    <col min="2" max="2" width="6.21875" customWidth="1"/>
    <col min="3" max="3" width="34.6640625" customWidth="1"/>
    <col min="5" max="5" width="8.88671875" style="61"/>
  </cols>
  <sheetData>
    <row r="1" spans="2:5" ht="30" customHeight="1" thickTop="1" thickBot="1" x14ac:dyDescent="0.35">
      <c r="E1" s="61" t="s">
        <v>136</v>
      </c>
    </row>
    <row r="2" spans="2:5" ht="30" customHeight="1" thickTop="1" thickBot="1" x14ac:dyDescent="0.35">
      <c r="B2" s="3"/>
      <c r="C2" s="6" t="s">
        <v>36</v>
      </c>
      <c r="D2" s="64">
        <v>47</v>
      </c>
      <c r="E2" s="67"/>
    </row>
    <row r="3" spans="2:5" ht="30" customHeight="1" thickTop="1" thickBot="1" x14ac:dyDescent="0.35">
      <c r="B3" s="3"/>
      <c r="C3" s="6" t="s">
        <v>31</v>
      </c>
      <c r="D3" s="64">
        <v>23</v>
      </c>
      <c r="E3" s="67"/>
    </row>
    <row r="4" spans="2:5" ht="30" customHeight="1" thickTop="1" thickBot="1" x14ac:dyDescent="0.35">
      <c r="B4" s="3"/>
      <c r="C4" s="6" t="s">
        <v>38</v>
      </c>
      <c r="D4" s="64">
        <v>16</v>
      </c>
      <c r="E4" s="67"/>
    </row>
    <row r="5" spans="2:5" ht="30" customHeight="1" thickTop="1" thickBot="1" x14ac:dyDescent="0.35">
      <c r="B5" s="3">
        <v>28</v>
      </c>
      <c r="C5" s="6" t="s">
        <v>30</v>
      </c>
      <c r="D5" s="63">
        <v>12</v>
      </c>
      <c r="E5" s="67">
        <f>D5/28</f>
        <v>0.42857142857142855</v>
      </c>
    </row>
    <row r="6" spans="2:5" ht="30" customHeight="1" thickTop="1" thickBot="1" x14ac:dyDescent="0.35">
      <c r="B6" s="3"/>
      <c r="C6" s="6" t="s">
        <v>171</v>
      </c>
      <c r="D6" s="64">
        <v>4</v>
      </c>
      <c r="E6" s="67"/>
    </row>
    <row r="7" spans="2:5" ht="30" customHeight="1" thickTop="1" thickBot="1" x14ac:dyDescent="0.35">
      <c r="B7" s="3"/>
      <c r="C7" s="6" t="s">
        <v>37</v>
      </c>
      <c r="D7" s="65">
        <v>3</v>
      </c>
      <c r="E7" s="67"/>
    </row>
    <row r="8" spans="2:5" ht="30" customHeight="1" thickTop="1" thickBot="1" x14ac:dyDescent="0.35">
      <c r="B8" s="3"/>
      <c r="C8" s="8" t="s">
        <v>40</v>
      </c>
      <c r="D8" s="65">
        <v>3</v>
      </c>
      <c r="E8" s="67"/>
    </row>
    <row r="9" spans="2:5" ht="30" customHeight="1" thickTop="1" thickBot="1" x14ac:dyDescent="0.35">
      <c r="B9" s="3">
        <v>15</v>
      </c>
      <c r="C9" s="6" t="s">
        <v>172</v>
      </c>
      <c r="D9" s="65">
        <v>2</v>
      </c>
      <c r="E9" s="67">
        <f>D9/B9</f>
        <v>0.13333333333333333</v>
      </c>
    </row>
    <row r="10" spans="2:5" ht="30" customHeight="1" thickTop="1" thickBot="1" x14ac:dyDescent="0.35">
      <c r="B10" s="3"/>
      <c r="C10" s="6" t="s">
        <v>33</v>
      </c>
      <c r="D10" s="65">
        <v>2</v>
      </c>
      <c r="E10" s="67"/>
    </row>
    <row r="11" spans="2:5" ht="30" customHeight="1" thickTop="1" thickBot="1" x14ac:dyDescent="0.35">
      <c r="B11" s="3"/>
      <c r="C11" s="6" t="s">
        <v>173</v>
      </c>
      <c r="D11" s="64">
        <v>2</v>
      </c>
      <c r="E11" s="67"/>
    </row>
    <row r="12" spans="2:5" ht="30" customHeight="1" thickTop="1" thickBot="1" x14ac:dyDescent="0.35">
      <c r="B12" s="3">
        <v>3</v>
      </c>
      <c r="C12" s="6" t="s">
        <v>32</v>
      </c>
      <c r="D12" s="64">
        <v>1</v>
      </c>
      <c r="E12" s="67">
        <f>D12/B12</f>
        <v>0.33333333333333331</v>
      </c>
    </row>
    <row r="13" spans="2:5" ht="30" customHeight="1" thickTop="1" thickBot="1" x14ac:dyDescent="0.35">
      <c r="B13" s="3"/>
      <c r="C13" s="6" t="s">
        <v>34</v>
      </c>
      <c r="D13" s="65">
        <v>1</v>
      </c>
      <c r="E13" s="67"/>
    </row>
    <row r="14" spans="2:5" ht="30" customHeight="1" thickTop="1" thickBot="1" x14ac:dyDescent="0.35">
      <c r="B14" s="3"/>
      <c r="C14" s="6" t="s">
        <v>35</v>
      </c>
      <c r="D14" s="64">
        <v>1</v>
      </c>
      <c r="E14" s="67"/>
    </row>
    <row r="15" spans="2:5" ht="30" customHeight="1" thickTop="1" thickBot="1" x14ac:dyDescent="0.35">
      <c r="B15" s="3"/>
      <c r="C15" s="6" t="s">
        <v>39</v>
      </c>
      <c r="D15" s="65">
        <v>1</v>
      </c>
      <c r="E15" s="67"/>
    </row>
    <row r="16" spans="2:5" ht="30" customHeight="1" thickTop="1" thickBot="1" x14ac:dyDescent="0.35">
      <c r="B16" s="3"/>
      <c r="C16" s="3"/>
      <c r="D16" s="62"/>
      <c r="E16" s="66"/>
    </row>
    <row r="17" spans="2:5" ht="30" customHeight="1" thickTop="1" thickBot="1" x14ac:dyDescent="0.35">
      <c r="B17" s="3"/>
      <c r="C17" s="2"/>
      <c r="D17" s="62"/>
      <c r="E17" s="67"/>
    </row>
    <row r="18" spans="2:5" ht="30" customHeight="1" thickTop="1" thickBot="1" x14ac:dyDescent="0.35">
      <c r="C18" s="1"/>
    </row>
    <row r="19" spans="2:5" ht="30" customHeight="1" thickTop="1" thickBot="1" x14ac:dyDescent="0.35">
      <c r="C19" s="1"/>
    </row>
    <row r="20" spans="2:5" ht="30" customHeight="1" thickTop="1" thickBot="1" x14ac:dyDescent="0.35">
      <c r="C20" s="1"/>
    </row>
    <row r="21" spans="2:5" ht="30" customHeight="1" thickTop="1" thickBot="1" x14ac:dyDescent="0.35">
      <c r="C21" s="1"/>
    </row>
    <row r="22" spans="2:5" ht="30" customHeight="1" thickTop="1" thickBot="1" x14ac:dyDescent="0.35">
      <c r="C22" s="1"/>
    </row>
    <row r="23" spans="2:5" ht="30" customHeight="1" thickTop="1" thickBot="1" x14ac:dyDescent="0.35">
      <c r="C23" s="1"/>
    </row>
    <row r="24" spans="2:5" ht="30" customHeight="1" thickTop="1" thickBot="1" x14ac:dyDescent="0.35">
      <c r="C24" s="1"/>
    </row>
    <row r="25" spans="2:5" ht="30" customHeight="1" thickTop="1" thickBot="1" x14ac:dyDescent="0.35">
      <c r="C25" s="1"/>
    </row>
    <row r="26" spans="2:5" ht="30" customHeight="1" thickTop="1" thickBot="1" x14ac:dyDescent="0.35">
      <c r="C26" s="1"/>
    </row>
    <row r="27" spans="2:5" ht="30" customHeight="1" thickTop="1" thickBot="1" x14ac:dyDescent="0.35">
      <c r="C27" s="1"/>
    </row>
  </sheetData>
  <sortState ref="B1:E15">
    <sortCondition descending="1" ref="D1:D15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Sheet1!__DdeLink__741_3099655138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2025-01-06T15:22:53Z</dcterms:created>
  <dcterms:modified xsi:type="dcterms:W3CDTF">2025-06-03T12:48:44Z</dcterms:modified>
</cp:coreProperties>
</file>