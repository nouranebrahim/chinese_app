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yousif_swr\"/>
    </mc:Choice>
  </mc:AlternateContent>
  <bookViews>
    <workbookView xWindow="0" yWindow="0" windowWidth="13296" windowHeight="8220"/>
  </bookViews>
  <sheets>
    <sheet name="Sheet1" sheetId="1" r:id="rId1"/>
    <sheet name="Sheet2" sheetId="2" r:id="rId2"/>
    <sheet name="Sheet3" sheetId="3" r:id="rId3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Sheet1!#REF!</definedName>
    <definedName name="__DdeLink__363_4195966084" localSheetId="0">Sheet1!#REF!</definedName>
    <definedName name="__DdeLink__366_1609274354" localSheetId="0">Sheet1!#REF!</definedName>
    <definedName name="__DdeLink__374_2158327081" localSheetId="0">Sheet1!#REF!</definedName>
    <definedName name="__DdeLink__429_690101127" localSheetId="0">Sheet1!#REF!</definedName>
    <definedName name="__DdeLink__450_690101127" localSheetId="0">Sheet1!#REF!</definedName>
    <definedName name="__DdeLink__454_4201205227" localSheetId="0">Sheet1!#REF!</definedName>
    <definedName name="__DdeLink__461_690101127" localSheetId="0">Sheet1!#REF!</definedName>
    <definedName name="__DdeLink__481_750636418" localSheetId="0">Sheet1!#REF!</definedName>
    <definedName name="__DdeLink__502_3099655138" localSheetId="0">Sheet1!#REF!</definedName>
    <definedName name="__DdeLink__525_3099655138" localSheetId="0">Sheet1!#REF!</definedName>
    <definedName name="__DdeLink__533_4201205227" localSheetId="0">Sheet1!#REF!</definedName>
    <definedName name="__DdeLink__573_3099655138" localSheetId="0">Sheet1!#REF!</definedName>
    <definedName name="__DdeLink__588_3099655138" localSheetId="0">Sheet1!#REF!</definedName>
    <definedName name="__DdeLink__741_3099655138" localSheetId="0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6" i="1" l="1"/>
  <c r="C66" i="1"/>
  <c r="H64" i="1"/>
  <c r="G64" i="1"/>
  <c r="C64" i="1"/>
  <c r="H62" i="1"/>
  <c r="G62" i="1"/>
  <c r="C62" i="1"/>
  <c r="G60" i="1"/>
  <c r="C60" i="1"/>
  <c r="G57" i="1"/>
  <c r="C57" i="1"/>
  <c r="G55" i="1"/>
  <c r="C55" i="1"/>
  <c r="G53" i="1"/>
  <c r="C53" i="1"/>
  <c r="G51" i="1"/>
  <c r="C51" i="1"/>
  <c r="H49" i="1"/>
  <c r="G49" i="1"/>
  <c r="C49" i="1"/>
  <c r="H47" i="1"/>
  <c r="G47" i="1"/>
  <c r="C47" i="1"/>
  <c r="H45" i="1"/>
  <c r="G45" i="1"/>
  <c r="C45" i="1"/>
  <c r="G43" i="1"/>
  <c r="C43" i="1"/>
  <c r="G41" i="1"/>
  <c r="C41" i="1"/>
  <c r="G38" i="1"/>
  <c r="C38" i="1"/>
  <c r="G34" i="1"/>
  <c r="C34" i="1"/>
  <c r="H32" i="1"/>
  <c r="G32" i="1"/>
  <c r="C32" i="1"/>
  <c r="H30" i="1"/>
  <c r="G30" i="1"/>
  <c r="C30" i="1"/>
  <c r="G28" i="1"/>
  <c r="C28" i="1"/>
  <c r="G26" i="1"/>
  <c r="C26" i="1"/>
  <c r="G22" i="1"/>
  <c r="C22" i="1"/>
  <c r="G20" i="1"/>
  <c r="C20" i="1"/>
  <c r="H18" i="1"/>
  <c r="G18" i="1"/>
  <c r="C18" i="1"/>
  <c r="H16" i="1"/>
  <c r="G16" i="1"/>
  <c r="C16" i="1"/>
  <c r="H14" i="1"/>
  <c r="G14" i="1"/>
  <c r="C14" i="1"/>
  <c r="G12" i="1"/>
  <c r="C12" i="1"/>
  <c r="H9" i="1"/>
  <c r="G9" i="1"/>
  <c r="C9" i="1"/>
  <c r="G7" i="1"/>
  <c r="C7" i="1"/>
  <c r="G5" i="1"/>
  <c r="C5" i="1"/>
  <c r="E6" i="2" l="1"/>
  <c r="E4" i="2"/>
  <c r="E5" i="2"/>
  <c r="E3" i="2"/>
  <c r="E2" i="2"/>
  <c r="E10" i="3"/>
  <c r="E8" i="3"/>
  <c r="E4" i="3"/>
  <c r="H2" i="1" l="1"/>
  <c r="H65" i="1"/>
  <c r="H66" i="1" s="1"/>
  <c r="H58" i="1"/>
  <c r="H59" i="1"/>
  <c r="H56" i="1"/>
  <c r="H57" i="1" s="1"/>
  <c r="H54" i="1"/>
  <c r="H55" i="1" s="1"/>
  <c r="H52" i="1"/>
  <c r="H53" i="1" s="1"/>
  <c r="H50" i="1"/>
  <c r="H51" i="1" s="1"/>
  <c r="H42" i="1"/>
  <c r="H43" i="1" s="1"/>
  <c r="H40" i="1"/>
  <c r="H39" i="1"/>
  <c r="H41" i="1" s="1"/>
  <c r="H36" i="1"/>
  <c r="H37" i="1"/>
  <c r="H35" i="1"/>
  <c r="H33" i="1"/>
  <c r="H34" i="1" s="1"/>
  <c r="H27" i="1"/>
  <c r="H28" i="1" s="1"/>
  <c r="H23" i="1"/>
  <c r="H25" i="1"/>
  <c r="H24" i="1"/>
  <c r="H21" i="1"/>
  <c r="H22" i="1" s="1"/>
  <c r="H19" i="1"/>
  <c r="H20" i="1" s="1"/>
  <c r="H10" i="1"/>
  <c r="H11" i="1"/>
  <c r="H6" i="1"/>
  <c r="H7" i="1" s="1"/>
  <c r="H3" i="1"/>
  <c r="H4" i="1"/>
  <c r="H60" i="1" l="1"/>
  <c r="H12" i="1"/>
  <c r="H38" i="1"/>
  <c r="H26" i="1"/>
  <c r="H5" i="1"/>
</calcChain>
</file>

<file path=xl/sharedStrings.xml><?xml version="1.0" encoding="utf-8"?>
<sst xmlns="http://schemas.openxmlformats.org/spreadsheetml/2006/main" count="178" uniqueCount="169">
  <si>
    <t>Vowel  nasalization</t>
  </si>
  <si>
    <r>
      <t>Monophthongization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(phone change by which a diphthong [aw]becomes a monophthong[u:])</t>
    </r>
  </si>
  <si>
    <t xml:space="preserve">Glottalization(substitution of [ʕ] with [ʔ]), </t>
  </si>
  <si>
    <t>substitution of [r] with [ɻ]</t>
  </si>
  <si>
    <t>substitution of [sˤ] with [r]</t>
  </si>
  <si>
    <t>substitution of [l] with [r]</t>
  </si>
  <si>
    <t>substitution of [q] with [g]</t>
  </si>
  <si>
    <t>substitution of [g] with [q]</t>
  </si>
  <si>
    <t>voicing (substitution of[θ] with [ð])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</si>
  <si>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</si>
  <si>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</si>
  <si>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</si>
  <si>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Aspiration ( substitution of [k]with [kʰ]) , </t>
  </si>
  <si>
    <t xml:space="preserve">Aspiration ( substitution of [t]with [tʰ]) </t>
  </si>
  <si>
    <t>substitution of [z]with [t͡s ]</t>
  </si>
  <si>
    <t>devoicing, depharyngealization and deinterdentalization substitution of[ðˤ] with [ s],</t>
  </si>
  <si>
    <t>depharyngealization(substitution of [dˤ] with [d]),</t>
  </si>
  <si>
    <t>Devoicing(substitution of [d͡ʒ] with [t͡ʃ])</t>
  </si>
  <si>
    <t>degemination(reduce consonant cluster to one single consonant)</t>
  </si>
  <si>
    <t>germination</t>
  </si>
  <si>
    <t>substitution of [n] with [d]</t>
  </si>
  <si>
    <t>syllable structure process(final syllable deletion)</t>
  </si>
  <si>
    <t>substitution of [ħ]with [χ]</t>
  </si>
  <si>
    <t>substitution of [h]with [χ]</t>
  </si>
  <si>
    <t>substitution of [ħ]with [h]</t>
  </si>
  <si>
    <t>Epenthesis(insert vowel [ʊ] between  consnant cluster)</t>
  </si>
  <si>
    <t>deaffrication and devoicing(substitution of [d͡ʒ]with [k])</t>
  </si>
  <si>
    <t>substitution of [d] with [z]</t>
  </si>
  <si>
    <t>devoicing(substitution of [d]with [t])</t>
  </si>
  <si>
    <t>devoicing(substitution of [ɣ]with [χ])</t>
  </si>
  <si>
    <t>substitution of [ʕ]with [χ]</t>
  </si>
  <si>
    <t>devoicing(substitution of [b]with [p]), Aspiration ( substitution of [p]with [pʰ]) ,</t>
  </si>
  <si>
    <t>syllable structure process (consonant deletion of  [m] phone)</t>
  </si>
  <si>
    <t>final consonant cluster deletion</t>
  </si>
  <si>
    <t>substitution of [ʔ] with [w]</t>
  </si>
  <si>
    <t>Definite Article deletion</t>
  </si>
  <si>
    <t>insertion of  Definite Article</t>
  </si>
  <si>
    <t>replace the Modern Standard Arabic diphthong [æj]with the colloquial arabic vowel[e:]</t>
  </si>
  <si>
    <t>replace the Modern Standard Arabic diphthong [æw]with the colloquial arabic vowel[o:]</t>
  </si>
  <si>
    <t>replace the Modern Standard Arabic consonant [q]with the colloquial arabic consonant [ʔ]</t>
  </si>
  <si>
    <t>replace the Modern Standard Arabic consonant [d͡ʒ]with the colloquial arabic consonant [g]</t>
  </si>
  <si>
    <t>colloquial Arabic word</t>
  </si>
  <si>
    <t>English word</t>
  </si>
  <si>
    <t>nonsense</t>
  </si>
  <si>
    <t>Deletion of feminine marker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</si>
  <si>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</si>
  <si>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</si>
  <si>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</si>
  <si>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</si>
  <si>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</si>
  <si>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</si>
  <si>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</si>
  <si>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</si>
  <si>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</si>
  <si>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</si>
  <si>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</si>
  <si>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</si>
  <si>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</si>
  <si>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</si>
  <si>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</si>
  <si>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</si>
  <si>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</si>
  <si>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</si>
  <si>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</si>
  <si>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</si>
  <si>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</si>
  <si>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</si>
  <si>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</si>
  <si>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</si>
  <si>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</si>
  <si>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</si>
  <si>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</si>
  <si>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</si>
  <si>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</si>
  <si>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</si>
  <si>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</si>
  <si>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</si>
  <si>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</si>
  <si>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</si>
  <si>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</si>
  <si>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</si>
  <si>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</si>
  <si>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</si>
  <si>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</si>
  <si>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</si>
  <si>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</si>
  <si>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</si>
  <si>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</si>
  <si>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</si>
  <si>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</si>
  <si>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</si>
  <si>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</si>
  <si>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</si>
  <si>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</si>
  <si>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</si>
  <si>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</si>
  <si>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</si>
  <si>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</si>
  <si>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</si>
  <si>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</si>
  <si>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</si>
  <si>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 xml:space="preserve">depharyngealization  (substitution of [tˤ] with [t]) </t>
  </si>
  <si>
    <t>devoicing (substitution of [ð] with [θ])</t>
  </si>
  <si>
    <t xml:space="preserve">devoicing(substitution of [d]with [d̥])  </t>
  </si>
  <si>
    <t>devoicing(substitution of [z]with [s]),</t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</si>
  <si>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</si>
  <si>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 xml:space="preserve">final consonant deletion affected by colloquial arabic </t>
  </si>
  <si>
    <t>syllable structure process (consonant deletion of  [r] phone)</t>
  </si>
  <si>
    <t xml:space="preserve">Gliding(substitution of [ʕ] with [w]), </t>
  </si>
  <si>
    <t xml:space="preserve">stopping(substitution of [m] with [b]), </t>
  </si>
  <si>
    <t>[l]</t>
  </si>
  <si>
    <t>[ɻ]</t>
  </si>
  <si>
    <t>[r]</t>
  </si>
  <si>
    <t>[z]</t>
  </si>
  <si>
    <t>[t͡s]</t>
  </si>
  <si>
    <t>[s]</t>
  </si>
  <si>
    <t>[ð]</t>
  </si>
  <si>
    <t>[θ]</t>
  </si>
  <si>
    <t>[kʰ]</t>
  </si>
  <si>
    <t>[q]</t>
  </si>
  <si>
    <t>[k]</t>
  </si>
  <si>
    <t>[t͡ʃ]</t>
  </si>
  <si>
    <t>[g]</t>
  </si>
  <si>
    <t>[χ]</t>
  </si>
  <si>
    <t>[ʔ]</t>
  </si>
  <si>
    <t>[w]</t>
  </si>
  <si>
    <t>[h]</t>
  </si>
  <si>
    <t>[d]</t>
  </si>
  <si>
    <t>[b]</t>
  </si>
  <si>
    <t>[pʰ]</t>
  </si>
  <si>
    <t>[t]</t>
  </si>
  <si>
    <t>[tʰ]</t>
  </si>
  <si>
    <t>[d̥]</t>
  </si>
  <si>
    <t>[-]</t>
  </si>
  <si>
    <t>letter</t>
  </si>
  <si>
    <t>total</t>
  </si>
  <si>
    <t>arabic letter</t>
  </si>
  <si>
    <t>phonological_processes</t>
  </si>
  <si>
    <t>allpohone</t>
  </si>
  <si>
    <t>number of error</t>
  </si>
  <si>
    <t>percentage</t>
  </si>
  <si>
    <t>r Total</t>
  </si>
  <si>
    <t>l Total</t>
  </si>
  <si>
    <t>s Total</t>
  </si>
  <si>
    <t>z Total</t>
  </si>
  <si>
    <t>sˤ Total</t>
  </si>
  <si>
    <t>θ Total</t>
  </si>
  <si>
    <t>ðˤ Total</t>
  </si>
  <si>
    <t>ð Total</t>
  </si>
  <si>
    <t>k Total</t>
  </si>
  <si>
    <t>g Total</t>
  </si>
  <si>
    <t>q Total</t>
  </si>
  <si>
    <t>ʃ Total</t>
  </si>
  <si>
    <t>χ Total</t>
  </si>
  <si>
    <t>ɣ Total</t>
  </si>
  <si>
    <t>ʕ Total</t>
  </si>
  <si>
    <t>ħ Total</t>
  </si>
  <si>
    <t>h Total</t>
  </si>
  <si>
    <t>ʔ Total</t>
  </si>
  <si>
    <t>f Total</t>
  </si>
  <si>
    <t>n Total</t>
  </si>
  <si>
    <t>m Total</t>
  </si>
  <si>
    <t>b Total</t>
  </si>
  <si>
    <t>tˤ Total</t>
  </si>
  <si>
    <t>t Total</t>
  </si>
  <si>
    <t>d Total</t>
  </si>
  <si>
    <t>dˤ Total</t>
  </si>
  <si>
    <t>w Total</t>
  </si>
  <si>
    <t>j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</si>
</sst>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6"/>
      <color rgb="FFCE181E"/>
      <name val="Arial"/>
      <family val="2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4" fillId="4" borderId="1" xfId="3" applyBorder="1" applyAlignment="1">
      <alignment vertical="center" wrapText="1"/>
    </xf>
    <xf numFmtId="0" fontId="4" fillId="4" borderId="1" xfId="3" applyBorder="1" applyAlignment="1">
      <alignment vertical="center"/>
    </xf>
    <xf numFmtId="0" fontId="11" fillId="4" borderId="1" xfId="3" applyFont="1" applyBorder="1" applyAlignment="1">
      <alignment vertical="center" wrapText="1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3" fillId="3" borderId="1" xfId="2" applyBorder="1" applyAlignment="1">
      <alignment vertical="center" wrapText="1"/>
    </xf>
    <xf numFmtId="0" fontId="3" fillId="3" borderId="1" xfId="2" applyBorder="1" applyAlignment="1">
      <alignment vertical="center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wrapText="1"/>
    </xf>
    <xf numFmtId="0" fontId="2" fillId="2" borderId="1" xfId="1" applyBorder="1"/>
    <xf numFmtId="0" fontId="1" fillId="9" borderId="1" xfId="8" applyBorder="1" applyAlignment="1">
      <alignment wrapText="1"/>
    </xf>
    <xf numFmtId="0" fontId="1" fillId="9" borderId="1" xfId="8" applyBorder="1"/>
    <xf numFmtId="0" fontId="1" fillId="9" borderId="1" xfId="8" applyBorder="1" applyAlignment="1">
      <alignment vertical="center" wrapText="1"/>
    </xf>
    <xf numFmtId="0" fontId="1" fillId="9" borderId="1" xfId="8" applyBorder="1" applyAlignment="1">
      <alignment vertical="center"/>
    </xf>
    <xf numFmtId="0" fontId="3" fillId="3" borderId="1" xfId="2" applyBorder="1" applyAlignment="1">
      <alignment wrapText="1"/>
    </xf>
    <xf numFmtId="0" fontId="3" fillId="3" borderId="1" xfId="2" applyBorder="1"/>
    <xf numFmtId="0" fontId="2" fillId="2" borderId="1" xfId="1" applyBorder="1" applyAlignment="1">
      <alignment vertical="center" wrapText="1"/>
    </xf>
    <xf numFmtId="0" fontId="2" fillId="2" borderId="1" xfId="1" applyBorder="1" applyAlignment="1">
      <alignment vertical="center"/>
    </xf>
    <xf numFmtId="0" fontId="4" fillId="4" borderId="1" xfId="3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1" fillId="9" borderId="1" xfId="8" applyBorder="1" applyAlignment="1">
      <alignment horizontal="center" vertical="center"/>
    </xf>
    <xf numFmtId="0" fontId="11" fillId="3" borderId="1" xfId="2" applyFont="1" applyBorder="1" applyAlignment="1">
      <alignment vertical="center" wrapText="1"/>
    </xf>
    <xf numFmtId="0" fontId="1" fillId="7" borderId="1" xfId="6" applyBorder="1" applyAlignment="1">
      <alignment horizontal="center" vertical="center"/>
    </xf>
    <xf numFmtId="0" fontId="1" fillId="7" borderId="1" xfId="6" applyBorder="1" applyAlignment="1">
      <alignment horizontal="center" vertical="center" wrapText="1" readingOrder="2"/>
    </xf>
    <xf numFmtId="0" fontId="1" fillId="7" borderId="1" xfId="6" applyBorder="1" applyAlignment="1">
      <alignment vertical="center" wrapText="1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horizontal="center" vertical="center"/>
    </xf>
    <xf numFmtId="0" fontId="1" fillId="5" borderId="1" xfId="4" applyBorder="1" applyAlignment="1">
      <alignment horizontal="center" vertical="center" wrapText="1" readingOrder="2"/>
    </xf>
    <xf numFmtId="0" fontId="11" fillId="5" borderId="1" xfId="4" applyFont="1" applyBorder="1" applyAlignment="1">
      <alignment vertical="center" wrapText="1"/>
    </xf>
    <xf numFmtId="0" fontId="1" fillId="5" borderId="1" xfId="4" applyBorder="1" applyAlignment="1">
      <alignment vertical="center"/>
    </xf>
    <xf numFmtId="0" fontId="11" fillId="6" borderId="1" xfId="5" applyFont="1" applyBorder="1" applyAlignment="1">
      <alignment vertical="center" wrapText="1"/>
    </xf>
    <xf numFmtId="0" fontId="1" fillId="6" borderId="1" xfId="5" applyBorder="1" applyAlignment="1">
      <alignment vertical="center"/>
    </xf>
    <xf numFmtId="0" fontId="0" fillId="6" borderId="1" xfId="5" applyFont="1" applyBorder="1" applyAlignment="1">
      <alignment vertical="center" wrapText="1"/>
    </xf>
    <xf numFmtId="0" fontId="1" fillId="8" borderId="1" xfId="7" applyBorder="1" applyAlignment="1">
      <alignment horizontal="center" vertical="center"/>
    </xf>
    <xf numFmtId="0" fontId="1" fillId="8" borderId="1" xfId="7" applyBorder="1" applyAlignment="1">
      <alignment horizontal="center" vertical="center" wrapText="1" readingOrder="2"/>
    </xf>
    <xf numFmtId="0" fontId="1" fillId="8" borderId="1" xfId="7" applyBorder="1" applyAlignment="1">
      <alignment vertical="center" wrapText="1"/>
    </xf>
    <xf numFmtId="0" fontId="1" fillId="8" borderId="1" xfId="7" applyBorder="1" applyAlignment="1">
      <alignment vertical="center"/>
    </xf>
    <xf numFmtId="0" fontId="11" fillId="2" borderId="1" xfId="1" applyFont="1" applyBorder="1" applyAlignment="1">
      <alignment vertical="center" wrapText="1"/>
    </xf>
    <xf numFmtId="0" fontId="0" fillId="7" borderId="1" xfId="6" applyFont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1" fillId="10" borderId="1" xfId="9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0" fillId="11" borderId="1" xfId="0" applyFill="1" applyBorder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0" fontId="0" fillId="0" borderId="1" xfId="0" applyNumberFormat="1" applyBorder="1"/>
    <xf numFmtId="10" fontId="4" fillId="4" borderId="1" xfId="3" applyNumberFormat="1" applyBorder="1" applyAlignment="1">
      <alignment vertical="center"/>
    </xf>
    <xf numFmtId="10" fontId="3" fillId="3" borderId="1" xfId="2" applyNumberFormat="1" applyBorder="1" applyAlignment="1">
      <alignment vertical="center"/>
    </xf>
    <xf numFmtId="10" fontId="2" fillId="2" borderId="1" xfId="1" applyNumberFormat="1" applyBorder="1"/>
    <xf numFmtId="10" fontId="1" fillId="9" borderId="1" xfId="8" applyNumberFormat="1" applyBorder="1"/>
    <xf numFmtId="10" fontId="1" fillId="9" borderId="1" xfId="8" applyNumberFormat="1" applyBorder="1" applyAlignment="1">
      <alignment vertical="center"/>
    </xf>
    <xf numFmtId="10" fontId="3" fillId="3" borderId="1" xfId="2" applyNumberFormat="1" applyBorder="1"/>
    <xf numFmtId="10" fontId="2" fillId="2" borderId="1" xfId="1" applyNumberFormat="1" applyBorder="1" applyAlignment="1">
      <alignment vertical="center"/>
    </xf>
    <xf numFmtId="10" fontId="1" fillId="7" borderId="1" xfId="6" applyNumberFormat="1" applyBorder="1" applyAlignment="1">
      <alignment vertical="center"/>
    </xf>
    <xf numFmtId="10" fontId="1" fillId="5" borderId="1" xfId="4" applyNumberFormat="1" applyBorder="1" applyAlignment="1">
      <alignment vertical="center"/>
    </xf>
    <xf numFmtId="10" fontId="1" fillId="6" borderId="1" xfId="5" applyNumberFormat="1" applyBorder="1" applyAlignment="1">
      <alignment vertical="center"/>
    </xf>
    <xf numFmtId="10" fontId="1" fillId="8" borderId="1" xfId="7" applyNumberFormat="1" applyBorder="1" applyAlignment="1">
      <alignment vertical="center"/>
    </xf>
    <xf numFmtId="10" fontId="1" fillId="10" borderId="1" xfId="9" applyNumberFormat="1" applyBorder="1" applyAlignment="1">
      <alignment vertical="center"/>
    </xf>
    <xf numFmtId="10" fontId="0" fillId="0" borderId="0" xfId="0" applyNumberFormat="1"/>
    <xf numFmtId="0" fontId="0" fillId="9" borderId="1" xfId="8" applyFont="1" applyBorder="1" applyAlignment="1">
      <alignment vertical="center" wrapText="1"/>
    </xf>
    <xf numFmtId="0" fontId="1" fillId="6" borderId="1" xfId="5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 wrapText="1" readingOrder="2"/>
    </xf>
    <xf numFmtId="0" fontId="1" fillId="9" borderId="1" xfId="8" applyBorder="1" applyAlignment="1">
      <alignment horizontal="center" vertical="center" wrapText="1" readingOrder="2"/>
    </xf>
    <xf numFmtId="0" fontId="1" fillId="9" borderId="1" xfId="8" applyBorder="1" applyAlignment="1">
      <alignment horizontal="center" vertical="center"/>
    </xf>
    <xf numFmtId="10" fontId="0" fillId="0" borderId="1" xfId="10" applyNumberFormat="1" applyFont="1" applyBorder="1" applyAlignment="1">
      <alignment horizontal="left"/>
    </xf>
    <xf numFmtId="0" fontId="4" fillId="4" borderId="1" xfId="3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/>
    </xf>
    <xf numFmtId="0" fontId="1" fillId="9" borderId="1" xfId="8" applyBorder="1" applyAlignment="1">
      <alignment horizontal="center" vertical="center" wrapText="1" readingOrder="2"/>
    </xf>
    <xf numFmtId="0" fontId="1" fillId="9" borderId="1" xfId="8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1" fillId="6" borderId="1" xfId="5" applyBorder="1" applyAlignment="1">
      <alignment horizontal="center" vertical="center" wrapText="1" readingOrder="2"/>
    </xf>
    <xf numFmtId="0" fontId="1" fillId="6" borderId="1" xfId="5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10" fontId="14" fillId="0" borderId="1" xfId="0" applyNumberFormat="1" applyFont="1" applyBorder="1" applyAlignment="1">
      <alignment horizontal="center" vertical="center" wrapText="1"/>
    </xf>
    <xf numFmtId="0" fontId="14" fillId="0" borderId="0" xfId="0" applyFont="1"/>
    <xf numFmtId="0" fontId="15" fillId="4" borderId="1" xfId="3" applyFont="1" applyBorder="1" applyAlignment="1">
      <alignment horizontal="center" vertical="center"/>
    </xf>
    <xf numFmtId="0" fontId="16" fillId="3" borderId="1" xfId="2" applyFont="1" applyBorder="1" applyAlignment="1">
      <alignment horizontal="center" vertical="center"/>
    </xf>
    <xf numFmtId="0" fontId="17" fillId="2" borderId="1" xfId="1" applyFont="1" applyBorder="1" applyAlignment="1">
      <alignment horizontal="center" vertical="center"/>
    </xf>
    <xf numFmtId="0" fontId="13" fillId="9" borderId="1" xfId="8" applyFont="1" applyBorder="1" applyAlignment="1">
      <alignment horizontal="center" vertical="center"/>
    </xf>
    <xf numFmtId="0" fontId="13" fillId="7" borderId="1" xfId="6" applyFont="1" applyBorder="1" applyAlignment="1">
      <alignment horizontal="center" vertical="center"/>
    </xf>
    <xf numFmtId="0" fontId="13" fillId="5" borderId="1" xfId="4" applyFont="1" applyBorder="1" applyAlignment="1">
      <alignment horizontal="center" vertical="center"/>
    </xf>
    <xf numFmtId="0" fontId="13" fillId="6" borderId="1" xfId="5" applyFont="1" applyBorder="1" applyAlignment="1">
      <alignment horizontal="center" vertical="center"/>
    </xf>
    <xf numFmtId="0" fontId="13" fillId="8" borderId="1" xfId="7" applyFont="1" applyBorder="1" applyAlignment="1">
      <alignment horizontal="center" vertical="center"/>
    </xf>
  </cellXfs>
  <cellStyles count="11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  <cellStyle name="Percent" xfId="10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[r]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Sheet1!$F$2:$F$4</c:f>
              <c:strCache>
                <c:ptCount val="3"/>
                <c:pt idx="0">
                  <c:v>[l]</c:v>
                </c:pt>
                <c:pt idx="1">
                  <c:v>[ɻ]</c:v>
                </c:pt>
                <c:pt idx="2">
                  <c:v>[-]</c:v>
                </c:pt>
              </c:strCache>
            </c:strRef>
          </c:cat>
          <c:val>
            <c:numRef>
              <c:f>Sheet1!$G$2:$G$4</c:f>
              <c:numCache>
                <c:formatCode>General</c:formatCode>
                <c:ptCount val="3"/>
                <c:pt idx="0">
                  <c:v>9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C-4C2F-A0B5-F154F0FB6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2184192"/>
        <c:axId val="1552099312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Sheet1!$F$2:$F$4</c:f>
              <c:strCache>
                <c:ptCount val="3"/>
                <c:pt idx="0">
                  <c:v>[l]</c:v>
                </c:pt>
                <c:pt idx="1">
                  <c:v>[ɻ]</c:v>
                </c:pt>
                <c:pt idx="2">
                  <c:v>[-]</c:v>
                </c:pt>
              </c:strCache>
            </c:strRef>
          </c:cat>
          <c:val>
            <c:numRef>
              <c:f>Sheet1!$H$2:$H$4</c:f>
              <c:numCache>
                <c:formatCode>0.00%</c:formatCode>
                <c:ptCount val="3"/>
                <c:pt idx="0">
                  <c:v>0.25</c:v>
                </c:pt>
                <c:pt idx="1">
                  <c:v>5.5555555555555552E-2</c:v>
                </c:pt>
                <c:pt idx="2">
                  <c:v>2.7777777777777776E-2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CC-4C2F-A0B5-F154F0FB6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2101808"/>
        <c:axId val="1552098896"/>
      </c:lineChart>
      <c:catAx>
        <c:axId val="155218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099312"/>
        <c:crosses val="autoZero"/>
        <c:auto val="1"/>
        <c:lblAlgn val="ctr"/>
        <c:lblOffset val="100"/>
        <c:noMultiLvlLbl val="0"/>
      </c:catAx>
      <c:valAx>
        <c:axId val="155209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184192"/>
        <c:crosses val="autoZero"/>
        <c:crossBetween val="between"/>
      </c:valAx>
      <c:valAx>
        <c:axId val="155209889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101808"/>
        <c:crosses val="max"/>
        <c:crossBetween val="between"/>
      </c:valAx>
      <c:catAx>
        <c:axId val="1552101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5209889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[l]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</c:f>
              <c:strCache>
                <c:ptCount val="1"/>
                <c:pt idx="0">
                  <c:v>[r]</c:v>
                </c:pt>
              </c:strCache>
            </c:strRef>
          </c:cat>
          <c:val>
            <c:numRef>
              <c:f>Sheet1!$G$6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4-4F28-B68D-DCEA1A66783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Sheet1!$F$6</c:f>
              <c:strCache>
                <c:ptCount val="1"/>
                <c:pt idx="0">
                  <c:v>[r]</c:v>
                </c:pt>
              </c:strCache>
            </c:strRef>
          </c:cat>
          <c:val>
            <c:numRef>
              <c:f>Sheet1!$H$6</c:f>
              <c:numCache>
                <c:formatCode>0.00%</c:formatCode>
                <c:ptCount val="1"/>
                <c:pt idx="0">
                  <c:v>1.6393442622950821E-2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A4-4F28-B68D-DCEA1A667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2102224"/>
        <c:axId val="1300125888"/>
      </c:barChart>
      <c:catAx>
        <c:axId val="155210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25888"/>
        <c:crosses val="autoZero"/>
        <c:auto val="1"/>
        <c:lblAlgn val="ctr"/>
        <c:lblOffset val="100"/>
        <c:noMultiLvlLbl val="0"/>
      </c:catAx>
      <c:valAx>
        <c:axId val="130012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1022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[z]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Sheet1!$F$10:$F$11</c:f>
              <c:strCache>
                <c:ptCount val="2"/>
                <c:pt idx="0">
                  <c:v>[s]</c:v>
                </c:pt>
                <c:pt idx="1">
                  <c:v>[t͡s]</c:v>
                </c:pt>
              </c:strCache>
            </c:strRef>
          </c:cat>
          <c:val>
            <c:numRef>
              <c:f>Sheet1!$G$10:$G$11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D-48D3-8A52-0182FBB1D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4266864"/>
        <c:axId val="1564276848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Sheet1!$F$10:$F$11</c:f>
              <c:strCache>
                <c:ptCount val="2"/>
                <c:pt idx="0">
                  <c:v>[s]</c:v>
                </c:pt>
                <c:pt idx="1">
                  <c:v>[t͡s]</c:v>
                </c:pt>
              </c:strCache>
            </c:strRef>
          </c:cat>
          <c:val>
            <c:numRef>
              <c:f>Sheet1!$H$10:$H$11</c:f>
              <c:numCache>
                <c:formatCode>0.00%</c:formatCode>
                <c:ptCount val="2"/>
                <c:pt idx="0">
                  <c:v>0.2</c:v>
                </c:pt>
                <c:pt idx="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7D-48D3-8A52-0182FBB1D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4266864"/>
        <c:axId val="1564276848"/>
      </c:lineChart>
      <c:catAx>
        <c:axId val="156426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276848"/>
        <c:crosses val="autoZero"/>
        <c:auto val="1"/>
        <c:lblAlgn val="ctr"/>
        <c:lblOffset val="100"/>
        <c:noMultiLvlLbl val="0"/>
      </c:catAx>
      <c:valAx>
        <c:axId val="156427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2668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[ð]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Sheet1!$F$19</c:f>
              <c:strCache>
                <c:ptCount val="1"/>
                <c:pt idx="0">
                  <c:v>[θ]</c:v>
                </c:pt>
              </c:strCache>
            </c:strRef>
          </c:cat>
          <c:val>
            <c:numRef>
              <c:f>Sheet1!$G$19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51-48CD-9A01-2A8625EE5F1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Sheet1!$F$19</c:f>
              <c:strCache>
                <c:ptCount val="1"/>
                <c:pt idx="0">
                  <c:v>[θ]</c:v>
                </c:pt>
              </c:strCache>
            </c:strRef>
          </c:cat>
          <c:val>
            <c:numRef>
              <c:f>Sheet1!$H$19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51-48CD-9A01-2A8625EE5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4265200"/>
        <c:axId val="1564268944"/>
      </c:barChart>
      <c:catAx>
        <c:axId val="156426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268944"/>
        <c:crosses val="autoZero"/>
        <c:auto val="1"/>
        <c:lblAlgn val="ctr"/>
        <c:lblOffset val="100"/>
        <c:noMultiLvlLbl val="0"/>
      </c:catAx>
      <c:valAx>
        <c:axId val="156426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2652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[k]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Sheet1!$F$21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Sheet1!$G$21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F2-4514-9BC4-8DDDC7C5B80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Sheet1!$F$21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Sheet1!$H$21</c:f>
              <c:numCache>
                <c:formatCode>0.00%</c:formatCode>
                <c:ptCount val="1"/>
                <c:pt idx="0">
                  <c:v>0.45454545454545453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F2-4514-9BC4-8DDDC7C5B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4271856"/>
        <c:axId val="1564274352"/>
      </c:barChart>
      <c:catAx>
        <c:axId val="156427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274352"/>
        <c:crosses val="autoZero"/>
        <c:auto val="1"/>
        <c:lblAlgn val="ctr"/>
        <c:lblOffset val="100"/>
        <c:noMultiLvlLbl val="0"/>
      </c:catAx>
      <c:valAx>
        <c:axId val="156427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2718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[d͡ʒ]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Sheet1!$F$23:$F$25</c:f>
              <c:strCache>
                <c:ptCount val="3"/>
                <c:pt idx="0">
                  <c:v>[k]</c:v>
                </c:pt>
                <c:pt idx="1">
                  <c:v>[q]</c:v>
                </c:pt>
                <c:pt idx="2">
                  <c:v>[t͡ʃ]</c:v>
                </c:pt>
              </c:strCache>
            </c:strRef>
          </c:cat>
          <c:val>
            <c:numRef>
              <c:f>Sheet1!$G$23:$G$25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5-44AB-B120-D005B5645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350271"/>
        <c:axId val="1101347359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Sheet1!$F$23:$F$25</c:f>
              <c:strCache>
                <c:ptCount val="3"/>
                <c:pt idx="0">
                  <c:v>[k]</c:v>
                </c:pt>
                <c:pt idx="1">
                  <c:v>[q]</c:v>
                </c:pt>
                <c:pt idx="2">
                  <c:v>[t͡ʃ]</c:v>
                </c:pt>
              </c:strCache>
            </c:strRef>
          </c:cat>
          <c:val>
            <c:numRef>
              <c:f>Sheet1!$H$23:$H$25</c:f>
              <c:numCache>
                <c:formatCode>0.00%</c:formatCode>
                <c:ptCount val="3"/>
                <c:pt idx="0">
                  <c:v>0.16666666666666666</c:v>
                </c:pt>
                <c:pt idx="1">
                  <c:v>8.3333333333333329E-2</c:v>
                </c:pt>
                <c:pt idx="2">
                  <c:v>8.3333333333333329E-2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E5-44AB-B120-D005B5645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1350687"/>
        <c:axId val="1101348191"/>
      </c:lineChart>
      <c:catAx>
        <c:axId val="110135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347359"/>
        <c:crosses val="autoZero"/>
        <c:auto val="1"/>
        <c:lblAlgn val="ctr"/>
        <c:lblOffset val="100"/>
        <c:noMultiLvlLbl val="0"/>
      </c:catAx>
      <c:valAx>
        <c:axId val="110134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350271"/>
        <c:crosses val="autoZero"/>
        <c:crossBetween val="between"/>
      </c:valAx>
      <c:valAx>
        <c:axId val="110134819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350687"/>
        <c:crosses val="max"/>
        <c:crossBetween val="between"/>
      </c:valAx>
      <c:catAx>
        <c:axId val="11013506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134819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[q]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Sheet1!$F$27</c:f>
              <c:strCache>
                <c:ptCount val="1"/>
                <c:pt idx="0">
                  <c:v>[g]</c:v>
                </c:pt>
              </c:strCache>
            </c:strRef>
          </c:cat>
          <c:val>
            <c:numRef>
              <c:f>Sheet1!$G$27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5-47E9-B02F-2313B292147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Sheet1!$F$27</c:f>
              <c:strCache>
                <c:ptCount val="1"/>
                <c:pt idx="0">
                  <c:v>[g]</c:v>
                </c:pt>
              </c:strCache>
            </c:strRef>
          </c:cat>
          <c:val>
            <c:numRef>
              <c:f>Sheet1!$H$27</c:f>
              <c:numCache>
                <c:formatCode>0.00%</c:formatCode>
                <c:ptCount val="1"/>
                <c:pt idx="0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55-47E9-B02F-2313B2921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346527"/>
        <c:axId val="1101347775"/>
      </c:barChart>
      <c:catAx>
        <c:axId val="110134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347775"/>
        <c:crosses val="autoZero"/>
        <c:auto val="1"/>
        <c:lblAlgn val="ctr"/>
        <c:lblOffset val="100"/>
        <c:noMultiLvlLbl val="0"/>
      </c:catAx>
      <c:valAx>
        <c:axId val="110134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3465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[ɣ]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Sheet1!$F$33</c:f>
              <c:strCache>
                <c:ptCount val="1"/>
                <c:pt idx="0">
                  <c:v>[χ]</c:v>
                </c:pt>
              </c:strCache>
            </c:strRef>
          </c:cat>
          <c:val>
            <c:numRef>
              <c:f>Sheet1!$G$33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B-498B-A101-F3050B00F77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Sheet1!$F$33</c:f>
              <c:strCache>
                <c:ptCount val="1"/>
                <c:pt idx="0">
                  <c:v>[χ]</c:v>
                </c:pt>
              </c:strCache>
            </c:strRef>
          </c:cat>
          <c:val>
            <c:numRef>
              <c:f>Sheet1!$H$33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DB-498B-A101-F3050B00F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3271871"/>
        <c:axId val="883264383"/>
      </c:barChart>
      <c:catAx>
        <c:axId val="88327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264383"/>
        <c:crosses val="autoZero"/>
        <c:auto val="1"/>
        <c:lblAlgn val="ctr"/>
        <c:lblOffset val="100"/>
        <c:noMultiLvlLbl val="0"/>
      </c:catAx>
      <c:valAx>
        <c:axId val="88326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2718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[ʕ]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Sheet1!$F$35:$F$37</c:f>
              <c:strCache>
                <c:ptCount val="3"/>
                <c:pt idx="0">
                  <c:v>[ʔ]</c:v>
                </c:pt>
                <c:pt idx="1">
                  <c:v>[χ]</c:v>
                </c:pt>
                <c:pt idx="2">
                  <c:v>[w]</c:v>
                </c:pt>
              </c:strCache>
            </c:strRef>
          </c:cat>
          <c:val>
            <c:numRef>
              <c:f>Sheet1!$G$35:$G$37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2-4CE7-A456-EB07AEFF0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0460207"/>
        <c:axId val="111045771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Sheet1!$F$35:$F$37</c:f>
              <c:strCache>
                <c:ptCount val="3"/>
                <c:pt idx="0">
                  <c:v>[ʔ]</c:v>
                </c:pt>
                <c:pt idx="1">
                  <c:v>[χ]</c:v>
                </c:pt>
                <c:pt idx="2">
                  <c:v>[w]</c:v>
                </c:pt>
              </c:strCache>
            </c:strRef>
          </c:cat>
          <c:val>
            <c:numRef>
              <c:f>Sheet1!$H$35:$H$37</c:f>
              <c:numCache>
                <c:formatCode>0.00%</c:formatCode>
                <c:ptCount val="3"/>
                <c:pt idx="0">
                  <c:v>0.17241379310344829</c:v>
                </c:pt>
                <c:pt idx="1">
                  <c:v>0.10344827586206896</c:v>
                </c:pt>
                <c:pt idx="2">
                  <c:v>3.4482758620689655E-2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32-4CE7-A456-EB07AEFF0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463535"/>
        <c:axId val="1110458543"/>
      </c:lineChart>
      <c:catAx>
        <c:axId val="111046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457711"/>
        <c:crosses val="autoZero"/>
        <c:auto val="1"/>
        <c:lblAlgn val="ctr"/>
        <c:lblOffset val="100"/>
        <c:noMultiLvlLbl val="0"/>
      </c:catAx>
      <c:valAx>
        <c:axId val="111045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460207"/>
        <c:crosses val="autoZero"/>
        <c:crossBetween val="between"/>
      </c:valAx>
      <c:valAx>
        <c:axId val="111045854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463535"/>
        <c:crosses val="max"/>
        <c:crossBetween val="between"/>
      </c:valAx>
      <c:catAx>
        <c:axId val="11104635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1045854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[ħ]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Sheet1!$F$39:$F$40</c:f>
              <c:strCache>
                <c:ptCount val="2"/>
                <c:pt idx="0">
                  <c:v>[χ]</c:v>
                </c:pt>
                <c:pt idx="1">
                  <c:v>[h]</c:v>
                </c:pt>
              </c:strCache>
            </c:strRef>
          </c:cat>
          <c:val>
            <c:numRef>
              <c:f>Sheet1!$G$39:$G$40</c:f>
              <c:numCache>
                <c:formatCode>General</c:formatCode>
                <c:ptCount val="2"/>
                <c:pt idx="0">
                  <c:v>11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10-4A42-A4B7-B4F11B454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0460623"/>
        <c:axId val="111046478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Sheet1!$F$39:$F$40</c:f>
              <c:strCache>
                <c:ptCount val="2"/>
                <c:pt idx="0">
                  <c:v>[χ]</c:v>
                </c:pt>
                <c:pt idx="1">
                  <c:v>[h]</c:v>
                </c:pt>
              </c:strCache>
            </c:strRef>
          </c:cat>
          <c:val>
            <c:numRef>
              <c:f>Sheet1!$H$39:$H$40</c:f>
              <c:numCache>
                <c:formatCode>0.00%</c:formatCode>
                <c:ptCount val="2"/>
                <c:pt idx="0">
                  <c:v>0.52380952380952384</c:v>
                </c:pt>
                <c:pt idx="1">
                  <c:v>0.42857142857142855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10-4A42-A4B7-B4F11B454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458127"/>
        <c:axId val="1110465199"/>
      </c:lineChart>
      <c:catAx>
        <c:axId val="111046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464783"/>
        <c:crosses val="autoZero"/>
        <c:auto val="1"/>
        <c:lblAlgn val="ctr"/>
        <c:lblOffset val="100"/>
        <c:noMultiLvlLbl val="0"/>
      </c:catAx>
      <c:valAx>
        <c:axId val="111046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460623"/>
        <c:crosses val="autoZero"/>
        <c:crossBetween val="between"/>
      </c:valAx>
      <c:valAx>
        <c:axId val="1110465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458127"/>
        <c:crosses val="max"/>
        <c:crossBetween val="between"/>
      </c:valAx>
      <c:catAx>
        <c:axId val="11104581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1046519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[h]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Sheet1!$F$42</c:f>
              <c:strCache>
                <c:ptCount val="1"/>
                <c:pt idx="0">
                  <c:v>[χ]</c:v>
                </c:pt>
              </c:strCache>
            </c:strRef>
          </c:cat>
          <c:val>
            <c:numRef>
              <c:f>Sheet1!$G$42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8-4872-BE4E-2D39140BB2B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Sheet1!$F$42</c:f>
              <c:strCache>
                <c:ptCount val="1"/>
                <c:pt idx="0">
                  <c:v>[χ]</c:v>
                </c:pt>
              </c:strCache>
            </c:strRef>
          </c:cat>
          <c:val>
            <c:numRef>
              <c:f>Sheet1!$H$42</c:f>
              <c:numCache>
                <c:formatCode>0.00%</c:formatCode>
                <c:ptCount val="1"/>
                <c:pt idx="0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D8-4872-BE4E-2D39140BB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490799"/>
        <c:axId val="1168478319"/>
      </c:barChart>
      <c:catAx>
        <c:axId val="116849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478319"/>
        <c:crosses val="autoZero"/>
        <c:auto val="1"/>
        <c:lblAlgn val="ctr"/>
        <c:lblOffset val="100"/>
        <c:noMultiLvlLbl val="0"/>
      </c:catAx>
      <c:valAx>
        <c:axId val="116847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4907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[m]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Sheet1!$F$50</c:f>
              <c:strCache>
                <c:ptCount val="1"/>
                <c:pt idx="0">
                  <c:v>[b]</c:v>
                </c:pt>
              </c:strCache>
            </c:strRef>
          </c:cat>
          <c:val>
            <c:numRef>
              <c:f>Sheet1!$G$50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1-48F8-928E-4B8606D979E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Sheet1!$F$50</c:f>
              <c:strCache>
                <c:ptCount val="1"/>
                <c:pt idx="0">
                  <c:v>[b]</c:v>
                </c:pt>
              </c:strCache>
            </c:strRef>
          </c:cat>
          <c:val>
            <c:numRef>
              <c:f>Sheet1!$H$50</c:f>
              <c:numCache>
                <c:formatCode>0.00%</c:formatCode>
                <c:ptCount val="1"/>
                <c:pt idx="0">
                  <c:v>2.2222222222222223E-2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11-48F8-928E-4B8606D97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7697679"/>
        <c:axId val="1007694351"/>
      </c:barChart>
      <c:catAx>
        <c:axId val="100769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694351"/>
        <c:crosses val="autoZero"/>
        <c:auto val="1"/>
        <c:lblAlgn val="ctr"/>
        <c:lblOffset val="100"/>
        <c:noMultiLvlLbl val="0"/>
      </c:catAx>
      <c:valAx>
        <c:axId val="100769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6976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[b]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Sheet1!$F$52</c:f>
              <c:strCache>
                <c:ptCount val="1"/>
                <c:pt idx="0">
                  <c:v>[pʰ]</c:v>
                </c:pt>
              </c:strCache>
            </c:strRef>
          </c:cat>
          <c:val>
            <c:numRef>
              <c:f>Sheet1!$G$52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E-4FC9-8AAE-457EFDC90BE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Sheet1!$F$52</c:f>
              <c:strCache>
                <c:ptCount val="1"/>
                <c:pt idx="0">
                  <c:v>[pʰ]</c:v>
                </c:pt>
              </c:strCache>
            </c:strRef>
          </c:cat>
          <c:val>
            <c:numRef>
              <c:f>Sheet1!$H$52</c:f>
              <c:numCache>
                <c:formatCode>0.00%</c:formatCode>
                <c:ptCount val="1"/>
                <c:pt idx="0">
                  <c:v>8.2191780821917804E-2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1E-4FC9-8AAE-457EFDC90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484975"/>
        <c:axId val="1168485391"/>
      </c:barChart>
      <c:catAx>
        <c:axId val="116848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485391"/>
        <c:crosses val="autoZero"/>
        <c:auto val="1"/>
        <c:lblAlgn val="ctr"/>
        <c:lblOffset val="100"/>
        <c:noMultiLvlLbl val="0"/>
      </c:catAx>
      <c:valAx>
        <c:axId val="116848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4849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Sheet1!$F$54</c:f>
              <c:strCache>
                <c:ptCount val="1"/>
                <c:pt idx="0">
                  <c:v>[t]</c:v>
                </c:pt>
              </c:strCache>
            </c:strRef>
          </c:cat>
          <c:val>
            <c:numRef>
              <c:f>Sheet1!$G$54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E4-46F9-90D4-1A1F8C89988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Sheet1!$F$54</c:f>
              <c:strCache>
                <c:ptCount val="1"/>
                <c:pt idx="0">
                  <c:v>[t]</c:v>
                </c:pt>
              </c:strCache>
            </c:strRef>
          </c:cat>
          <c:val>
            <c:numRef>
              <c:f>Sheet1!$H$54</c:f>
              <c:numCache>
                <c:formatCode>0.00%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E4-46F9-90D4-1A1F8C899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492879"/>
        <c:axId val="1168480399"/>
      </c:barChart>
      <c:catAx>
        <c:axId val="116849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480399"/>
        <c:crosses val="autoZero"/>
        <c:auto val="1"/>
        <c:lblAlgn val="ctr"/>
        <c:lblOffset val="100"/>
        <c:noMultiLvlLbl val="0"/>
      </c:catAx>
      <c:valAx>
        <c:axId val="116848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4928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Sheet1!$F$56</c:f>
              <c:strCache>
                <c:ptCount val="1"/>
                <c:pt idx="0">
                  <c:v>[tʰ]</c:v>
                </c:pt>
              </c:strCache>
            </c:strRef>
          </c:cat>
          <c:val>
            <c:numRef>
              <c:f>Sheet1!$G$56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C7-4993-99FA-CC9BFB36A98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Sheet1!$F$56</c:f>
              <c:strCache>
                <c:ptCount val="1"/>
                <c:pt idx="0">
                  <c:v>[tʰ]</c:v>
                </c:pt>
              </c:strCache>
            </c:strRef>
          </c:cat>
          <c:val>
            <c:numRef>
              <c:f>Sheet1!$H$56</c:f>
              <c:numCache>
                <c:formatCode>0.00%</c:formatCode>
                <c:ptCount val="1"/>
                <c:pt idx="0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C7-4993-99FA-CC9BFB36A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5422335"/>
        <c:axId val="1015425247"/>
      </c:barChart>
      <c:catAx>
        <c:axId val="101542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425247"/>
        <c:crosses val="autoZero"/>
        <c:auto val="1"/>
        <c:lblAlgn val="ctr"/>
        <c:lblOffset val="100"/>
        <c:noMultiLvlLbl val="0"/>
      </c:catAx>
      <c:valAx>
        <c:axId val="101542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4223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Sheet1!$F$58:$F$59</c:f>
              <c:strCache>
                <c:ptCount val="2"/>
                <c:pt idx="0">
                  <c:v>[d̥]</c:v>
                </c:pt>
                <c:pt idx="1">
                  <c:v>[t]</c:v>
                </c:pt>
              </c:strCache>
            </c:strRef>
          </c:cat>
          <c:val>
            <c:numRef>
              <c:f>Sheet1!$G$58:$G$59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9-4287-B58A-F56E65E39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947167"/>
        <c:axId val="100194300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Sheet1!$F$58:$F$59</c:f>
              <c:strCache>
                <c:ptCount val="2"/>
                <c:pt idx="0">
                  <c:v>[d̥]</c:v>
                </c:pt>
                <c:pt idx="1">
                  <c:v>[t]</c:v>
                </c:pt>
              </c:strCache>
            </c:strRef>
          </c:cat>
          <c:val>
            <c:numRef>
              <c:f>Sheet1!$H$58:$H$59</c:f>
              <c:numCache>
                <c:formatCode>0.00%</c:formatCode>
                <c:ptCount val="2"/>
                <c:pt idx="0">
                  <c:v>8.5106382978723402E-2</c:v>
                </c:pt>
                <c:pt idx="1">
                  <c:v>2.1276595744680851E-2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19-4287-B58A-F56E65E39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943423"/>
        <c:axId val="1001950495"/>
      </c:lineChart>
      <c:catAx>
        <c:axId val="10019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943007"/>
        <c:crosses val="autoZero"/>
        <c:auto val="1"/>
        <c:lblAlgn val="ctr"/>
        <c:lblOffset val="100"/>
        <c:noMultiLvlLbl val="0"/>
      </c:catAx>
      <c:valAx>
        <c:axId val="100194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947167"/>
        <c:crosses val="autoZero"/>
        <c:crossBetween val="between"/>
      </c:valAx>
      <c:valAx>
        <c:axId val="100195049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943423"/>
        <c:crosses val="max"/>
        <c:crossBetween val="between"/>
      </c:valAx>
      <c:catAx>
        <c:axId val="10019434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195049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[j]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Sheet1!$F$65</c:f>
              <c:strCache>
                <c:ptCount val="1"/>
                <c:pt idx="0">
                  <c:v>[-]</c:v>
                </c:pt>
              </c:strCache>
            </c:strRef>
          </c:cat>
          <c:val>
            <c:numRef>
              <c:f>Sheet1!$G$65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68-4AF7-885A-DFE7BA7895E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Sheet1!$F$65</c:f>
              <c:strCache>
                <c:ptCount val="1"/>
                <c:pt idx="0">
                  <c:v>[-]</c:v>
                </c:pt>
              </c:strCache>
            </c:strRef>
          </c:cat>
          <c:val>
            <c:numRef>
              <c:f>Sheet1!$H$65</c:f>
              <c:numCache>
                <c:formatCode>0.00%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68-4AF7-885A-DFE7BA789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944255"/>
        <c:axId val="1001948831"/>
      </c:barChart>
      <c:catAx>
        <c:axId val="100194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948831"/>
        <c:crosses val="autoZero"/>
        <c:auto val="1"/>
        <c:lblAlgn val="ctr"/>
        <c:lblOffset val="100"/>
        <c:noMultiLvlLbl val="0"/>
      </c:catAx>
      <c:valAx>
        <c:axId val="100194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9442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SYLLABLE</a:t>
            </a:r>
            <a:r>
              <a:rPr lang="en-US" baseline="0"/>
              <a:t> STRUCTURE PROCESSES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Sheet2!$C$2:$C$11</c:f>
              <c:strCache>
                <c:ptCount val="10"/>
                <c:pt idx="0">
                  <c:v>degemination(reduce consonant cluster to one single consonant)</c:v>
                </c:pt>
                <c:pt idx="1">
                  <c:v>Epenthesis(insert vowel [ʊ] between  consnant cluster)</c:v>
                </c:pt>
                <c:pt idx="2">
                  <c:v>Epenthesis(insertion of [ ɑ] phone between consonant cluster)</c:v>
                </c:pt>
                <c:pt idx="3">
                  <c:v>Epenthesis(insertion of [ æ] phone between consonant cluster)</c:v>
                </c:pt>
                <c:pt idx="4">
                  <c:v>Epenthesis(insertion of [ɪ] phone between consonant cluster)</c:v>
                </c:pt>
                <c:pt idx="5">
                  <c:v>final consonant cluster deletion</c:v>
                </c:pt>
                <c:pt idx="6">
                  <c:v>syllable structure process(final syllable deletion)</c:v>
                </c:pt>
                <c:pt idx="7">
                  <c:v>germination</c:v>
                </c:pt>
                <c:pt idx="8">
                  <c:v>Monophthongization (phone change by which a diphthong [aw]becomes a monophthong[u:])</c:v>
                </c:pt>
                <c:pt idx="9">
                  <c:v>Vowel  nasalization</c:v>
                </c:pt>
              </c:strCache>
            </c:strRef>
          </c:cat>
          <c:val>
            <c:numRef>
              <c:f>Sheet2!$D$2:$D$11</c:f>
              <c:numCache>
                <c:formatCode>General</c:formatCode>
                <c:ptCount val="10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A1-4949-92E9-E9AAA773B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5419839"/>
        <c:axId val="1015425663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3A1-4949-92E9-E9AAA773B539}"/>
              </c:ext>
            </c:extLst>
          </c:dPt>
          <c:cat>
            <c:strRef>
              <c:f>Sheet2!$C$2:$C$11</c:f>
              <c:strCache>
                <c:ptCount val="10"/>
                <c:pt idx="0">
                  <c:v>degemination(reduce consonant cluster to one single consonant)</c:v>
                </c:pt>
                <c:pt idx="1">
                  <c:v>Epenthesis(insert vowel [ʊ] between  consnant cluster)</c:v>
                </c:pt>
                <c:pt idx="2">
                  <c:v>Epenthesis(insertion of [ ɑ] phone between consonant cluster)</c:v>
                </c:pt>
                <c:pt idx="3">
                  <c:v>Epenthesis(insertion of [ æ] phone between consonant cluster)</c:v>
                </c:pt>
                <c:pt idx="4">
                  <c:v>Epenthesis(insertion of [ɪ] phone between consonant cluster)</c:v>
                </c:pt>
                <c:pt idx="5">
                  <c:v>final consonant cluster deletion</c:v>
                </c:pt>
                <c:pt idx="6">
                  <c:v>syllable structure process(final syllable deletion)</c:v>
                </c:pt>
                <c:pt idx="7">
                  <c:v>germination</c:v>
                </c:pt>
                <c:pt idx="8">
                  <c:v>Monophthongization (phone change by which a diphthong [aw]becomes a monophthong[u:])</c:v>
                </c:pt>
                <c:pt idx="9">
                  <c:v>Vowel  nasalization</c:v>
                </c:pt>
              </c:strCache>
            </c:strRef>
          </c:cat>
          <c:val>
            <c:numRef>
              <c:f>Sheet2!$E$2:$E$11</c:f>
              <c:numCache>
                <c:formatCode>0.00%</c:formatCode>
                <c:ptCount val="10"/>
                <c:pt idx="0">
                  <c:v>0.17391304347826086</c:v>
                </c:pt>
                <c:pt idx="1">
                  <c:v>1.3698630136986301E-2</c:v>
                </c:pt>
                <c:pt idx="2">
                  <c:v>2.7397260273972601E-2</c:v>
                </c:pt>
                <c:pt idx="3">
                  <c:v>2.7397260273972601E-2</c:v>
                </c:pt>
                <c:pt idx="4">
                  <c:v>2.7397260273972601E-2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A1-4949-92E9-E9AAA773B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949663"/>
        <c:axId val="1001946751"/>
      </c:lineChart>
      <c:catAx>
        <c:axId val="101541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425663"/>
        <c:crosses val="autoZero"/>
        <c:auto val="1"/>
        <c:lblAlgn val="ctr"/>
        <c:lblOffset val="100"/>
        <c:noMultiLvlLbl val="0"/>
      </c:catAx>
      <c:valAx>
        <c:axId val="101542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419839"/>
        <c:crosses val="autoZero"/>
        <c:crossBetween val="between"/>
      </c:valAx>
      <c:valAx>
        <c:axId val="1001946751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1001949663"/>
        <c:crosses val="max"/>
        <c:crossBetween val="between"/>
      </c:valAx>
      <c:catAx>
        <c:axId val="10019496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194675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Sheet3!$C$2:$C$12</c:f>
              <c:strCache>
                <c:ptCount val="11"/>
                <c:pt idx="0">
                  <c:v>colloquial Arabic word</c:v>
                </c:pt>
                <c:pt idx="1">
                  <c:v>English word</c:v>
                </c:pt>
                <c:pt idx="2">
                  <c:v>Definite Article deletion</c:v>
                </c:pt>
                <c:pt idx="3">
                  <c:v>replace the Modern Standard Arabic consonant [d͡ʒ]with the colloquial arabic consonant [g]</c:v>
                </c:pt>
                <c:pt idx="4">
                  <c:v>replace the Modern Standard Arabic consonant [q]with the colloquial arabic consonant [ʔ]</c:v>
                </c:pt>
                <c:pt idx="5">
                  <c:v>Deletion of feminine marker</c:v>
                </c:pt>
                <c:pt idx="6">
                  <c:v>replace the Modern Standard Arabic diphthong [æw]with the colloquial arabic vowel[o:]</c:v>
                </c:pt>
                <c:pt idx="7">
                  <c:v>insertion of  Definite Article</c:v>
                </c:pt>
                <c:pt idx="8">
                  <c:v>replace the Modern Standard Arabic diphthong [æj]with the colloquial arabic vowel[e:]</c:v>
                </c:pt>
                <c:pt idx="9">
                  <c:v>final consonant deletion affected by colloquial arabic </c:v>
                </c:pt>
                <c:pt idx="10">
                  <c:v>nonsense</c:v>
                </c:pt>
              </c:strCache>
            </c:strRef>
          </c:cat>
          <c:val>
            <c:numRef>
              <c:f>Sheet3!$D$2:$D$12</c:f>
              <c:numCache>
                <c:formatCode>General</c:formatCode>
                <c:ptCount val="11"/>
                <c:pt idx="0">
                  <c:v>35</c:v>
                </c:pt>
                <c:pt idx="1">
                  <c:v>9</c:v>
                </c:pt>
                <c:pt idx="2">
                  <c:v>6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6-4A28-B66D-F79F4EA5F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5421919"/>
        <c:axId val="1015419423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Sheet3!$C$2:$C$12</c:f>
              <c:strCache>
                <c:ptCount val="11"/>
                <c:pt idx="0">
                  <c:v>colloquial Arabic word</c:v>
                </c:pt>
                <c:pt idx="1">
                  <c:v>English word</c:v>
                </c:pt>
                <c:pt idx="2">
                  <c:v>Definite Article deletion</c:v>
                </c:pt>
                <c:pt idx="3">
                  <c:v>replace the Modern Standard Arabic consonant [d͡ʒ]with the colloquial arabic consonant [g]</c:v>
                </c:pt>
                <c:pt idx="4">
                  <c:v>replace the Modern Standard Arabic consonant [q]with the colloquial arabic consonant [ʔ]</c:v>
                </c:pt>
                <c:pt idx="5">
                  <c:v>Deletion of feminine marker</c:v>
                </c:pt>
                <c:pt idx="6">
                  <c:v>replace the Modern Standard Arabic diphthong [æw]with the colloquial arabic vowel[o:]</c:v>
                </c:pt>
                <c:pt idx="7">
                  <c:v>insertion of  Definite Article</c:v>
                </c:pt>
                <c:pt idx="8">
                  <c:v>replace the Modern Standard Arabic diphthong [æj]with the colloquial arabic vowel[e:]</c:v>
                </c:pt>
                <c:pt idx="9">
                  <c:v>final consonant deletion affected by colloquial arabic </c:v>
                </c:pt>
                <c:pt idx="10">
                  <c:v>nonsense</c:v>
                </c:pt>
              </c:strCache>
            </c:strRef>
          </c:cat>
          <c:val>
            <c:numRef>
              <c:f>Sheet3!$E$2:$E$12</c:f>
              <c:numCache>
                <c:formatCode>0.00%</c:formatCode>
                <c:ptCount val="11"/>
                <c:pt idx="2">
                  <c:v>0.2</c:v>
                </c:pt>
                <c:pt idx="6">
                  <c:v>0.66666666666666663</c:v>
                </c:pt>
                <c:pt idx="8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C6-4A28-B66D-F79F4EA5F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3266047"/>
        <c:axId val="1015421087"/>
      </c:lineChart>
      <c:catAx>
        <c:axId val="101542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419423"/>
        <c:crosses val="autoZero"/>
        <c:auto val="1"/>
        <c:lblAlgn val="ctr"/>
        <c:lblOffset val="100"/>
        <c:noMultiLvlLbl val="0"/>
      </c:catAx>
      <c:valAx>
        <c:axId val="101541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421919"/>
        <c:crosses val="autoZero"/>
        <c:crossBetween val="between"/>
      </c:valAx>
      <c:valAx>
        <c:axId val="101542108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266047"/>
        <c:crosses val="max"/>
        <c:crossBetween val="between"/>
      </c:valAx>
      <c:catAx>
        <c:axId val="8832660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1542108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121920</xdr:colOff>
      <xdr:row>1</xdr:row>
      <xdr:rowOff>11430</xdr:rowOff>
    </xdr:from>
    <xdr:to>
      <xdr:col>15</xdr:col>
      <xdr:colOff>426720</xdr:colOff>
      <xdr:row>3</xdr:row>
      <xdr:rowOff>1043940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114300</xdr:colOff>
      <xdr:row>5</xdr:row>
      <xdr:rowOff>76200</xdr:rowOff>
    </xdr:from>
    <xdr:to>
      <xdr:col>15</xdr:col>
      <xdr:colOff>419100</xdr:colOff>
      <xdr:row>5</xdr:row>
      <xdr:rowOff>2103120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152400</xdr:colOff>
      <xdr:row>9</xdr:row>
      <xdr:rowOff>34290</xdr:rowOff>
    </xdr:from>
    <xdr:to>
      <xdr:col>15</xdr:col>
      <xdr:colOff>457200</xdr:colOff>
      <xdr:row>10</xdr:row>
      <xdr:rowOff>1188720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53340</xdr:colOff>
      <xdr:row>18</xdr:row>
      <xdr:rowOff>22860</xdr:rowOff>
    </xdr:from>
    <xdr:to>
      <xdr:col>15</xdr:col>
      <xdr:colOff>358140</xdr:colOff>
      <xdr:row>18</xdr:row>
      <xdr:rowOff>1729740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76200</xdr:colOff>
      <xdr:row>20</xdr:row>
      <xdr:rowOff>11430</xdr:rowOff>
    </xdr:from>
    <xdr:to>
      <xdr:col>15</xdr:col>
      <xdr:colOff>381000</xdr:colOff>
      <xdr:row>20</xdr:row>
      <xdr:rowOff>1943100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121920</xdr:colOff>
      <xdr:row>22</xdr:row>
      <xdr:rowOff>60960</xdr:rowOff>
    </xdr:from>
    <xdr:to>
      <xdr:col>15</xdr:col>
      <xdr:colOff>426720</xdr:colOff>
      <xdr:row>24</xdr:row>
      <xdr:rowOff>1089660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60960</xdr:colOff>
      <xdr:row>26</xdr:row>
      <xdr:rowOff>26670</xdr:rowOff>
    </xdr:from>
    <xdr:to>
      <xdr:col>15</xdr:col>
      <xdr:colOff>365760</xdr:colOff>
      <xdr:row>26</xdr:row>
      <xdr:rowOff>2514600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68580</xdr:colOff>
      <xdr:row>32</xdr:row>
      <xdr:rowOff>26670</xdr:rowOff>
    </xdr:from>
    <xdr:to>
      <xdr:col>15</xdr:col>
      <xdr:colOff>373380</xdr:colOff>
      <xdr:row>32</xdr:row>
      <xdr:rowOff>2331720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91440</xdr:colOff>
      <xdr:row>34</xdr:row>
      <xdr:rowOff>49530</xdr:rowOff>
    </xdr:from>
    <xdr:to>
      <xdr:col>15</xdr:col>
      <xdr:colOff>396240</xdr:colOff>
      <xdr:row>36</xdr:row>
      <xdr:rowOff>1158240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68580</xdr:colOff>
      <xdr:row>38</xdr:row>
      <xdr:rowOff>41910</xdr:rowOff>
    </xdr:from>
    <xdr:to>
      <xdr:col>15</xdr:col>
      <xdr:colOff>373380</xdr:colOff>
      <xdr:row>39</xdr:row>
      <xdr:rowOff>1173480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60960</xdr:colOff>
      <xdr:row>41</xdr:row>
      <xdr:rowOff>41910</xdr:rowOff>
    </xdr:from>
    <xdr:to>
      <xdr:col>15</xdr:col>
      <xdr:colOff>365760</xdr:colOff>
      <xdr:row>41</xdr:row>
      <xdr:rowOff>2331720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68580</xdr:colOff>
      <xdr:row>49</xdr:row>
      <xdr:rowOff>41910</xdr:rowOff>
    </xdr:from>
    <xdr:to>
      <xdr:col>15</xdr:col>
      <xdr:colOff>373380</xdr:colOff>
      <xdr:row>49</xdr:row>
      <xdr:rowOff>2004060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91440</xdr:colOff>
      <xdr:row>51</xdr:row>
      <xdr:rowOff>57150</xdr:rowOff>
    </xdr:from>
    <xdr:to>
      <xdr:col>15</xdr:col>
      <xdr:colOff>396240</xdr:colOff>
      <xdr:row>51</xdr:row>
      <xdr:rowOff>2331720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106680</xdr:colOff>
      <xdr:row>53</xdr:row>
      <xdr:rowOff>64770</xdr:rowOff>
    </xdr:from>
    <xdr:to>
      <xdr:col>15</xdr:col>
      <xdr:colOff>411480</xdr:colOff>
      <xdr:row>53</xdr:row>
      <xdr:rowOff>2446020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68580</xdr:colOff>
      <xdr:row>55</xdr:row>
      <xdr:rowOff>106680</xdr:rowOff>
    </xdr:from>
    <xdr:to>
      <xdr:col>15</xdr:col>
      <xdr:colOff>373380</xdr:colOff>
      <xdr:row>55</xdr:row>
      <xdr:rowOff>2324100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114300</xdr:colOff>
      <xdr:row>57</xdr:row>
      <xdr:rowOff>72390</xdr:rowOff>
    </xdr:from>
    <xdr:to>
      <xdr:col>15</xdr:col>
      <xdr:colOff>419100</xdr:colOff>
      <xdr:row>58</xdr:row>
      <xdr:rowOff>1181100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76200</xdr:colOff>
      <xdr:row>64</xdr:row>
      <xdr:rowOff>49530</xdr:rowOff>
    </xdr:from>
    <xdr:to>
      <xdr:col>15</xdr:col>
      <xdr:colOff>381000</xdr:colOff>
      <xdr:row>64</xdr:row>
      <xdr:rowOff>2034540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175260</xdr:colOff>
      <xdr:row>0</xdr:row>
      <xdr:rowOff>186690</xdr:rowOff>
    </xdr:from>
    <xdr:to>
      <xdr:col>16</xdr:col>
      <xdr:colOff>83820</xdr:colOff>
      <xdr:row>11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335280</xdr:colOff>
      <xdr:row>1</xdr:row>
      <xdr:rowOff>11430</xdr:rowOff>
    </xdr:from>
    <xdr:to>
      <xdr:col>15</xdr:col>
      <xdr:colOff>403860</xdr:colOff>
      <xdr:row>12</xdr:row>
      <xdr:rowOff>15240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67"/>
  <sheetViews>
    <sheetView tabSelected="1" zoomScaleNormal="100" workbookViewId="0">
      <selection activeCell="E4" sqref="E4"/>
    </sheetView>
  </sheetViews>
  <sheetFormatPr defaultRowHeight="100.05" customHeight="1" outlineLevelRow="2" x14ac:dyDescent="0.3"/>
  <cols>
    <col min="2" max="2" width="11.21875" customWidth="1"/>
    <col min="3" max="4" width="10.33203125" customWidth="1"/>
    <col min="5" max="5" width="36.21875" style="1" customWidth="1"/>
    <col min="6" max="7" width="6.21875" customWidth="1"/>
    <col min="8" max="8" width="7.77734375" style="69" customWidth="1"/>
  </cols>
  <sheetData>
    <row r="1" spans="2:8" s="89" customFormat="1" ht="36.6" customHeight="1" thickTop="1" thickBot="1" x14ac:dyDescent="0.45">
      <c r="B1" s="86" t="s">
        <v>134</v>
      </c>
      <c r="C1" s="86" t="s">
        <v>135</v>
      </c>
      <c r="D1" s="86" t="s">
        <v>136</v>
      </c>
      <c r="E1" s="87" t="s">
        <v>137</v>
      </c>
      <c r="F1" s="87" t="s">
        <v>138</v>
      </c>
      <c r="G1" s="87" t="s">
        <v>139</v>
      </c>
      <c r="H1" s="88" t="s">
        <v>140</v>
      </c>
    </row>
    <row r="2" spans="2:8" ht="100.05" customHeight="1" outlineLevel="2" thickTop="1" thickBot="1" x14ac:dyDescent="0.35">
      <c r="B2" s="78" t="s">
        <v>73</v>
      </c>
      <c r="C2" s="77">
        <v>36</v>
      </c>
      <c r="D2" s="77" t="s">
        <v>71</v>
      </c>
      <c r="E2" s="4" t="s">
        <v>105</v>
      </c>
      <c r="F2" s="5" t="s">
        <v>110</v>
      </c>
      <c r="G2" s="5">
        <v>9</v>
      </c>
      <c r="H2" s="57">
        <f>G2/36</f>
        <v>0.25</v>
      </c>
    </row>
    <row r="3" spans="2:8" ht="100.05" customHeight="1" outlineLevel="2" thickTop="1" thickBot="1" x14ac:dyDescent="0.35">
      <c r="B3" s="78"/>
      <c r="C3" s="77"/>
      <c r="D3" s="77"/>
      <c r="E3" s="6" t="s">
        <v>3</v>
      </c>
      <c r="F3" s="5" t="s">
        <v>111</v>
      </c>
      <c r="G3" s="5">
        <v>2</v>
      </c>
      <c r="H3" s="57">
        <f t="shared" ref="H3:H4" si="0">G3/36</f>
        <v>5.5555555555555552E-2</v>
      </c>
    </row>
    <row r="4" spans="2:8" ht="100.05" customHeight="1" outlineLevel="2" thickTop="1" thickBot="1" x14ac:dyDescent="0.35">
      <c r="B4" s="78"/>
      <c r="C4" s="77"/>
      <c r="D4" s="77"/>
      <c r="E4" s="4" t="s">
        <v>107</v>
      </c>
      <c r="F4" s="5" t="s">
        <v>133</v>
      </c>
      <c r="G4" s="5">
        <v>1</v>
      </c>
      <c r="H4" s="57">
        <f t="shared" si="0"/>
        <v>2.7777777777777776E-2</v>
      </c>
    </row>
    <row r="5" spans="2:8" ht="21" customHeight="1" outlineLevel="1" thickTop="1" thickBot="1" x14ac:dyDescent="0.35">
      <c r="B5" s="90" t="s">
        <v>141</v>
      </c>
      <c r="C5" s="73">
        <f>SUBTOTAL(9,C2:C4)</f>
        <v>36</v>
      </c>
      <c r="D5" s="73"/>
      <c r="E5" s="4"/>
      <c r="F5" s="5"/>
      <c r="G5" s="5">
        <f>SUBTOTAL(9,G2:G4)</f>
        <v>12</v>
      </c>
      <c r="H5" s="57">
        <f>SUBTOTAL(9,H2:H4)</f>
        <v>0.33333333333333337</v>
      </c>
    </row>
    <row r="6" spans="2:8" ht="169.8" customHeight="1" outlineLevel="2" thickTop="1" thickBot="1" x14ac:dyDescent="0.35">
      <c r="B6" s="7" t="s">
        <v>74</v>
      </c>
      <c r="C6" s="8">
        <v>61</v>
      </c>
      <c r="D6" s="8" t="s">
        <v>72</v>
      </c>
      <c r="E6" s="9" t="s">
        <v>5</v>
      </c>
      <c r="F6" s="10" t="s">
        <v>112</v>
      </c>
      <c r="G6" s="10">
        <v>1</v>
      </c>
      <c r="H6" s="58">
        <f>G6/C6</f>
        <v>1.6393442622950821E-2</v>
      </c>
    </row>
    <row r="7" spans="2:8" ht="19.2" customHeight="1" outlineLevel="1" thickTop="1" thickBot="1" x14ac:dyDescent="0.35">
      <c r="B7" s="91" t="s">
        <v>142</v>
      </c>
      <c r="C7" s="8">
        <f>SUBTOTAL(9,C6:C6)</f>
        <v>61</v>
      </c>
      <c r="D7" s="8"/>
      <c r="E7" s="9"/>
      <c r="F7" s="10"/>
      <c r="G7" s="10">
        <f>SUBTOTAL(9,G6:G6)</f>
        <v>1</v>
      </c>
      <c r="H7" s="58">
        <f>SUBTOTAL(9,H6:H6)</f>
        <v>1.6393442622950821E-2</v>
      </c>
    </row>
    <row r="8" spans="2:8" ht="15.6" customHeight="1" outlineLevel="2" thickTop="1" thickBot="1" x14ac:dyDescent="0.35">
      <c r="B8" s="11" t="s">
        <v>75</v>
      </c>
      <c r="C8" s="12">
        <v>27</v>
      </c>
      <c r="D8" s="12" t="s">
        <v>45</v>
      </c>
      <c r="E8" s="13">
        <v>0</v>
      </c>
      <c r="F8" s="14">
        <v>0</v>
      </c>
      <c r="G8" s="14">
        <v>0</v>
      </c>
      <c r="H8" s="59">
        <v>0</v>
      </c>
    </row>
    <row r="9" spans="2:8" ht="15.6" customHeight="1" outlineLevel="1" thickTop="1" thickBot="1" x14ac:dyDescent="0.35">
      <c r="B9" s="92" t="s">
        <v>143</v>
      </c>
      <c r="C9" s="72">
        <f>SUBTOTAL(9,C8:C8)</f>
        <v>27</v>
      </c>
      <c r="D9" s="72"/>
      <c r="E9" s="13"/>
      <c r="F9" s="14"/>
      <c r="G9" s="14">
        <f>SUBTOTAL(9,G8:G8)</f>
        <v>0</v>
      </c>
      <c r="H9" s="59">
        <f>SUBTOTAL(9,H8:H8)</f>
        <v>0</v>
      </c>
    </row>
    <row r="10" spans="2:8" ht="100.05" customHeight="1" outlineLevel="2" thickTop="1" thickBot="1" x14ac:dyDescent="0.35">
      <c r="B10" s="80" t="s">
        <v>76</v>
      </c>
      <c r="C10" s="79">
        <v>10</v>
      </c>
      <c r="D10" s="79" t="s">
        <v>46</v>
      </c>
      <c r="E10" s="17" t="s">
        <v>104</v>
      </c>
      <c r="F10" s="18" t="s">
        <v>115</v>
      </c>
      <c r="G10" s="18">
        <v>2</v>
      </c>
      <c r="H10" s="60">
        <f>G10/10</f>
        <v>0.2</v>
      </c>
    </row>
    <row r="11" spans="2:8" ht="100.05" customHeight="1" outlineLevel="2" thickTop="1" thickBot="1" x14ac:dyDescent="0.35">
      <c r="B11" s="80"/>
      <c r="C11" s="79"/>
      <c r="D11" s="79"/>
      <c r="E11" s="15" t="s">
        <v>14</v>
      </c>
      <c r="F11" s="16" t="s">
        <v>114</v>
      </c>
      <c r="G11" s="16">
        <v>1</v>
      </c>
      <c r="H11" s="60">
        <f>G11/10</f>
        <v>0.1</v>
      </c>
    </row>
    <row r="12" spans="2:8" ht="20.399999999999999" customHeight="1" outlineLevel="1" thickTop="1" thickBot="1" x14ac:dyDescent="0.35">
      <c r="B12" s="93" t="s">
        <v>144</v>
      </c>
      <c r="C12" s="74">
        <f>SUBTOTAL(9,C10:C11)</f>
        <v>10</v>
      </c>
      <c r="D12" s="74"/>
      <c r="E12" s="15"/>
      <c r="F12" s="16"/>
      <c r="G12" s="16">
        <f>SUBTOTAL(9,G10:G11)</f>
        <v>3</v>
      </c>
      <c r="H12" s="60">
        <f>SUBTOTAL(9,H10:H11)</f>
        <v>0.30000000000000004</v>
      </c>
    </row>
    <row r="13" spans="2:8" ht="14.4" customHeight="1" outlineLevel="2" thickTop="1" thickBot="1" x14ac:dyDescent="0.35">
      <c r="B13" s="7" t="s">
        <v>77</v>
      </c>
      <c r="C13" s="8">
        <v>10</v>
      </c>
      <c r="D13" s="8" t="s">
        <v>47</v>
      </c>
      <c r="E13" s="19" t="s">
        <v>4</v>
      </c>
      <c r="F13" s="20" t="s">
        <v>112</v>
      </c>
      <c r="G13" s="20">
        <v>0</v>
      </c>
      <c r="H13" s="62">
        <v>0</v>
      </c>
    </row>
    <row r="14" spans="2:8" ht="14.4" customHeight="1" outlineLevel="1" thickTop="1" thickBot="1" x14ac:dyDescent="0.35">
      <c r="B14" s="91" t="s">
        <v>145</v>
      </c>
      <c r="C14" s="8">
        <f>SUBTOTAL(9,C13:C13)</f>
        <v>10</v>
      </c>
      <c r="D14" s="8"/>
      <c r="E14" s="19"/>
      <c r="F14" s="20"/>
      <c r="G14" s="20">
        <f>SUBTOTAL(9,G13:G13)</f>
        <v>0</v>
      </c>
      <c r="H14" s="62">
        <f>SUBTOTAL(9,H13:H13)</f>
        <v>0</v>
      </c>
    </row>
    <row r="15" spans="2:8" ht="22.2" customHeight="1" outlineLevel="2" thickTop="1" thickBot="1" x14ac:dyDescent="0.35">
      <c r="B15" s="11" t="s">
        <v>78</v>
      </c>
      <c r="C15" s="12">
        <v>0</v>
      </c>
      <c r="D15" s="12" t="s">
        <v>48</v>
      </c>
      <c r="E15" s="21" t="s">
        <v>8</v>
      </c>
      <c r="F15" s="22" t="s">
        <v>116</v>
      </c>
      <c r="G15" s="22">
        <v>0</v>
      </c>
      <c r="H15" s="63">
        <v>0</v>
      </c>
    </row>
    <row r="16" spans="2:8" ht="22.2" customHeight="1" outlineLevel="1" thickTop="1" thickBot="1" x14ac:dyDescent="0.35">
      <c r="B16" s="92" t="s">
        <v>146</v>
      </c>
      <c r="C16" s="72">
        <f>SUBTOTAL(9,C15:C15)</f>
        <v>0</v>
      </c>
      <c r="D16" s="72"/>
      <c r="E16" s="21"/>
      <c r="F16" s="22"/>
      <c r="G16" s="22">
        <f>SUBTOTAL(9,G15:G15)</f>
        <v>0</v>
      </c>
      <c r="H16" s="63">
        <f>SUBTOTAL(9,H15:H15)</f>
        <v>0</v>
      </c>
    </row>
    <row r="17" spans="2:8" ht="18.600000000000001" customHeight="1" outlineLevel="2" thickTop="1" thickBot="1" x14ac:dyDescent="0.35">
      <c r="B17" s="23" t="s">
        <v>79</v>
      </c>
      <c r="C17" s="24">
        <v>0</v>
      </c>
      <c r="D17" s="24" t="s">
        <v>49</v>
      </c>
      <c r="E17" s="4" t="s">
        <v>15</v>
      </c>
      <c r="F17" s="5" t="s">
        <v>115</v>
      </c>
      <c r="G17" s="5">
        <v>0</v>
      </c>
      <c r="H17" s="57">
        <v>0</v>
      </c>
    </row>
    <row r="18" spans="2:8" ht="18.600000000000001" customHeight="1" outlineLevel="1" thickTop="1" thickBot="1" x14ac:dyDescent="0.35">
      <c r="B18" s="90" t="s">
        <v>147</v>
      </c>
      <c r="C18" s="73">
        <f>SUBTOTAL(9,C17:C17)</f>
        <v>0</v>
      </c>
      <c r="D18" s="73"/>
      <c r="E18" s="4"/>
      <c r="F18" s="5"/>
      <c r="G18" s="5">
        <f>SUBTOTAL(9,G17:G17)</f>
        <v>0</v>
      </c>
      <c r="H18" s="57">
        <f>SUBTOTAL(9,H17:H17)</f>
        <v>0</v>
      </c>
    </row>
    <row r="19" spans="2:8" ht="141" customHeight="1" outlineLevel="2" thickTop="1" thickBot="1" x14ac:dyDescent="0.35">
      <c r="B19" s="25" t="s">
        <v>80</v>
      </c>
      <c r="C19" s="25">
        <v>1</v>
      </c>
      <c r="D19" s="25" t="s">
        <v>50</v>
      </c>
      <c r="E19" s="70" t="s">
        <v>102</v>
      </c>
      <c r="F19" s="18" t="s">
        <v>117</v>
      </c>
      <c r="G19" s="18">
        <v>1</v>
      </c>
      <c r="H19" s="61">
        <f>G19/C19</f>
        <v>1</v>
      </c>
    </row>
    <row r="20" spans="2:8" ht="22.8" customHeight="1" outlineLevel="1" thickTop="1" thickBot="1" x14ac:dyDescent="0.35">
      <c r="B20" s="93" t="s">
        <v>148</v>
      </c>
      <c r="C20" s="75">
        <f>SUBTOTAL(9,C19:C19)</f>
        <v>1</v>
      </c>
      <c r="D20" s="75"/>
      <c r="E20" s="70"/>
      <c r="F20" s="18"/>
      <c r="G20" s="18">
        <f>SUBTOTAL(9,G19:G19)</f>
        <v>1</v>
      </c>
      <c r="H20" s="61">
        <f>SUBTOTAL(9,H19:H19)</f>
        <v>1</v>
      </c>
    </row>
    <row r="21" spans="2:8" ht="157.19999999999999" customHeight="1" outlineLevel="2" thickTop="1" thickBot="1" x14ac:dyDescent="0.35">
      <c r="B21" s="7" t="s">
        <v>81</v>
      </c>
      <c r="C21" s="8">
        <v>22</v>
      </c>
      <c r="D21" s="8" t="s">
        <v>51</v>
      </c>
      <c r="E21" s="26" t="s">
        <v>12</v>
      </c>
      <c r="F21" s="10" t="s">
        <v>118</v>
      </c>
      <c r="G21" s="10">
        <v>10</v>
      </c>
      <c r="H21" s="58">
        <f>G21/C21</f>
        <v>0.45454545454545453</v>
      </c>
    </row>
    <row r="22" spans="2:8" ht="18.600000000000001" customHeight="1" outlineLevel="1" thickTop="1" thickBot="1" x14ac:dyDescent="0.35">
      <c r="B22" s="91" t="s">
        <v>149</v>
      </c>
      <c r="C22" s="8">
        <f>SUBTOTAL(9,C21:C21)</f>
        <v>22</v>
      </c>
      <c r="D22" s="8"/>
      <c r="E22" s="26"/>
      <c r="F22" s="10"/>
      <c r="G22" s="10">
        <f>SUBTOTAL(9,G21:G21)</f>
        <v>10</v>
      </c>
      <c r="H22" s="58">
        <f>SUBTOTAL(9,H21:H21)</f>
        <v>0.45454545454545453</v>
      </c>
    </row>
    <row r="23" spans="2:8" ht="100.05" customHeight="1" outlineLevel="2" thickTop="1" thickBot="1" x14ac:dyDescent="0.35">
      <c r="B23" s="81" t="s">
        <v>82</v>
      </c>
      <c r="C23" s="82">
        <v>12</v>
      </c>
      <c r="D23" s="82" t="s">
        <v>52</v>
      </c>
      <c r="E23" s="21" t="s">
        <v>26</v>
      </c>
      <c r="F23" s="22" t="s">
        <v>120</v>
      </c>
      <c r="G23" s="22">
        <v>2</v>
      </c>
      <c r="H23" s="59">
        <f>G23/12</f>
        <v>0.16666666666666666</v>
      </c>
    </row>
    <row r="24" spans="2:8" ht="100.05" customHeight="1" outlineLevel="2" thickTop="1" thickBot="1" x14ac:dyDescent="0.35">
      <c r="B24" s="81"/>
      <c r="C24" s="82"/>
      <c r="D24" s="82"/>
      <c r="E24" s="13" t="s">
        <v>7</v>
      </c>
      <c r="F24" s="14" t="s">
        <v>119</v>
      </c>
      <c r="G24" s="14">
        <v>1</v>
      </c>
      <c r="H24" s="59">
        <f>G24/12</f>
        <v>8.3333333333333329E-2</v>
      </c>
    </row>
    <row r="25" spans="2:8" ht="100.05" customHeight="1" outlineLevel="2" thickTop="1" thickBot="1" x14ac:dyDescent="0.35">
      <c r="B25" s="81"/>
      <c r="C25" s="82"/>
      <c r="D25" s="82"/>
      <c r="E25" s="21" t="s">
        <v>17</v>
      </c>
      <c r="F25" s="22" t="s">
        <v>121</v>
      </c>
      <c r="G25" s="22">
        <v>1</v>
      </c>
      <c r="H25" s="59">
        <f>G25/12</f>
        <v>8.3333333333333329E-2</v>
      </c>
    </row>
    <row r="26" spans="2:8" ht="32.4" customHeight="1" outlineLevel="1" thickTop="1" thickBot="1" x14ac:dyDescent="0.35">
      <c r="B26" s="92" t="s">
        <v>150</v>
      </c>
      <c r="C26" s="72">
        <f>SUBTOTAL(9,C23:C25)</f>
        <v>12</v>
      </c>
      <c r="D26" s="72"/>
      <c r="E26" s="21"/>
      <c r="F26" s="22"/>
      <c r="G26" s="22">
        <f>SUBTOTAL(9,G23:G25)</f>
        <v>4</v>
      </c>
      <c r="H26" s="59">
        <f>SUBTOTAL(9,H23:H25)</f>
        <v>0.33333333333333331</v>
      </c>
    </row>
    <row r="27" spans="2:8" ht="208.2" customHeight="1" outlineLevel="2" thickTop="1" thickBot="1" x14ac:dyDescent="0.35">
      <c r="B27" s="23" t="s">
        <v>83</v>
      </c>
      <c r="C27" s="24">
        <v>7</v>
      </c>
      <c r="D27" s="24" t="s">
        <v>53</v>
      </c>
      <c r="E27" s="6" t="s">
        <v>6</v>
      </c>
      <c r="F27" s="5" t="s">
        <v>122</v>
      </c>
      <c r="G27" s="5">
        <v>1</v>
      </c>
      <c r="H27" s="57">
        <f>G27/C27</f>
        <v>0.14285714285714285</v>
      </c>
    </row>
    <row r="28" spans="2:8" ht="12" customHeight="1" outlineLevel="1" thickTop="1" thickBot="1" x14ac:dyDescent="0.35">
      <c r="B28" s="90" t="s">
        <v>151</v>
      </c>
      <c r="C28" s="73">
        <f>SUBTOTAL(9,C27:C27)</f>
        <v>7</v>
      </c>
      <c r="D28" s="73"/>
      <c r="E28" s="6"/>
      <c r="F28" s="5"/>
      <c r="G28" s="5">
        <f>SUBTOTAL(9,G27:G27)</f>
        <v>1</v>
      </c>
      <c r="H28" s="57">
        <f>SUBTOTAL(9,H27:H27)</f>
        <v>0.14285714285714285</v>
      </c>
    </row>
    <row r="29" spans="2:8" ht="10.8" customHeight="1" outlineLevel="2" thickTop="1" thickBot="1" x14ac:dyDescent="0.35">
      <c r="B29" s="27" t="s">
        <v>84</v>
      </c>
      <c r="C29" s="28">
        <v>10</v>
      </c>
      <c r="D29" s="28" t="s">
        <v>54</v>
      </c>
      <c r="E29" s="29"/>
      <c r="F29" s="30">
        <v>0</v>
      </c>
      <c r="G29" s="30">
        <v>0</v>
      </c>
      <c r="H29" s="64">
        <v>0</v>
      </c>
    </row>
    <row r="30" spans="2:8" ht="10.8" customHeight="1" outlineLevel="1" thickTop="1" thickBot="1" x14ac:dyDescent="0.35">
      <c r="B30" s="94" t="s">
        <v>152</v>
      </c>
      <c r="C30" s="28">
        <f>SUBTOTAL(9,C29:C29)</f>
        <v>10</v>
      </c>
      <c r="D30" s="28"/>
      <c r="E30" s="29"/>
      <c r="F30" s="30"/>
      <c r="G30" s="30">
        <f>SUBTOTAL(9,G29:G29)</f>
        <v>0</v>
      </c>
      <c r="H30" s="64">
        <f>SUBTOTAL(9,H29:H29)</f>
        <v>0</v>
      </c>
    </row>
    <row r="31" spans="2:8" ht="12.6" customHeight="1" outlineLevel="2" thickTop="1" thickBot="1" x14ac:dyDescent="0.35">
      <c r="B31" s="7" t="s">
        <v>85</v>
      </c>
      <c r="C31" s="8">
        <v>5</v>
      </c>
      <c r="D31" s="8" t="s">
        <v>55</v>
      </c>
      <c r="E31" s="9"/>
      <c r="F31" s="10">
        <v>0</v>
      </c>
      <c r="G31" s="10">
        <v>0</v>
      </c>
      <c r="H31" s="58">
        <v>0</v>
      </c>
    </row>
    <row r="32" spans="2:8" ht="12.6" customHeight="1" outlineLevel="1" thickTop="1" thickBot="1" x14ac:dyDescent="0.35">
      <c r="B32" s="91" t="s">
        <v>153</v>
      </c>
      <c r="C32" s="8">
        <f>SUBTOTAL(9,C31:C31)</f>
        <v>5</v>
      </c>
      <c r="D32" s="8"/>
      <c r="E32" s="9"/>
      <c r="F32" s="10"/>
      <c r="G32" s="10">
        <f>SUBTOTAL(9,G31:G31)</f>
        <v>0</v>
      </c>
      <c r="H32" s="58">
        <f>SUBTOTAL(9,H31:H31)</f>
        <v>0</v>
      </c>
    </row>
    <row r="33" spans="2:8" ht="191.4" customHeight="1" outlineLevel="2" thickTop="1" thickBot="1" x14ac:dyDescent="0.35">
      <c r="B33" s="31" t="s">
        <v>86</v>
      </c>
      <c r="C33" s="32">
        <v>1</v>
      </c>
      <c r="D33" s="32" t="s">
        <v>56</v>
      </c>
      <c r="E33" s="33" t="s">
        <v>29</v>
      </c>
      <c r="F33" s="34" t="s">
        <v>123</v>
      </c>
      <c r="G33" s="34">
        <v>1</v>
      </c>
      <c r="H33" s="65">
        <f>G33/C33</f>
        <v>1</v>
      </c>
    </row>
    <row r="34" spans="2:8" ht="18.600000000000001" customHeight="1" outlineLevel="1" thickTop="1" thickBot="1" x14ac:dyDescent="0.35">
      <c r="B34" s="95" t="s">
        <v>154</v>
      </c>
      <c r="C34" s="32">
        <f>SUBTOTAL(9,C33:C33)</f>
        <v>1</v>
      </c>
      <c r="D34" s="32"/>
      <c r="E34" s="33"/>
      <c r="F34" s="34"/>
      <c r="G34" s="34">
        <f>SUBTOTAL(9,G33:G33)</f>
        <v>1</v>
      </c>
      <c r="H34" s="65">
        <f>SUBTOTAL(9,H33:H33)</f>
        <v>1</v>
      </c>
    </row>
    <row r="35" spans="2:8" ht="100.05" customHeight="1" outlineLevel="2" thickTop="1" thickBot="1" x14ac:dyDescent="0.35">
      <c r="B35" s="84" t="s">
        <v>87</v>
      </c>
      <c r="C35" s="83">
        <v>29</v>
      </c>
      <c r="D35" s="83" t="s">
        <v>57</v>
      </c>
      <c r="E35" s="35" t="s">
        <v>2</v>
      </c>
      <c r="F35" s="36" t="s">
        <v>124</v>
      </c>
      <c r="G35" s="36">
        <v>5</v>
      </c>
      <c r="H35" s="66">
        <f>G35/29</f>
        <v>0.17241379310344829</v>
      </c>
    </row>
    <row r="36" spans="2:8" ht="100.05" customHeight="1" outlineLevel="2" thickTop="1" thickBot="1" x14ac:dyDescent="0.35">
      <c r="B36" s="84"/>
      <c r="C36" s="83"/>
      <c r="D36" s="83"/>
      <c r="E36" s="37" t="s">
        <v>30</v>
      </c>
      <c r="F36" s="36" t="s">
        <v>123</v>
      </c>
      <c r="G36" s="36">
        <v>3</v>
      </c>
      <c r="H36" s="66">
        <f t="shared" ref="H36:H37" si="1">G36/29</f>
        <v>0.10344827586206896</v>
      </c>
    </row>
    <row r="37" spans="2:8" ht="100.05" customHeight="1" outlineLevel="2" thickTop="1" thickBot="1" x14ac:dyDescent="0.35">
      <c r="B37" s="84"/>
      <c r="C37" s="83"/>
      <c r="D37" s="83"/>
      <c r="E37" s="37" t="s">
        <v>108</v>
      </c>
      <c r="F37" s="36" t="s">
        <v>125</v>
      </c>
      <c r="G37" s="36">
        <v>1</v>
      </c>
      <c r="H37" s="66">
        <f t="shared" si="1"/>
        <v>3.4482758620689655E-2</v>
      </c>
    </row>
    <row r="38" spans="2:8" ht="25.8" customHeight="1" outlineLevel="1" thickTop="1" thickBot="1" x14ac:dyDescent="0.35">
      <c r="B38" s="96" t="s">
        <v>155</v>
      </c>
      <c r="C38" s="71">
        <f>SUBTOTAL(9,C35:C37)</f>
        <v>29</v>
      </c>
      <c r="D38" s="71"/>
      <c r="E38" s="37"/>
      <c r="F38" s="36"/>
      <c r="G38" s="36">
        <f>SUBTOTAL(9,G35:G37)</f>
        <v>9</v>
      </c>
      <c r="H38" s="66">
        <f>SUBTOTAL(9,H35:H37)</f>
        <v>0.31034482758620691</v>
      </c>
    </row>
    <row r="39" spans="2:8" ht="100.05" customHeight="1" outlineLevel="2" thickTop="1" thickBot="1" x14ac:dyDescent="0.35">
      <c r="B39" s="81" t="s">
        <v>88</v>
      </c>
      <c r="C39" s="82">
        <v>21</v>
      </c>
      <c r="D39" s="82" t="s">
        <v>58</v>
      </c>
      <c r="E39" s="21" t="s">
        <v>22</v>
      </c>
      <c r="F39" s="22" t="s">
        <v>123</v>
      </c>
      <c r="G39" s="22">
        <v>11</v>
      </c>
      <c r="H39" s="63">
        <f>G39/21</f>
        <v>0.52380952380952384</v>
      </c>
    </row>
    <row r="40" spans="2:8" ht="100.05" customHeight="1" outlineLevel="2" thickTop="1" thickBot="1" x14ac:dyDescent="0.35">
      <c r="B40" s="81"/>
      <c r="C40" s="82"/>
      <c r="D40" s="82"/>
      <c r="E40" s="21" t="s">
        <v>24</v>
      </c>
      <c r="F40" s="22" t="s">
        <v>126</v>
      </c>
      <c r="G40" s="22">
        <v>9</v>
      </c>
      <c r="H40" s="63">
        <f>G40/21</f>
        <v>0.42857142857142855</v>
      </c>
    </row>
    <row r="41" spans="2:8" ht="25.8" customHeight="1" outlineLevel="1" thickTop="1" thickBot="1" x14ac:dyDescent="0.35">
      <c r="B41" s="92" t="s">
        <v>156</v>
      </c>
      <c r="C41" s="72">
        <f>SUBTOTAL(9,C39:C40)</f>
        <v>21</v>
      </c>
      <c r="D41" s="72"/>
      <c r="E41" s="21"/>
      <c r="F41" s="22"/>
      <c r="G41" s="22">
        <f>SUBTOTAL(9,G39:G40)</f>
        <v>20</v>
      </c>
      <c r="H41" s="63">
        <f>SUBTOTAL(9,H39:H40)</f>
        <v>0.95238095238095233</v>
      </c>
    </row>
    <row r="42" spans="2:8" ht="188.4" customHeight="1" outlineLevel="2" thickTop="1" thickBot="1" x14ac:dyDescent="0.35">
      <c r="B42" s="38" t="s">
        <v>89</v>
      </c>
      <c r="C42" s="39">
        <v>8</v>
      </c>
      <c r="D42" s="39" t="s">
        <v>59</v>
      </c>
      <c r="E42" s="40" t="s">
        <v>23</v>
      </c>
      <c r="F42" s="41" t="s">
        <v>123</v>
      </c>
      <c r="G42" s="41">
        <v>2</v>
      </c>
      <c r="H42" s="67">
        <f>G42/8</f>
        <v>0.25</v>
      </c>
    </row>
    <row r="43" spans="2:8" ht="25.8" customHeight="1" outlineLevel="1" thickTop="1" thickBot="1" x14ac:dyDescent="0.35">
      <c r="B43" s="97" t="s">
        <v>157</v>
      </c>
      <c r="C43" s="39">
        <f>SUBTOTAL(9,C42:C42)</f>
        <v>8</v>
      </c>
      <c r="D43" s="39"/>
      <c r="E43" s="40"/>
      <c r="F43" s="41"/>
      <c r="G43" s="41">
        <f>SUBTOTAL(9,G42:G42)</f>
        <v>2</v>
      </c>
      <c r="H43" s="67">
        <f>SUBTOTAL(9,H42:H42)</f>
        <v>0.25</v>
      </c>
    </row>
    <row r="44" spans="2:8" ht="16.2" customHeight="1" outlineLevel="2" thickTop="1" thickBot="1" x14ac:dyDescent="0.35">
      <c r="B44" s="7" t="s">
        <v>90</v>
      </c>
      <c r="C44" s="8">
        <v>72</v>
      </c>
      <c r="D44" s="8" t="s">
        <v>60</v>
      </c>
      <c r="E44" s="9" t="s">
        <v>34</v>
      </c>
      <c r="F44" s="10" t="s">
        <v>125</v>
      </c>
      <c r="G44" s="10">
        <v>0</v>
      </c>
      <c r="H44" s="58">
        <v>0</v>
      </c>
    </row>
    <row r="45" spans="2:8" ht="16.2" customHeight="1" outlineLevel="1" thickTop="1" thickBot="1" x14ac:dyDescent="0.35">
      <c r="B45" s="91" t="s">
        <v>158</v>
      </c>
      <c r="C45" s="8">
        <f>SUBTOTAL(9,C44:C44)</f>
        <v>72</v>
      </c>
      <c r="D45" s="8"/>
      <c r="E45" s="9"/>
      <c r="F45" s="10"/>
      <c r="G45" s="10">
        <f>SUBTOTAL(9,G44:G44)</f>
        <v>0</v>
      </c>
      <c r="H45" s="58">
        <f>SUBTOTAL(9,H44:H44)</f>
        <v>0</v>
      </c>
    </row>
    <row r="46" spans="2:8" ht="16.8" customHeight="1" outlineLevel="2" thickTop="1" thickBot="1" x14ac:dyDescent="0.35">
      <c r="B46" s="23" t="s">
        <v>91</v>
      </c>
      <c r="C46" s="24">
        <v>28</v>
      </c>
      <c r="D46" s="24" t="s">
        <v>61</v>
      </c>
      <c r="E46" s="4"/>
      <c r="F46" s="5">
        <v>0</v>
      </c>
      <c r="G46" s="5">
        <v>0</v>
      </c>
      <c r="H46" s="57">
        <v>0</v>
      </c>
    </row>
    <row r="47" spans="2:8" ht="16.8" customHeight="1" outlineLevel="1" thickTop="1" thickBot="1" x14ac:dyDescent="0.35">
      <c r="B47" s="90" t="s">
        <v>159</v>
      </c>
      <c r="C47" s="73">
        <f>SUBTOTAL(9,C46:C46)</f>
        <v>28</v>
      </c>
      <c r="D47" s="73"/>
      <c r="E47" s="4"/>
      <c r="F47" s="5"/>
      <c r="G47" s="5">
        <f>SUBTOTAL(9,G46:G46)</f>
        <v>0</v>
      </c>
      <c r="H47" s="57">
        <f>SUBTOTAL(9,H46:H46)</f>
        <v>0</v>
      </c>
    </row>
    <row r="48" spans="2:8" ht="15.6" customHeight="1" outlineLevel="2" thickTop="1" thickBot="1" x14ac:dyDescent="0.35">
      <c r="B48" s="27" t="s">
        <v>92</v>
      </c>
      <c r="C48" s="28">
        <v>78</v>
      </c>
      <c r="D48" s="28" t="s">
        <v>62</v>
      </c>
      <c r="E48" s="29" t="s">
        <v>20</v>
      </c>
      <c r="F48" s="30" t="s">
        <v>127</v>
      </c>
      <c r="G48" s="30">
        <v>0</v>
      </c>
      <c r="H48" s="64">
        <v>0</v>
      </c>
    </row>
    <row r="49" spans="2:8" ht="15.6" customHeight="1" outlineLevel="1" thickTop="1" thickBot="1" x14ac:dyDescent="0.35">
      <c r="B49" s="94" t="s">
        <v>160</v>
      </c>
      <c r="C49" s="28">
        <f>SUBTOTAL(9,C48:C48)</f>
        <v>78</v>
      </c>
      <c r="D49" s="28"/>
      <c r="E49" s="29"/>
      <c r="F49" s="30"/>
      <c r="G49" s="30">
        <f>SUBTOTAL(9,G48:G48)</f>
        <v>0</v>
      </c>
      <c r="H49" s="64">
        <f>SUBTOTAL(9,H48:H48)</f>
        <v>0</v>
      </c>
    </row>
    <row r="50" spans="2:8" ht="162.6" customHeight="1" outlineLevel="2" thickTop="1" thickBot="1" x14ac:dyDescent="0.35">
      <c r="B50" s="11" t="s">
        <v>93</v>
      </c>
      <c r="C50" s="12">
        <v>45</v>
      </c>
      <c r="D50" s="12" t="s">
        <v>63</v>
      </c>
      <c r="E50" s="21" t="s">
        <v>109</v>
      </c>
      <c r="F50" s="22" t="s">
        <v>128</v>
      </c>
      <c r="G50" s="22">
        <v>1</v>
      </c>
      <c r="H50" s="63">
        <f>G50/C50</f>
        <v>2.2222222222222223E-2</v>
      </c>
    </row>
    <row r="51" spans="2:8" ht="21.6" customHeight="1" outlineLevel="1" thickTop="1" thickBot="1" x14ac:dyDescent="0.35">
      <c r="B51" s="92" t="s">
        <v>161</v>
      </c>
      <c r="C51" s="72">
        <f>SUBTOTAL(9,C50:C50)</f>
        <v>45</v>
      </c>
      <c r="D51" s="72"/>
      <c r="E51" s="21"/>
      <c r="F51" s="22"/>
      <c r="G51" s="22">
        <f>SUBTOTAL(9,G50:G50)</f>
        <v>1</v>
      </c>
      <c r="H51" s="63">
        <f>SUBTOTAL(9,H50:H50)</f>
        <v>2.2222222222222223E-2</v>
      </c>
    </row>
    <row r="52" spans="2:8" ht="187.8" customHeight="1" outlineLevel="2" thickTop="1" thickBot="1" x14ac:dyDescent="0.35">
      <c r="B52" s="23" t="s">
        <v>94</v>
      </c>
      <c r="C52" s="24">
        <v>73</v>
      </c>
      <c r="D52" s="24" t="s">
        <v>64</v>
      </c>
      <c r="E52" s="4" t="s">
        <v>31</v>
      </c>
      <c r="F52" s="5" t="s">
        <v>129</v>
      </c>
      <c r="G52" s="5">
        <v>6</v>
      </c>
      <c r="H52" s="57">
        <f>G52/C52</f>
        <v>8.2191780821917804E-2</v>
      </c>
    </row>
    <row r="53" spans="2:8" ht="28.8" customHeight="1" outlineLevel="1" thickTop="1" thickBot="1" x14ac:dyDescent="0.35">
      <c r="B53" s="90" t="s">
        <v>162</v>
      </c>
      <c r="C53" s="73">
        <f>SUBTOTAL(9,C52:C52)</f>
        <v>73</v>
      </c>
      <c r="D53" s="73"/>
      <c r="E53" s="4"/>
      <c r="F53" s="5"/>
      <c r="G53" s="5">
        <f>SUBTOTAL(9,G52:G52)</f>
        <v>6</v>
      </c>
      <c r="H53" s="57">
        <f>SUBTOTAL(9,H52:H52)</f>
        <v>8.2191780821917804E-2</v>
      </c>
    </row>
    <row r="54" spans="2:8" ht="197.4" customHeight="1" outlineLevel="2" thickTop="1" thickBot="1" x14ac:dyDescent="0.35">
      <c r="B54" s="7" t="s">
        <v>95</v>
      </c>
      <c r="C54" s="8">
        <v>5</v>
      </c>
      <c r="D54" s="8" t="s">
        <v>65</v>
      </c>
      <c r="E54" s="9" t="s">
        <v>101</v>
      </c>
      <c r="F54" s="10" t="s">
        <v>130</v>
      </c>
      <c r="G54" s="10">
        <v>1</v>
      </c>
      <c r="H54" s="58">
        <f>G54/C54</f>
        <v>0.2</v>
      </c>
    </row>
    <row r="55" spans="2:8" ht="22.2" customHeight="1" outlineLevel="1" thickTop="1" thickBot="1" x14ac:dyDescent="0.35">
      <c r="B55" s="91" t="s">
        <v>163</v>
      </c>
      <c r="C55" s="8">
        <f>SUBTOTAL(9,C54:C54)</f>
        <v>5</v>
      </c>
      <c r="D55" s="8"/>
      <c r="E55" s="9"/>
      <c r="F55" s="10"/>
      <c r="G55" s="10">
        <f>SUBTOTAL(9,G54:G54)</f>
        <v>1</v>
      </c>
      <c r="H55" s="58">
        <f>SUBTOTAL(9,H54:H54)</f>
        <v>0.2</v>
      </c>
    </row>
    <row r="56" spans="2:8" ht="190.8" customHeight="1" outlineLevel="2" thickTop="1" thickBot="1" x14ac:dyDescent="0.35">
      <c r="B56" s="23" t="s">
        <v>96</v>
      </c>
      <c r="C56" s="24">
        <v>21</v>
      </c>
      <c r="D56" s="24" t="s">
        <v>66</v>
      </c>
      <c r="E56" s="6" t="s">
        <v>13</v>
      </c>
      <c r="F56" s="5" t="s">
        <v>131</v>
      </c>
      <c r="G56" s="5">
        <v>7</v>
      </c>
      <c r="H56" s="57">
        <f>G56/C56</f>
        <v>0.33333333333333331</v>
      </c>
    </row>
    <row r="57" spans="2:8" ht="24.6" customHeight="1" outlineLevel="1" thickTop="1" thickBot="1" x14ac:dyDescent="0.35">
      <c r="B57" s="90" t="s">
        <v>164</v>
      </c>
      <c r="C57" s="73">
        <f>SUBTOTAL(9,C56:C56)</f>
        <v>21</v>
      </c>
      <c r="D57" s="73"/>
      <c r="E57" s="6"/>
      <c r="F57" s="5"/>
      <c r="G57" s="5">
        <f>SUBTOTAL(9,G56:G56)</f>
        <v>7</v>
      </c>
      <c r="H57" s="57">
        <f>SUBTOTAL(9,H56:H56)</f>
        <v>0.33333333333333331</v>
      </c>
    </row>
    <row r="58" spans="2:8" ht="100.05" customHeight="1" outlineLevel="2" thickTop="1" thickBot="1" x14ac:dyDescent="0.35">
      <c r="B58" s="81" t="s">
        <v>97</v>
      </c>
      <c r="C58" s="82">
        <v>47</v>
      </c>
      <c r="D58" s="82" t="s">
        <v>67</v>
      </c>
      <c r="E58" s="42" t="s">
        <v>103</v>
      </c>
      <c r="F58" s="22" t="s">
        <v>132</v>
      </c>
      <c r="G58" s="22">
        <v>4</v>
      </c>
      <c r="H58" s="63">
        <f>G58/47</f>
        <v>8.5106382978723402E-2</v>
      </c>
    </row>
    <row r="59" spans="2:8" ht="100.05" customHeight="1" outlineLevel="2" thickTop="1" thickBot="1" x14ac:dyDescent="0.35">
      <c r="B59" s="81"/>
      <c r="C59" s="82"/>
      <c r="D59" s="82"/>
      <c r="E59" s="21" t="s">
        <v>28</v>
      </c>
      <c r="F59" s="22" t="s">
        <v>130</v>
      </c>
      <c r="G59" s="22">
        <v>1</v>
      </c>
      <c r="H59" s="63">
        <f>G59/47</f>
        <v>2.1276595744680851E-2</v>
      </c>
    </row>
    <row r="60" spans="2:8" ht="24" customHeight="1" outlineLevel="1" thickTop="1" thickBot="1" x14ac:dyDescent="0.35">
      <c r="B60" s="92" t="s">
        <v>165</v>
      </c>
      <c r="C60" s="72">
        <f>SUBTOTAL(9,C58:C59)</f>
        <v>47</v>
      </c>
      <c r="D60" s="72"/>
      <c r="E60" s="21"/>
      <c r="F60" s="22"/>
      <c r="G60" s="22">
        <f>SUBTOTAL(9,G58:G59)</f>
        <v>5</v>
      </c>
      <c r="H60" s="63">
        <f>SUBTOTAL(9,H58:H59)</f>
        <v>0.10638297872340426</v>
      </c>
    </row>
    <row r="61" spans="2:8" ht="12.6" customHeight="1" outlineLevel="2" thickTop="1" thickBot="1" x14ac:dyDescent="0.35">
      <c r="B61" s="27" t="s">
        <v>98</v>
      </c>
      <c r="C61" s="28">
        <v>2</v>
      </c>
      <c r="D61" s="28" t="s">
        <v>68</v>
      </c>
      <c r="E61" s="43" t="s">
        <v>16</v>
      </c>
      <c r="F61" s="30" t="s">
        <v>127</v>
      </c>
      <c r="G61" s="30">
        <v>0</v>
      </c>
      <c r="H61" s="64">
        <v>0</v>
      </c>
    </row>
    <row r="62" spans="2:8" ht="12.6" customHeight="1" outlineLevel="1" thickTop="1" thickBot="1" x14ac:dyDescent="0.35">
      <c r="B62" s="94" t="s">
        <v>166</v>
      </c>
      <c r="C62" s="28">
        <f>SUBTOTAL(9,C61:C61)</f>
        <v>2</v>
      </c>
      <c r="D62" s="28"/>
      <c r="E62" s="43"/>
      <c r="F62" s="30"/>
      <c r="G62" s="30">
        <f>SUBTOTAL(9,G61:G61)</f>
        <v>0</v>
      </c>
      <c r="H62" s="64">
        <f>SUBTOTAL(9,H61:H61)</f>
        <v>0</v>
      </c>
    </row>
    <row r="63" spans="2:8" ht="13.2" customHeight="1" outlineLevel="2" thickTop="1" thickBot="1" x14ac:dyDescent="0.35">
      <c r="B63" s="23" t="s">
        <v>99</v>
      </c>
      <c r="C63" s="24">
        <v>22</v>
      </c>
      <c r="D63" s="24" t="s">
        <v>69</v>
      </c>
      <c r="E63" s="44" t="s">
        <v>27</v>
      </c>
      <c r="F63" s="45" t="s">
        <v>113</v>
      </c>
      <c r="G63" s="45">
        <v>0</v>
      </c>
      <c r="H63" s="68">
        <v>0</v>
      </c>
    </row>
    <row r="64" spans="2:8" ht="13.2" customHeight="1" outlineLevel="1" thickTop="1" thickBot="1" x14ac:dyDescent="0.35">
      <c r="B64" s="90" t="s">
        <v>167</v>
      </c>
      <c r="C64" s="73">
        <f>SUBTOTAL(9,C63:C63)</f>
        <v>22</v>
      </c>
      <c r="D64" s="73"/>
      <c r="E64" s="44"/>
      <c r="F64" s="45"/>
      <c r="G64" s="45">
        <f>SUBTOTAL(9,G63:G63)</f>
        <v>0</v>
      </c>
      <c r="H64" s="68">
        <f>SUBTOTAL(9,H63:H63)</f>
        <v>0</v>
      </c>
    </row>
    <row r="65" spans="2:8" ht="170.4" customHeight="1" outlineLevel="2" thickTop="1" thickBot="1" x14ac:dyDescent="0.35">
      <c r="B65" s="7" t="s">
        <v>100</v>
      </c>
      <c r="C65" s="8">
        <v>20</v>
      </c>
      <c r="D65" s="8" t="s">
        <v>70</v>
      </c>
      <c r="E65" s="19" t="s">
        <v>32</v>
      </c>
      <c r="F65" s="10" t="s">
        <v>133</v>
      </c>
      <c r="G65" s="10">
        <v>1</v>
      </c>
      <c r="H65" s="58">
        <f>G65/20</f>
        <v>0.05</v>
      </c>
    </row>
    <row r="66" spans="2:8" ht="18.600000000000001" customHeight="1" outlineLevel="1" thickTop="1" thickBot="1" x14ac:dyDescent="0.35">
      <c r="B66" s="91" t="s">
        <v>168</v>
      </c>
      <c r="C66" s="8">
        <f>SUBTOTAL(9,C65:C65)</f>
        <v>20</v>
      </c>
      <c r="D66" s="8"/>
      <c r="E66" s="19"/>
      <c r="F66" s="10"/>
      <c r="G66" s="10">
        <f>SUBTOTAL(9,G65:G65)</f>
        <v>1</v>
      </c>
      <c r="H66" s="58">
        <f>SUBTOTAL(9,H65:H65)</f>
        <v>0.05</v>
      </c>
    </row>
    <row r="67" spans="2:8" ht="100.05" customHeight="1" thickTop="1" x14ac:dyDescent="0.3"/>
  </sheetData>
  <sortState ref="E34:H35">
    <sortCondition descending="1" ref="H34:H35"/>
  </sortState>
  <mergeCells count="18">
    <mergeCell ref="D35:D37"/>
    <mergeCell ref="B35:B37"/>
    <mergeCell ref="C35:C37"/>
    <mergeCell ref="C39:C40"/>
    <mergeCell ref="D23:D25"/>
    <mergeCell ref="B23:B25"/>
    <mergeCell ref="C23:C25"/>
    <mergeCell ref="B58:B59"/>
    <mergeCell ref="D58:D59"/>
    <mergeCell ref="C58:C59"/>
    <mergeCell ref="B39:B40"/>
    <mergeCell ref="D39:D40"/>
    <mergeCell ref="D2:D4"/>
    <mergeCell ref="B2:B4"/>
    <mergeCell ref="D10:D11"/>
    <mergeCell ref="B10:B11"/>
    <mergeCell ref="C2:C4"/>
    <mergeCell ref="C10:C11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2"/>
  <sheetViews>
    <sheetView workbookViewId="0">
      <selection activeCell="J17" sqref="J17"/>
    </sheetView>
  </sheetViews>
  <sheetFormatPr defaultRowHeight="14.4" x14ac:dyDescent="0.3"/>
  <cols>
    <col min="2" max="2" width="8" style="1" customWidth="1"/>
    <col min="3" max="3" width="48.77734375" style="1" customWidth="1"/>
    <col min="5" max="5" width="8.88671875" style="69"/>
  </cols>
  <sheetData>
    <row r="1" spans="2:5" ht="15.6" thickTop="1" thickBot="1" x14ac:dyDescent="0.35">
      <c r="B1" s="3"/>
      <c r="C1" s="3"/>
      <c r="D1" s="2"/>
      <c r="E1" s="56"/>
    </row>
    <row r="2" spans="2:5" ht="32.4" thickTop="1" thickBot="1" x14ac:dyDescent="0.35">
      <c r="B2" s="52">
        <v>23</v>
      </c>
      <c r="C2" s="52" t="s">
        <v>18</v>
      </c>
      <c r="D2" s="2">
        <v>4</v>
      </c>
      <c r="E2" s="56">
        <f>D2/B2</f>
        <v>0.17391304347826086</v>
      </c>
    </row>
    <row r="3" spans="2:5" ht="31.2" thickTop="1" thickBot="1" x14ac:dyDescent="0.35">
      <c r="B3" s="85">
        <v>73</v>
      </c>
      <c r="C3" s="53" t="s">
        <v>25</v>
      </c>
      <c r="D3" s="2">
        <v>1</v>
      </c>
      <c r="E3" s="56">
        <f>D3/73</f>
        <v>1.3698630136986301E-2</v>
      </c>
    </row>
    <row r="4" spans="2:5" ht="31.2" thickTop="1" thickBot="1" x14ac:dyDescent="0.35">
      <c r="B4" s="85"/>
      <c r="C4" s="53" t="s">
        <v>10</v>
      </c>
      <c r="D4" s="2">
        <v>2</v>
      </c>
      <c r="E4" s="56">
        <f t="shared" ref="E4:E5" si="0">D4/73</f>
        <v>2.7397260273972601E-2</v>
      </c>
    </row>
    <row r="5" spans="2:5" ht="31.2" thickTop="1" thickBot="1" x14ac:dyDescent="0.35">
      <c r="B5" s="85"/>
      <c r="C5" s="53" t="s">
        <v>9</v>
      </c>
      <c r="D5" s="2">
        <v>2</v>
      </c>
      <c r="E5" s="56">
        <f t="shared" si="0"/>
        <v>2.7397260273972601E-2</v>
      </c>
    </row>
    <row r="6" spans="2:5" ht="31.2" thickTop="1" thickBot="1" x14ac:dyDescent="0.35">
      <c r="B6" s="85"/>
      <c r="C6" s="53" t="s">
        <v>11</v>
      </c>
      <c r="D6" s="2">
        <v>2</v>
      </c>
      <c r="E6" s="56">
        <f>D6/73</f>
        <v>2.7397260273972601E-2</v>
      </c>
    </row>
    <row r="7" spans="2:5" ht="16.2" thickTop="1" thickBot="1" x14ac:dyDescent="0.35">
      <c r="B7" s="51"/>
      <c r="C7" s="51" t="s">
        <v>33</v>
      </c>
      <c r="D7" s="2">
        <v>4</v>
      </c>
      <c r="E7" s="56"/>
    </row>
    <row r="8" spans="2:5" ht="16.2" thickTop="1" thickBot="1" x14ac:dyDescent="0.35">
      <c r="B8" s="51"/>
      <c r="C8" s="51" t="s">
        <v>21</v>
      </c>
      <c r="D8" s="2">
        <v>2</v>
      </c>
      <c r="E8" s="56"/>
    </row>
    <row r="9" spans="2:5" ht="16.8" thickTop="1" thickBot="1" x14ac:dyDescent="0.35">
      <c r="B9" s="46"/>
      <c r="C9" s="46" t="s">
        <v>19</v>
      </c>
      <c r="D9" s="2">
        <v>1</v>
      </c>
      <c r="E9" s="56"/>
    </row>
    <row r="10" spans="2:5" ht="48" thickTop="1" thickBot="1" x14ac:dyDescent="0.35">
      <c r="B10" s="54"/>
      <c r="C10" s="54" t="s">
        <v>1</v>
      </c>
      <c r="D10" s="2">
        <v>1</v>
      </c>
      <c r="E10" s="56"/>
    </row>
    <row r="11" spans="2:5" ht="16.2" thickTop="1" thickBot="1" x14ac:dyDescent="0.35">
      <c r="B11" s="55"/>
      <c r="C11" s="55" t="s">
        <v>0</v>
      </c>
      <c r="D11" s="2">
        <v>1</v>
      </c>
      <c r="E11" s="56"/>
    </row>
    <row r="12" spans="2:5" ht="15" thickTop="1" x14ac:dyDescent="0.3"/>
  </sheetData>
  <sortState ref="B7:E12">
    <sortCondition descending="1" ref="D7:D12"/>
  </sortState>
  <mergeCells count="1">
    <mergeCell ref="B3:B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3"/>
  <sheetViews>
    <sheetView workbookViewId="0">
      <selection activeCell="F15" sqref="F15"/>
    </sheetView>
  </sheetViews>
  <sheetFormatPr defaultRowHeight="14.4" x14ac:dyDescent="0.3"/>
  <cols>
    <col min="3" max="3" width="31.109375" customWidth="1"/>
  </cols>
  <sheetData>
    <row r="1" spans="2:5" ht="15" thickBot="1" x14ac:dyDescent="0.35"/>
    <row r="2" spans="2:5" ht="16.8" thickTop="1" thickBot="1" x14ac:dyDescent="0.35">
      <c r="B2" s="2"/>
      <c r="C2" s="46" t="s">
        <v>41</v>
      </c>
      <c r="D2" s="48">
        <v>35</v>
      </c>
      <c r="E2" s="76"/>
    </row>
    <row r="3" spans="2:5" ht="30" customHeight="1" thickTop="1" thickBot="1" x14ac:dyDescent="0.35">
      <c r="B3" s="2"/>
      <c r="C3" s="46" t="s">
        <v>42</v>
      </c>
      <c r="D3" s="48">
        <v>9</v>
      </c>
      <c r="E3" s="76"/>
    </row>
    <row r="4" spans="2:5" ht="30" customHeight="1" thickTop="1" thickBot="1" x14ac:dyDescent="0.35">
      <c r="B4" s="2">
        <v>30</v>
      </c>
      <c r="C4" s="46" t="s">
        <v>35</v>
      </c>
      <c r="D4" s="47">
        <v>6</v>
      </c>
      <c r="E4" s="76">
        <f>D4/B4</f>
        <v>0.2</v>
      </c>
    </row>
    <row r="5" spans="2:5" ht="30" customHeight="1" thickTop="1" thickBot="1" x14ac:dyDescent="0.35">
      <c r="B5" s="2"/>
      <c r="C5" s="46" t="s">
        <v>40</v>
      </c>
      <c r="D5" s="48">
        <v>5</v>
      </c>
      <c r="E5" s="76"/>
    </row>
    <row r="6" spans="2:5" ht="30" customHeight="1" thickTop="1" thickBot="1" x14ac:dyDescent="0.35">
      <c r="B6" s="2"/>
      <c r="C6" s="46" t="s">
        <v>39</v>
      </c>
      <c r="D6" s="50">
        <v>3</v>
      </c>
      <c r="E6" s="76"/>
    </row>
    <row r="7" spans="2:5" ht="30" customHeight="1" thickTop="1" thickBot="1" x14ac:dyDescent="0.35">
      <c r="B7" s="2"/>
      <c r="C7" s="51" t="s">
        <v>44</v>
      </c>
      <c r="D7" s="50">
        <v>3</v>
      </c>
      <c r="E7" s="76"/>
    </row>
    <row r="8" spans="2:5" ht="30" customHeight="1" thickTop="1" thickBot="1" x14ac:dyDescent="0.35">
      <c r="B8" s="49">
        <v>3</v>
      </c>
      <c r="C8" s="46" t="s">
        <v>38</v>
      </c>
      <c r="D8" s="50">
        <v>2</v>
      </c>
      <c r="E8" s="76">
        <f>D8/B8</f>
        <v>0.66666666666666663</v>
      </c>
    </row>
    <row r="9" spans="2:5" ht="30" customHeight="1" thickTop="1" thickBot="1" x14ac:dyDescent="0.35">
      <c r="B9" s="2"/>
      <c r="C9" s="46" t="s">
        <v>36</v>
      </c>
      <c r="D9" s="48">
        <v>1</v>
      </c>
      <c r="E9" s="76"/>
    </row>
    <row r="10" spans="2:5" ht="30" customHeight="1" thickTop="1" thickBot="1" x14ac:dyDescent="0.35">
      <c r="B10" s="49">
        <v>5</v>
      </c>
      <c r="C10" s="46" t="s">
        <v>37</v>
      </c>
      <c r="D10" s="48">
        <v>1</v>
      </c>
      <c r="E10" s="76">
        <f>D10/B10</f>
        <v>0.2</v>
      </c>
    </row>
    <row r="11" spans="2:5" ht="30" customHeight="1" thickTop="1" thickBot="1" x14ac:dyDescent="0.35">
      <c r="B11" s="2"/>
      <c r="C11" s="51" t="s">
        <v>106</v>
      </c>
      <c r="D11" s="50">
        <v>1</v>
      </c>
      <c r="E11" s="76"/>
    </row>
    <row r="12" spans="2:5" ht="30" customHeight="1" thickTop="1" thickBot="1" x14ac:dyDescent="0.35">
      <c r="B12" s="2"/>
      <c r="C12" s="51" t="s">
        <v>43</v>
      </c>
      <c r="D12" s="50">
        <v>1</v>
      </c>
      <c r="E12" s="76"/>
    </row>
    <row r="13" spans="2:5" ht="15" thickTop="1" x14ac:dyDescent="0.3">
      <c r="C13" s="1"/>
    </row>
  </sheetData>
  <sortState ref="B1:E13">
    <sortCondition descending="1" ref="D1:D13"/>
  </sortState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2025-05-10T11:11:23Z</dcterms:modified>
</cp:coreProperties>
</file>