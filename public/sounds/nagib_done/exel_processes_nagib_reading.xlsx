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gib_done\"/>
    </mc:Choice>
  </mc:AlternateContent>
  <bookViews>
    <workbookView xWindow="0" yWindow="0" windowWidth="13296" windowHeight="8220" activeTab="2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1" i="1" l="1"/>
  <c r="G81" i="1"/>
  <c r="H92" i="1"/>
  <c r="G92" i="1"/>
  <c r="C92" i="1"/>
  <c r="H90" i="1"/>
  <c r="G90" i="1"/>
  <c r="C90" i="1"/>
  <c r="H88" i="1"/>
  <c r="G88" i="1"/>
  <c r="C88" i="1"/>
  <c r="H84" i="1"/>
  <c r="G84" i="1"/>
  <c r="C84" i="1"/>
  <c r="C81" i="1"/>
  <c r="H76" i="1"/>
  <c r="G76" i="1"/>
  <c r="C76" i="1"/>
  <c r="H73" i="1"/>
  <c r="G73" i="1"/>
  <c r="C73" i="1"/>
  <c r="H69" i="1"/>
  <c r="G69" i="1"/>
  <c r="C69" i="1"/>
  <c r="H67" i="1"/>
  <c r="G67" i="1"/>
  <c r="C67" i="1"/>
  <c r="H63" i="1"/>
  <c r="G63" i="1"/>
  <c r="C63" i="1"/>
  <c r="H61" i="1"/>
  <c r="G61" i="1"/>
  <c r="C61" i="1"/>
  <c r="H53" i="1"/>
  <c r="G53" i="1"/>
  <c r="C53" i="1"/>
  <c r="H50" i="1"/>
  <c r="G50" i="1"/>
  <c r="C50" i="1"/>
  <c r="H47" i="1"/>
  <c r="G47" i="1"/>
  <c r="C47" i="1"/>
  <c r="H45" i="1"/>
  <c r="G45" i="1"/>
  <c r="C45" i="1"/>
  <c r="H42" i="1"/>
  <c r="G42" i="1"/>
  <c r="C42" i="1"/>
  <c r="H40" i="1"/>
  <c r="G40" i="1"/>
  <c r="C40" i="1"/>
  <c r="H37" i="1"/>
  <c r="G37" i="1"/>
  <c r="C37" i="1"/>
  <c r="H34" i="1"/>
  <c r="G34" i="1"/>
  <c r="C34" i="1"/>
  <c r="H28" i="1"/>
  <c r="G28" i="1"/>
  <c r="C28" i="1"/>
  <c r="H26" i="1"/>
  <c r="G26" i="1"/>
  <c r="C26" i="1"/>
  <c r="H23" i="1"/>
  <c r="G23" i="1"/>
  <c r="C23" i="1"/>
  <c r="H19" i="1"/>
  <c r="G19" i="1"/>
  <c r="C19" i="1"/>
  <c r="H17" i="1"/>
  <c r="G17" i="1"/>
  <c r="C17" i="1"/>
  <c r="H13" i="1"/>
  <c r="G13" i="1"/>
  <c r="C13" i="1"/>
  <c r="H7" i="1"/>
  <c r="G7" i="1"/>
  <c r="C7" i="1"/>
  <c r="E14" i="3" l="1"/>
  <c r="E19" i="3"/>
  <c r="E5" i="3"/>
  <c r="E2" i="3"/>
  <c r="E11" i="2"/>
  <c r="E8" i="2"/>
  <c r="E5" i="2"/>
  <c r="E6" i="2"/>
  <c r="E7" i="2"/>
  <c r="E4" i="2"/>
  <c r="E2" i="2"/>
  <c r="H89" i="1"/>
  <c r="H86" i="1"/>
  <c r="H87" i="1"/>
  <c r="H85" i="1"/>
  <c r="H83" i="1"/>
  <c r="H82" i="1"/>
  <c r="H77" i="1"/>
  <c r="H79" i="1"/>
  <c r="H80" i="1"/>
  <c r="H78" i="1"/>
  <c r="H75" i="1"/>
  <c r="H74" i="1"/>
  <c r="H71" i="1"/>
  <c r="H72" i="1"/>
  <c r="H70" i="1"/>
  <c r="H68" i="1"/>
  <c r="H65" i="1"/>
  <c r="H64" i="1"/>
  <c r="H66" i="1"/>
  <c r="H62" i="1"/>
  <c r="H56" i="1"/>
  <c r="H58" i="1"/>
  <c r="H57" i="1"/>
  <c r="H59" i="1"/>
  <c r="H54" i="1"/>
  <c r="H60" i="1"/>
  <c r="H55" i="1"/>
  <c r="H51" i="1"/>
  <c r="H52" i="1"/>
  <c r="H48" i="1"/>
  <c r="H49" i="1"/>
  <c r="H46" i="1"/>
  <c r="H44" i="1"/>
  <c r="H43" i="1"/>
  <c r="H41" i="1"/>
  <c r="H39" i="1"/>
  <c r="H38" i="1"/>
  <c r="H36" i="1"/>
  <c r="H35" i="1"/>
  <c r="H33" i="1"/>
  <c r="H29" i="1"/>
  <c r="H30" i="1"/>
  <c r="H32" i="1"/>
  <c r="H31" i="1"/>
  <c r="H27" i="1"/>
  <c r="H24" i="1"/>
  <c r="H25" i="1"/>
  <c r="H21" i="1"/>
  <c r="H20" i="1"/>
  <c r="H22" i="1"/>
  <c r="H18" i="1"/>
  <c r="H15" i="1"/>
  <c r="H16" i="1"/>
  <c r="H14" i="1"/>
  <c r="H9" i="1"/>
  <c r="H10" i="1"/>
  <c r="H11" i="1"/>
  <c r="H12" i="1"/>
  <c r="H8" i="1"/>
  <c r="H2" i="1"/>
  <c r="H4" i="1"/>
  <c r="H5" i="1"/>
  <c r="H6" i="1"/>
  <c r="H3" i="1"/>
  <c r="G91" i="1" l="1"/>
  <c r="D19" i="2"/>
</calcChain>
</file>

<file path=xl/sharedStrings.xml><?xml version="1.0" encoding="utf-8"?>
<sst xmlns="http://schemas.openxmlformats.org/spreadsheetml/2006/main" count="258" uniqueCount="221">
  <si>
    <t>Metathesis</t>
  </si>
  <si>
    <t>Diphthongization</t>
  </si>
  <si>
    <t xml:space="preserve">Glottalization(substitution of [ʕ] with [ʔ]), </t>
  </si>
  <si>
    <t>Glottalization(substitution of [ɣ] with [ʔ])</t>
  </si>
  <si>
    <t>Glottalization(insertion of  [ʔ] phone)</t>
  </si>
  <si>
    <t>substitution of [r] with [ɻ]</t>
  </si>
  <si>
    <t>substitution of [l] with [r]</t>
  </si>
  <si>
    <t>substitution of [l] with [n]</t>
  </si>
  <si>
    <t>substitution of [ʔ]with [n]</t>
  </si>
  <si>
    <t>substitution of [l] with [d]</t>
  </si>
  <si>
    <t>substitution of [q] with [g]</t>
  </si>
  <si>
    <t>substitution of [q] with [k]</t>
  </si>
  <si>
    <t>voicing(substitution of [f] with [v])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</si>
  <si>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</si>
  <si>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</si>
  <si>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</si>
  <si>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[χ] with [ħ]</t>
  </si>
  <si>
    <t xml:space="preserve">Aspiration ( substitution of [t]with [tʰ]) 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</si>
  <si>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</si>
  <si>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</si>
  <si>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</si>
  <si>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</si>
  <si>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pharyngealization(substitution of [t] with [tˤ]),</t>
  </si>
  <si>
    <t>depharyngealization(substitution of [dˤ] with [d]),</t>
  </si>
  <si>
    <t>depharyngealization and aspiration (substitution of [tˤ] with [tʰ]),</t>
  </si>
  <si>
    <t xml:space="preserve">depharyngealization and devoicing(substitution of [dˤ] with [t]) </t>
  </si>
  <si>
    <t>devoicing and deinterdentalization substitution of[ðˤ] with [ sˤ],</t>
  </si>
  <si>
    <t>devoicing and deinterdentalization substitution of[ð] with [ s],</t>
  </si>
  <si>
    <t>degemination(reduce consonant cluster to one single consonant)</t>
  </si>
  <si>
    <t>deaffrication(substitution of [d͡ʒ]with [ʒ])</t>
  </si>
  <si>
    <t>stopping and devoicing (substitution of [d͡ʒ]with [t])</t>
  </si>
  <si>
    <t>stopping  (substitution of [d͡ʒ]with [d])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</si>
  <si>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</si>
  <si>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</si>
  <si>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</si>
  <si>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</si>
  <si>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</si>
  <si>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deaffrication and devoicing(substitution of [d͡ʒ]with [ʃ])</t>
  </si>
  <si>
    <t>devoicing(substitution of [d]with [t])</t>
  </si>
  <si>
    <t>devoicing(substitution of [ɣ]with [χ])</t>
  </si>
  <si>
    <t>devoicing(substitution of [b]with [p]), Aspiration ( substitution of [p]with [pʰ]) ,</t>
  </si>
  <si>
    <t>devoicing(substitution of [b]with [p]</t>
  </si>
  <si>
    <t>syllable structure process (consonant deletion of  [ʔ] phone)</t>
  </si>
  <si>
    <t>syllable structure process (consonant insertion of  [l] phone)</t>
  </si>
  <si>
    <t>syllable structure process (consonant deletion of  [m] phone)</t>
  </si>
  <si>
    <t>syllable structure process (consonant insertion of  [n] phone)</t>
  </si>
  <si>
    <t>syllable structure process (consonant deletion of  [n] phone)</t>
  </si>
  <si>
    <t>syllable structure process (final syllable deletion)</t>
  </si>
  <si>
    <t>final consonant deletion</t>
  </si>
  <si>
    <t>interdentalization(substitution of [z] with [ð])</t>
  </si>
  <si>
    <t>Definite Article deletion</t>
  </si>
  <si>
    <t>replace the Modern Standard Arabic diphthong [æj]with the colloquial arabic vowel[e:]</t>
  </si>
  <si>
    <t>replace  [ʔ]with  [j] affected by colloquial arabic</t>
  </si>
  <si>
    <t>replace  [j]with  [i:] affected by colloquial Arabic</t>
  </si>
  <si>
    <t>final consonant deletion affected by colloquial arabic</t>
  </si>
  <si>
    <t>consonant deletion  of [ʔ]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</si>
  <si>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</si>
  <si>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</si>
  <si>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</si>
  <si>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</si>
  <si>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</si>
  <si>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ز</t>
  </si>
  <si>
    <t>ص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</si>
  <si>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</si>
  <si>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</si>
  <si>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</si>
  <si>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</si>
  <si>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</si>
  <si>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</si>
  <si>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</si>
  <si>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</si>
  <si>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</si>
  <si>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</si>
  <si>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</si>
  <si>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</si>
  <si>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</si>
  <si>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</si>
  <si>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</si>
  <si>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</si>
  <si>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</si>
  <si>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</si>
  <si>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</si>
  <si>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</si>
  <si>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</si>
  <si>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 xml:space="preserve">ر </t>
  </si>
  <si>
    <t xml:space="preserve">ل  </t>
  </si>
  <si>
    <t>r</t>
  </si>
  <si>
    <t>l</t>
  </si>
  <si>
    <t>z</t>
  </si>
  <si>
    <t>sˤ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</si>
  <si>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</si>
  <si>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</si>
  <si>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</si>
  <si>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</si>
  <si>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</si>
  <si>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</si>
  <si>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</si>
  <si>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</si>
  <si>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</si>
  <si>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</si>
  <si>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</si>
  <si>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</si>
  <si>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</si>
  <si>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</si>
  <si>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</si>
  <si>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</si>
  <si>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</si>
  <si>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</si>
  <si>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</si>
  <si>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</si>
  <si>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</si>
  <si>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letter</t>
  </si>
  <si>
    <t>arabic letter</t>
  </si>
  <si>
    <t>phonological_processes</t>
  </si>
  <si>
    <t xml:space="preserve">depharyngealization  (substitution of [tˤ] with [t]) </t>
  </si>
  <si>
    <t>devoicing (substitution of [ð] with [θ])</t>
  </si>
  <si>
    <t xml:space="preserve">devoicing(substitution of [d]with [d̥])  </t>
  </si>
  <si>
    <t>devoicing(substitution of [z]with [s]),</t>
  </si>
  <si>
    <t>devoicing(substitution of [dˤ]with [tˤ])</t>
  </si>
  <si>
    <t>depharyngealization(substitution of [ɲ] with [n])</t>
  </si>
  <si>
    <t>substitution of [r] with [ʁ]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</si>
  <si>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</si>
  <si>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</si>
  <si>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</si>
  <si>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[n] phone changes to  [d]  phone to become  similar to the nearby  phone[d])</t>
  </si>
  <si>
    <t>syllable structure process (consonant insertion of  [r] phone)</t>
  </si>
  <si>
    <r>
      <t>Monophthongization</t>
    </r>
    <r>
      <rPr>
        <sz val="12"/>
        <color theme="1"/>
        <rFont val="Arial"/>
        <family val="2"/>
      </rPr>
      <t xml:space="preserve"> </t>
    </r>
  </si>
  <si>
    <t>assimilation (the  [b] phone changes to  [m] to become  similar to the nearby  phone[ n])</t>
  </si>
  <si>
    <t>assimilation (the  [ʃ] phone changes to  [θ]  phone to become  similar to the nearby  phone[s])</t>
  </si>
  <si>
    <t>assimilation (the  [t] phone changes to  [s]  phone to become  similar to the nearby  phone[s])</t>
  </si>
  <si>
    <t>assimilation (the  [ʔ] phone changes to  [n] to become  similar to the nearby  phone[ n])</t>
  </si>
  <si>
    <t>substitution of [ʔ] with [r]</t>
  </si>
  <si>
    <t>syllable structure process (consonant insertion of  [m] phone)</t>
  </si>
  <si>
    <t>misreading</t>
  </si>
  <si>
    <t>syllable structure process (consonant insertion of  [j] phone)</t>
  </si>
  <si>
    <t>substitution of [t]with [b]</t>
  </si>
  <si>
    <t>Gliding(substitution of [ʔ] with [w])</t>
  </si>
  <si>
    <t>Gliding(substitution of [ʔ] with [j])</t>
  </si>
  <si>
    <t>Gliding(substitution of [l] with [w])</t>
  </si>
  <si>
    <t>Gliding(substitution of [l] with [j])</t>
  </si>
  <si>
    <t>Gliding(substitution of [r] with [w])</t>
  </si>
  <si>
    <t>Gliding(substitution of [r] with [j])</t>
  </si>
  <si>
    <t>Vowelization(substitution of [w] with [u:])</t>
  </si>
  <si>
    <t>Vowelization(substitution of [ʔ] with [ɑ])</t>
  </si>
  <si>
    <t>number of error</t>
  </si>
  <si>
    <t>total</t>
  </si>
  <si>
    <t>type of syllable structure error</t>
  </si>
  <si>
    <t>Aspiration ( substitution of [k]with [kʰ]) ,</t>
  </si>
  <si>
    <t>[l]</t>
  </si>
  <si>
    <t>[ɻ]</t>
  </si>
  <si>
    <t>[ʁ]</t>
  </si>
  <si>
    <t>[w]</t>
  </si>
  <si>
    <t>[j]</t>
  </si>
  <si>
    <t>[r]</t>
  </si>
  <si>
    <t>[d]</t>
  </si>
  <si>
    <t>[n]</t>
  </si>
  <si>
    <t>[s]</t>
  </si>
  <si>
    <t>[z̥]</t>
  </si>
  <si>
    <t>[ð]</t>
  </si>
  <si>
    <t>[sˤ]</t>
  </si>
  <si>
    <t>[z]</t>
  </si>
  <si>
    <t>[θ]</t>
  </si>
  <si>
    <t>[kʰ]</t>
  </si>
  <si>
    <t>[ʃ]</t>
  </si>
  <si>
    <t>[d͡ʒ̥]</t>
  </si>
  <si>
    <t>[ʒ]</t>
  </si>
  <si>
    <t>[t]</t>
  </si>
  <si>
    <t>[g]</t>
  </si>
  <si>
    <t>[k]</t>
  </si>
  <si>
    <t>[ħ]</t>
  </si>
  <si>
    <t>[χ]</t>
  </si>
  <si>
    <t>[ʔ]</t>
  </si>
  <si>
    <t>[h]</t>
  </si>
  <si>
    <t>[ɑ]</t>
  </si>
  <si>
    <t>[v]</t>
  </si>
  <si>
    <t>[m]</t>
  </si>
  <si>
    <t>[p]</t>
  </si>
  <si>
    <t>[pʰ]</t>
  </si>
  <si>
    <t>[tʰ]</t>
  </si>
  <si>
    <t>[tˤ]</t>
  </si>
  <si>
    <t>[b]</t>
  </si>
  <si>
    <t>[d̥]</t>
  </si>
  <si>
    <t>[u:]</t>
  </si>
  <si>
    <t>[-]</t>
  </si>
  <si>
    <t>percentage</t>
  </si>
  <si>
    <t>allophone</t>
  </si>
  <si>
    <t>r Total</t>
  </si>
  <si>
    <t>l Total</t>
  </si>
  <si>
    <t>z Total</t>
  </si>
  <si>
    <t>sˤ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</si>
  <si>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</si>
  <si>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</si>
  <si>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</si>
  <si>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</si>
  <si>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</si>
  <si>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</si>
  <si>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</si>
  <si>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</si>
  <si>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</si>
  <si>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</si>
  <si>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</si>
  <si>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</si>
  <si>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</si>
  <si>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</si>
  <si>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</si>
  <si>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</si>
  <si>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</si>
  <si>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</si>
  <si>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</si>
  <si>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</si>
  <si>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</si>
  <si>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total Total</t>
  </si>
  <si>
    <t>gemination</t>
  </si>
  <si>
    <t>replace the MSA diphthong [æw]with the colloquial arabic vowel[o:]</t>
  </si>
  <si>
    <t>replace the MSA consonant [ð]with the colloquial arabic consonant [z]</t>
  </si>
  <si>
    <t>replace the MSA consonant [θ]with the colloquial arabic consonant [s]</t>
  </si>
  <si>
    <t>replace the MSA consonant [ðˤ]with the colloquial arabic consonant [zˤ]</t>
  </si>
  <si>
    <t>replace the MSA diphthong [æj]with the colloquial arabic vowel[i:]</t>
  </si>
  <si>
    <t>replace theMSA diphthong [æw]with the colloquial arabic vowel[u:]</t>
  </si>
  <si>
    <r>
      <t>replace the MSA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</si>
  <si>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MSA consonant [ð]with the colloquial arabic consonant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</si>
</sst>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sz val="15"/>
      <color rgb="FF000000"/>
      <name val="Segoe UI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6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63">
    <xf numFmtId="0" fontId="0" fillId="0" borderId="0" xfId="0"/>
    <xf numFmtId="0" fontId="11" fillId="0" borderId="0" xfId="0" applyFont="1"/>
    <xf numFmtId="0" fontId="0" fillId="0" borderId="0" xfId="0" applyAlignment="1">
      <alignment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4" fillId="4" borderId="1" xfId="3" applyBorder="1" applyAlignment="1">
      <alignment horizontal="center" vertical="center"/>
    </xf>
    <xf numFmtId="0" fontId="13" fillId="4" borderId="1" xfId="3" applyFont="1" applyBorder="1" applyAlignment="1">
      <alignment vertical="center" wrapText="1"/>
    </xf>
    <xf numFmtId="0" fontId="4" fillId="4" borderId="1" xfId="3" applyBorder="1" applyAlignment="1">
      <alignment vertical="center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1" fillId="7" borderId="1" xfId="6" applyBorder="1" applyAlignment="1">
      <alignment horizontal="center" vertical="center"/>
    </xf>
    <xf numFmtId="0" fontId="0" fillId="7" borderId="1" xfId="6" applyFont="1" applyBorder="1" applyAlignment="1">
      <alignment vertical="center" wrapText="1"/>
    </xf>
    <xf numFmtId="0" fontId="1" fillId="7" borderId="1" xfId="6" applyBorder="1" applyAlignment="1">
      <alignment vertical="center"/>
    </xf>
    <xf numFmtId="0" fontId="3" fillId="3" borderId="1" xfId="2" applyBorder="1" applyAlignment="1">
      <alignment horizontal="center" vertical="center" wrapText="1" readingOrder="2"/>
    </xf>
    <xf numFmtId="0" fontId="1" fillId="5" borderId="1" xfId="4" applyBorder="1" applyAlignment="1">
      <alignment vertical="center"/>
    </xf>
    <xf numFmtId="0" fontId="1" fillId="6" borderId="1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5" fillId="4" borderId="1" xfId="3" applyFont="1" applyBorder="1" applyAlignment="1">
      <alignment vertical="center"/>
    </xf>
    <xf numFmtId="0" fontId="1" fillId="8" borderId="1" xfId="7" applyBorder="1" applyAlignment="1">
      <alignment vertical="center"/>
    </xf>
    <xf numFmtId="0" fontId="3" fillId="3" borderId="2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15" fillId="1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5" fillId="10" borderId="5" xfId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 applyAlignment="1"/>
    <xf numFmtId="0" fontId="0" fillId="9" borderId="1" xfId="8" applyFont="1" applyBorder="1" applyAlignment="1">
      <alignment wrapText="1"/>
    </xf>
    <xf numFmtId="0" fontId="0" fillId="9" borderId="1" xfId="8" applyFont="1" applyBorder="1" applyAlignment="1">
      <alignment vertical="center" wrapText="1"/>
    </xf>
    <xf numFmtId="0" fontId="13" fillId="2" borderId="1" xfId="1" applyFont="1" applyBorder="1" applyAlignment="1">
      <alignment vertical="center" wrapText="1"/>
    </xf>
    <xf numFmtId="0" fontId="2" fillId="2" borderId="1" xfId="1" applyBorder="1" applyAlignment="1">
      <alignment horizontal="center" vertical="center" wrapText="1"/>
    </xf>
    <xf numFmtId="0" fontId="1" fillId="7" borderId="1" xfId="6" applyBorder="1" applyAlignment="1">
      <alignment vertical="center" wrapText="1"/>
    </xf>
    <xf numFmtId="0" fontId="0" fillId="7" borderId="1" xfId="6" applyFont="1" applyBorder="1" applyAlignment="1">
      <alignment horizontal="center" vertical="center" wrapText="1"/>
    </xf>
    <xf numFmtId="0" fontId="1" fillId="5" borderId="1" xfId="4" applyBorder="1" applyAlignment="1">
      <alignment horizontal="center" vertical="center"/>
    </xf>
    <xf numFmtId="0" fontId="13" fillId="5" borderId="1" xfId="4" applyFont="1" applyBorder="1" applyAlignment="1">
      <alignment horizontal="center"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/>
    </xf>
    <xf numFmtId="0" fontId="13" fillId="6" borderId="1" xfId="5" applyFont="1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3" fillId="3" borderId="1" xfId="2" applyBorder="1" applyAlignment="1">
      <alignment horizontal="center" vertical="center" wrapText="1"/>
    </xf>
    <xf numFmtId="0" fontId="2" fillId="2" borderId="2" xfId="1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10" fontId="11" fillId="0" borderId="1" xfId="0" applyNumberFormat="1" applyFont="1" applyBorder="1" applyAlignment="1">
      <alignment horizontal="center" vertical="center" wrapText="1"/>
    </xf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1" fillId="9" borderId="1" xfId="8" applyNumberFormat="1" applyBorder="1" applyAlignment="1">
      <alignment vertical="center"/>
    </xf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horizontal="center"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5" fillId="4" borderId="1" xfId="3" applyNumberFormat="1" applyFont="1" applyBorder="1" applyAlignment="1">
      <alignment vertical="center"/>
    </xf>
    <xf numFmtId="10" fontId="0" fillId="0" borderId="0" xfId="0" applyNumberFormat="1"/>
    <xf numFmtId="0" fontId="0" fillId="6" borderId="1" xfId="5" applyFont="1" applyBorder="1" applyAlignment="1">
      <alignment vertical="center"/>
    </xf>
    <xf numFmtId="10" fontId="15" fillId="10" borderId="1" xfId="1" applyNumberFormat="1" applyFont="1" applyFill="1" applyBorder="1" applyAlignment="1">
      <alignment horizontal="center" vertical="center" wrapText="1"/>
    </xf>
    <xf numFmtId="10" fontId="0" fillId="0" borderId="1" xfId="0" applyNumberFormat="1" applyBorder="1"/>
    <xf numFmtId="0" fontId="17" fillId="4" borderId="1" xfId="3" applyFont="1" applyBorder="1" applyAlignment="1">
      <alignment horizontal="center" vertical="center"/>
    </xf>
    <xf numFmtId="0" fontId="18" fillId="3" borderId="1" xfId="2" applyFont="1" applyBorder="1" applyAlignment="1">
      <alignment horizontal="center" vertical="center"/>
    </xf>
    <xf numFmtId="0" fontId="16" fillId="9" borderId="1" xfId="8" applyFont="1" applyBorder="1" applyAlignment="1">
      <alignment horizontal="center" vertical="center"/>
    </xf>
    <xf numFmtId="0" fontId="19" fillId="2" borderId="1" xfId="1" applyFont="1" applyBorder="1" applyAlignment="1">
      <alignment horizontal="center" vertical="center"/>
    </xf>
    <xf numFmtId="0" fontId="17" fillId="4" borderId="2" xfId="3" applyFont="1" applyBorder="1" applyAlignment="1">
      <alignment horizontal="center" vertical="center"/>
    </xf>
    <xf numFmtId="0" fontId="16" fillId="7" borderId="3" xfId="6" applyFont="1" applyBorder="1" applyAlignment="1">
      <alignment horizontal="center" vertical="center"/>
    </xf>
    <xf numFmtId="0" fontId="18" fillId="3" borderId="2" xfId="2" applyFont="1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6" fillId="5" borderId="1" xfId="4" applyFont="1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6" fillId="6" borderId="2" xfId="5" applyFont="1" applyBorder="1" applyAlignment="1">
      <alignment horizontal="center" vertical="center"/>
    </xf>
    <xf numFmtId="0" fontId="19" fillId="2" borderId="3" xfId="1" applyFont="1" applyBorder="1" applyAlignment="1">
      <alignment horizontal="center" vertical="center"/>
    </xf>
    <xf numFmtId="0" fontId="16" fillId="8" borderId="3" xfId="7" applyFont="1" applyBorder="1" applyAlignment="1">
      <alignment horizontal="center" vertical="center"/>
    </xf>
    <xf numFmtId="0" fontId="19" fillId="2" borderId="2" xfId="1" applyFont="1" applyBorder="1" applyAlignment="1">
      <alignment horizontal="center" vertical="center"/>
    </xf>
    <xf numFmtId="0" fontId="17" fillId="4" borderId="3" xfId="3" applyFont="1" applyBorder="1" applyAlignment="1">
      <alignment horizontal="center"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wrapText="1"/>
    </xf>
    <xf numFmtId="0" fontId="3" fillId="3" borderId="0" xfId="2" applyBorder="1" applyAlignment="1">
      <alignment vertical="center"/>
    </xf>
    <xf numFmtId="10" fontId="3" fillId="3" borderId="0" xfId="2" applyNumberFormat="1" applyBorder="1" applyAlignment="1">
      <alignment vertical="center"/>
    </xf>
    <xf numFmtId="0" fontId="18" fillId="3" borderId="0" xfId="2" applyFont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/>
    </xf>
  </cellXfs>
  <cellStyles count="9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Sheet1!$F$2:$F$6</c:f>
              <c:strCache>
                <c:ptCount val="5"/>
                <c:pt idx="0">
                  <c:v>[ɻ]</c:v>
                </c:pt>
                <c:pt idx="1">
                  <c:v>[l]</c:v>
                </c:pt>
                <c:pt idx="2">
                  <c:v>[ʁ]</c:v>
                </c:pt>
                <c:pt idx="3">
                  <c:v>[w]</c:v>
                </c:pt>
                <c:pt idx="4">
                  <c:v>[j]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16</c:v>
                </c:pt>
                <c:pt idx="1">
                  <c:v>9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335-9C6C-E2DE7BBB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401535"/>
        <c:axId val="10403973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Sheet1!$F$2:$F$6</c:f>
              <c:strCache>
                <c:ptCount val="5"/>
                <c:pt idx="0">
                  <c:v>[ɻ]</c:v>
                </c:pt>
                <c:pt idx="1">
                  <c:v>[l]</c:v>
                </c:pt>
                <c:pt idx="2">
                  <c:v>[ʁ]</c:v>
                </c:pt>
                <c:pt idx="3">
                  <c:v>[w]</c:v>
                </c:pt>
                <c:pt idx="4">
                  <c:v>[j]</c:v>
                </c:pt>
              </c:strCache>
            </c:strRef>
          </c:cat>
          <c:val>
            <c:numRef>
              <c:f>Sheet1!$H$2:$H$6</c:f>
              <c:numCache>
                <c:formatCode>0.00%</c:formatCode>
                <c:ptCount val="5"/>
                <c:pt idx="0">
                  <c:v>6.8965517241379309E-2</c:v>
                </c:pt>
                <c:pt idx="1">
                  <c:v>3.8793103448275863E-2</c:v>
                </c:pt>
                <c:pt idx="2">
                  <c:v>1.2931034482758621E-2</c:v>
                </c:pt>
                <c:pt idx="3">
                  <c:v>4.3103448275862068E-3</c:v>
                </c:pt>
                <c:pt idx="4">
                  <c:v>4.3103448275862068E-3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E-4335-9C6C-E2DE7BBB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400287"/>
        <c:axId val="1040396543"/>
      </c:lineChart>
      <c:catAx>
        <c:axId val="10404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97375"/>
        <c:crosses val="autoZero"/>
        <c:auto val="1"/>
        <c:lblAlgn val="ctr"/>
        <c:lblOffset val="100"/>
        <c:noMultiLvlLbl val="0"/>
      </c:catAx>
      <c:valAx>
        <c:axId val="104039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01535"/>
        <c:crosses val="autoZero"/>
        <c:crossBetween val="between"/>
      </c:valAx>
      <c:valAx>
        <c:axId val="10403965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00287"/>
        <c:crosses val="max"/>
        <c:crossBetween val="between"/>
      </c:valAx>
      <c:catAx>
        <c:axId val="1040400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03965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Sheet1!$F$8:$F$12</c:f>
              <c:strCache>
                <c:ptCount val="5"/>
                <c:pt idx="0">
                  <c:v>[r]</c:v>
                </c:pt>
                <c:pt idx="1">
                  <c:v>[d]</c:v>
                </c:pt>
                <c:pt idx="2">
                  <c:v>[n]</c:v>
                </c:pt>
                <c:pt idx="3">
                  <c:v>[w]</c:v>
                </c:pt>
                <c:pt idx="4">
                  <c:v>[j]</c:v>
                </c:pt>
              </c:strCache>
            </c:strRef>
          </c:cat>
          <c:val>
            <c:numRef>
              <c:f>Sheet1!$G$8:$G$12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D-4A04-BC88-598B9E0DF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412015"/>
        <c:axId val="11534145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Sheet1!$F$8:$F$12</c:f>
              <c:strCache>
                <c:ptCount val="5"/>
                <c:pt idx="0">
                  <c:v>[r]</c:v>
                </c:pt>
                <c:pt idx="1">
                  <c:v>[d]</c:v>
                </c:pt>
                <c:pt idx="2">
                  <c:v>[n]</c:v>
                </c:pt>
                <c:pt idx="3">
                  <c:v>[w]</c:v>
                </c:pt>
                <c:pt idx="4">
                  <c:v>[j]</c:v>
                </c:pt>
              </c:strCache>
            </c:strRef>
          </c:cat>
          <c:val>
            <c:numRef>
              <c:f>Sheet1!$H$8:$H$12</c:f>
              <c:numCache>
                <c:formatCode>0.00%</c:formatCode>
                <c:ptCount val="5"/>
                <c:pt idx="0">
                  <c:v>3.1847133757961785E-3</c:v>
                </c:pt>
                <c:pt idx="1">
                  <c:v>3.1847133757961785E-3</c:v>
                </c:pt>
                <c:pt idx="2">
                  <c:v>3.1847133757961785E-3</c:v>
                </c:pt>
                <c:pt idx="3">
                  <c:v>3.1847133757961785E-3</c:v>
                </c:pt>
                <c:pt idx="4">
                  <c:v>3.1847133757961785E-3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0D-4A04-BC88-598B9E0DF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671551"/>
        <c:axId val="1163671967"/>
      </c:lineChart>
      <c:catAx>
        <c:axId val="11534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14511"/>
        <c:crosses val="autoZero"/>
        <c:auto val="1"/>
        <c:lblAlgn val="ctr"/>
        <c:lblOffset val="100"/>
        <c:noMultiLvlLbl val="0"/>
      </c:catAx>
      <c:valAx>
        <c:axId val="11534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12015"/>
        <c:crosses val="autoZero"/>
        <c:crossBetween val="between"/>
      </c:valAx>
      <c:valAx>
        <c:axId val="11636719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71551"/>
        <c:crosses val="max"/>
        <c:crossBetween val="between"/>
      </c:valAx>
      <c:catAx>
        <c:axId val="11636715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36719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Sheet1!$F$14:$F$16</c:f>
              <c:strCache>
                <c:ptCount val="3"/>
                <c:pt idx="0">
                  <c:v>[s]</c:v>
                </c:pt>
                <c:pt idx="1">
                  <c:v>[z̥]</c:v>
                </c:pt>
                <c:pt idx="2">
                  <c:v>[ð]</c:v>
                </c:pt>
              </c:strCache>
            </c:strRef>
          </c:cat>
          <c:val>
            <c:numRef>
              <c:f>Sheet1!$G$14:$G$16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E-42CC-B279-C25ED409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673631"/>
        <c:axId val="11636723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Sheet1!$F$14:$F$16</c:f>
              <c:strCache>
                <c:ptCount val="3"/>
                <c:pt idx="0">
                  <c:v>[s]</c:v>
                </c:pt>
                <c:pt idx="1">
                  <c:v>[z̥]</c:v>
                </c:pt>
                <c:pt idx="2">
                  <c:v>[ð]</c:v>
                </c:pt>
              </c:strCache>
            </c:strRef>
          </c:cat>
          <c:val>
            <c:numRef>
              <c:f>Sheet1!$H$14:$H$16</c:f>
              <c:numCache>
                <c:formatCode>0.00%</c:formatCode>
                <c:ptCount val="3"/>
                <c:pt idx="0">
                  <c:v>0.125</c:v>
                </c:pt>
                <c:pt idx="1">
                  <c:v>4.1666666666666664E-2</c:v>
                </c:pt>
                <c:pt idx="2">
                  <c:v>4.1666666666666664E-2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E-42CC-B279-C25ED409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674879"/>
        <c:axId val="1163674463"/>
      </c:lineChart>
      <c:catAx>
        <c:axId val="116367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72383"/>
        <c:crosses val="autoZero"/>
        <c:auto val="1"/>
        <c:lblAlgn val="ctr"/>
        <c:lblOffset val="100"/>
        <c:noMultiLvlLbl val="0"/>
      </c:catAx>
      <c:valAx>
        <c:axId val="11636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73631"/>
        <c:crosses val="autoZero"/>
        <c:crossBetween val="between"/>
      </c:valAx>
      <c:valAx>
        <c:axId val="11636744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74879"/>
        <c:crosses val="max"/>
        <c:crossBetween val="between"/>
      </c:valAx>
      <c:catAx>
        <c:axId val="1163674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36744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A-4A7F-BA94-61DAFCE0CD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Sheet1!$H$18</c:f>
              <c:numCache>
                <c:formatCode>0.00%</c:formatCode>
                <c:ptCount val="1"/>
                <c:pt idx="0">
                  <c:v>0.17857142857142858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A-4A7F-BA94-61DAFCE0C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820143"/>
        <c:axId val="1166821391"/>
      </c:barChart>
      <c:catAx>
        <c:axId val="11668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21391"/>
        <c:crosses val="autoZero"/>
        <c:auto val="1"/>
        <c:lblAlgn val="ctr"/>
        <c:lblOffset val="100"/>
        <c:noMultiLvlLbl val="0"/>
      </c:catAx>
      <c:valAx>
        <c:axId val="116682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20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Sheet1!$F$20:$F$22</c:f>
              <c:strCache>
                <c:ptCount val="3"/>
                <c:pt idx="0">
                  <c:v>[z]</c:v>
                </c:pt>
                <c:pt idx="1">
                  <c:v>[ð]</c:v>
                </c:pt>
                <c:pt idx="2">
                  <c:v>[sˤ]</c:v>
                </c:pt>
              </c:strCache>
            </c:strRef>
          </c:cat>
          <c:val>
            <c:numRef>
              <c:f>Sheet1!$G$20:$G$22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9-44C0-A3DA-D77B6AE6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768527"/>
        <c:axId val="10467689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Sheet1!$F$20:$F$22</c:f>
              <c:strCache>
                <c:ptCount val="3"/>
                <c:pt idx="0">
                  <c:v>[z]</c:v>
                </c:pt>
                <c:pt idx="1">
                  <c:v>[ð]</c:v>
                </c:pt>
                <c:pt idx="2">
                  <c:v>[sˤ]</c:v>
                </c:pt>
              </c:strCache>
            </c:strRef>
          </c:cat>
          <c:val>
            <c:numRef>
              <c:f>Sheet1!$H$20:$H$22</c:f>
              <c:numCache>
                <c:formatCode>0.00%</c:formatCode>
                <c:ptCount val="3"/>
                <c:pt idx="0">
                  <c:v>0.16666666666666666</c:v>
                </c:pt>
                <c:pt idx="1">
                  <c:v>0.1111111111111111</c:v>
                </c:pt>
                <c:pt idx="2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C0-A3DA-D77B6AE6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763951"/>
        <c:axId val="1046762287"/>
      </c:lineChart>
      <c:catAx>
        <c:axId val="10467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68943"/>
        <c:crosses val="autoZero"/>
        <c:auto val="1"/>
        <c:lblAlgn val="ctr"/>
        <c:lblOffset val="100"/>
        <c:noMultiLvlLbl val="0"/>
      </c:catAx>
      <c:valAx>
        <c:axId val="104676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68527"/>
        <c:crosses val="autoZero"/>
        <c:crossBetween val="between"/>
      </c:valAx>
      <c:valAx>
        <c:axId val="10467622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63951"/>
        <c:crosses val="max"/>
        <c:crossBetween val="between"/>
      </c:valAx>
      <c:catAx>
        <c:axId val="1046763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67622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Sheet1!$F$24:$F$25</c:f>
              <c:strCache>
                <c:ptCount val="2"/>
                <c:pt idx="0">
                  <c:v>[θ]</c:v>
                </c:pt>
                <c:pt idx="1">
                  <c:v>[s]</c:v>
                </c:pt>
              </c:strCache>
            </c:strRef>
          </c:cat>
          <c:val>
            <c:numRef>
              <c:f>Sheet1!$G$24:$G$25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E-4595-A235-A4C8F30D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593071"/>
        <c:axId val="10385926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Sheet1!$F$24:$F$25</c:f>
              <c:strCache>
                <c:ptCount val="2"/>
                <c:pt idx="0">
                  <c:v>[θ]</c:v>
                </c:pt>
                <c:pt idx="1">
                  <c:v>[s]</c:v>
                </c:pt>
              </c:strCache>
            </c:strRef>
          </c:cat>
          <c:val>
            <c:numRef>
              <c:f>Sheet1!$H$24:$H$25</c:f>
              <c:numCache>
                <c:formatCode>0.00%</c:formatCode>
                <c:ptCount val="2"/>
                <c:pt idx="0">
                  <c:v>0.1388888888888889</c:v>
                </c:pt>
                <c:pt idx="1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E-4595-A235-A4C8F30D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767535"/>
        <c:axId val="1044583215"/>
      </c:lineChart>
      <c:catAx>
        <c:axId val="10385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92655"/>
        <c:crosses val="autoZero"/>
        <c:auto val="1"/>
        <c:lblAlgn val="ctr"/>
        <c:lblOffset val="100"/>
        <c:noMultiLvlLbl val="0"/>
      </c:catAx>
      <c:valAx>
        <c:axId val="103859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93071"/>
        <c:crosses val="autoZero"/>
        <c:crossBetween val="between"/>
      </c:valAx>
      <c:valAx>
        <c:axId val="10445832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767535"/>
        <c:crosses val="max"/>
        <c:crossBetween val="between"/>
      </c:valAx>
      <c:catAx>
        <c:axId val="1165767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45832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Sheet1!$F$27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Sheet1!$G$27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1-4083-AA86-F74A4319056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Sheet1!$F$27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Sheet1!$H$27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1-4083-AA86-F74A43190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396127"/>
        <c:axId val="1040397791"/>
      </c:barChart>
      <c:catAx>
        <c:axId val="10403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97791"/>
        <c:crosses val="autoZero"/>
        <c:auto val="1"/>
        <c:lblAlgn val="ctr"/>
        <c:lblOffset val="100"/>
        <c:noMultiLvlLbl val="0"/>
      </c:catAx>
      <c:valAx>
        <c:axId val="10403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96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Sheet1!$F$29:$F$33</c:f>
              <c:strCache>
                <c:ptCount val="5"/>
                <c:pt idx="0">
                  <c:v>[d͡ʒ̥]</c:v>
                </c:pt>
                <c:pt idx="1">
                  <c:v>[ʒ]</c:v>
                </c:pt>
                <c:pt idx="2">
                  <c:v>[ʃ]</c:v>
                </c:pt>
                <c:pt idx="3">
                  <c:v>[t]</c:v>
                </c:pt>
                <c:pt idx="4">
                  <c:v>[d]</c:v>
                </c:pt>
              </c:strCache>
            </c:strRef>
          </c:cat>
          <c:val>
            <c:numRef>
              <c:f>Sheet1!$G$29:$G$33</c:f>
              <c:numCache>
                <c:formatCode>General</c:formatCode>
                <c:ptCount val="5"/>
                <c:pt idx="0">
                  <c:v>24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E-4B1B-83FF-AA792C207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093519"/>
        <c:axId val="11580918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Sheet1!$F$29:$F$33</c:f>
              <c:strCache>
                <c:ptCount val="5"/>
                <c:pt idx="0">
                  <c:v>[d͡ʒ̥]</c:v>
                </c:pt>
                <c:pt idx="1">
                  <c:v>[ʒ]</c:v>
                </c:pt>
                <c:pt idx="2">
                  <c:v>[ʃ]</c:v>
                </c:pt>
                <c:pt idx="3">
                  <c:v>[t]</c:v>
                </c:pt>
                <c:pt idx="4">
                  <c:v>[d]</c:v>
                </c:pt>
              </c:strCache>
            </c:strRef>
          </c:cat>
          <c:val>
            <c:numRef>
              <c:f>Sheet1!$H$29:$H$33</c:f>
              <c:numCache>
                <c:formatCode>0.00%</c:formatCode>
                <c:ptCount val="5"/>
                <c:pt idx="0">
                  <c:v>0.32</c:v>
                </c:pt>
                <c:pt idx="1">
                  <c:v>0.13333333333333333</c:v>
                </c:pt>
                <c:pt idx="2">
                  <c:v>6.6666666666666666E-2</c:v>
                </c:pt>
                <c:pt idx="3">
                  <c:v>2.6666666666666668E-2</c:v>
                </c:pt>
                <c:pt idx="4">
                  <c:v>2.6666666666666668E-2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E-4B1B-83FF-AA792C207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818895"/>
        <c:axId val="1158094351"/>
      </c:lineChart>
      <c:catAx>
        <c:axId val="11580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91855"/>
        <c:crosses val="autoZero"/>
        <c:auto val="1"/>
        <c:lblAlgn val="ctr"/>
        <c:lblOffset val="100"/>
        <c:noMultiLvlLbl val="0"/>
      </c:catAx>
      <c:valAx>
        <c:axId val="11580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93519"/>
        <c:crosses val="autoZero"/>
        <c:crossBetween val="between"/>
      </c:valAx>
      <c:valAx>
        <c:axId val="11580943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18895"/>
        <c:crosses val="max"/>
        <c:crossBetween val="between"/>
      </c:valAx>
      <c:catAx>
        <c:axId val="116681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80943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Sheet1!$F$35:$F$36</c:f>
              <c:strCache>
                <c:ptCount val="2"/>
                <c:pt idx="0">
                  <c:v>[g]</c:v>
                </c:pt>
                <c:pt idx="1">
                  <c:v>[k]</c:v>
                </c:pt>
              </c:strCache>
            </c:strRef>
          </c:cat>
          <c:val>
            <c:numRef>
              <c:f>Sheet1!$G$35:$G$36</c:f>
              <c:numCache>
                <c:formatCode>General</c:formatCode>
                <c:ptCount val="2"/>
                <c:pt idx="0">
                  <c:v>30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0-419C-A220-2490A4C28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041327"/>
        <c:axId val="117304423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Sheet1!$F$35:$F$36</c:f>
              <c:strCache>
                <c:ptCount val="2"/>
                <c:pt idx="0">
                  <c:v>[g]</c:v>
                </c:pt>
                <c:pt idx="1">
                  <c:v>[k]</c:v>
                </c:pt>
              </c:strCache>
            </c:strRef>
          </c:cat>
          <c:val>
            <c:numRef>
              <c:f>Sheet1!$H$35:$H$36</c:f>
              <c:numCache>
                <c:formatCode>0.00%</c:formatCode>
                <c:ptCount val="2"/>
                <c:pt idx="0">
                  <c:v>0.52631578947368418</c:v>
                </c:pt>
                <c:pt idx="1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0-419C-A220-2490A4C28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414095"/>
        <c:axId val="1163673215"/>
      </c:lineChart>
      <c:catAx>
        <c:axId val="117304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4239"/>
        <c:crosses val="autoZero"/>
        <c:auto val="1"/>
        <c:lblAlgn val="ctr"/>
        <c:lblOffset val="100"/>
        <c:noMultiLvlLbl val="0"/>
      </c:catAx>
      <c:valAx>
        <c:axId val="11730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1327"/>
        <c:crosses val="autoZero"/>
        <c:crossBetween val="between"/>
      </c:valAx>
      <c:valAx>
        <c:axId val="11636732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14095"/>
        <c:crosses val="max"/>
        <c:crossBetween val="between"/>
      </c:valAx>
      <c:catAx>
        <c:axId val="1153414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36732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[ʃ]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Sheet1!$F$38:$F$39</c:f>
              <c:strCache>
                <c:ptCount val="2"/>
                <c:pt idx="0">
                  <c:v>[s]</c:v>
                </c:pt>
                <c:pt idx="1">
                  <c:v>[θ]</c:v>
                </c:pt>
              </c:strCache>
            </c:strRef>
          </c:cat>
          <c:val>
            <c:numRef>
              <c:f>Sheet1!$G$38:$G$39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0-40B1-867F-FAEA9C23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994175"/>
        <c:axId val="115809310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Sheet1!$F$38:$F$39</c:f>
              <c:strCache>
                <c:ptCount val="2"/>
                <c:pt idx="0">
                  <c:v>[s]</c:v>
                </c:pt>
                <c:pt idx="1">
                  <c:v>[θ]</c:v>
                </c:pt>
              </c:strCache>
            </c:strRef>
          </c:cat>
          <c:val>
            <c:numRef>
              <c:f>Sheet1!$H$38:$H$39</c:f>
              <c:numCache>
                <c:formatCode>0.00%</c:formatCode>
                <c:ptCount val="2"/>
                <c:pt idx="0">
                  <c:v>0.02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E0-40B1-867F-FAEA9C23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130319"/>
        <c:axId val="1170130735"/>
      </c:lineChart>
      <c:catAx>
        <c:axId val="115199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93103"/>
        <c:crosses val="autoZero"/>
        <c:auto val="1"/>
        <c:lblAlgn val="ctr"/>
        <c:lblOffset val="100"/>
        <c:noMultiLvlLbl val="0"/>
      </c:catAx>
      <c:valAx>
        <c:axId val="115809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94175"/>
        <c:crosses val="autoZero"/>
        <c:crossBetween val="between"/>
      </c:valAx>
      <c:valAx>
        <c:axId val="11701307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30319"/>
        <c:crosses val="max"/>
        <c:crossBetween val="between"/>
      </c:valAx>
      <c:catAx>
        <c:axId val="1170130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01307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Sheet1!$F$41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Sheet1!$G$41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A-4D61-BC0D-EDFF35C37E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Sheet1!$F$41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Sheet1!$H$41</c:f>
              <c:numCache>
                <c:formatCode>0.00%</c:formatCode>
                <c:ptCount val="1"/>
                <c:pt idx="0">
                  <c:v>2.3255813953488372E-2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A-4D61-BC0D-EDFF35C3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131567"/>
        <c:axId val="1151991679"/>
      </c:barChart>
      <c:catAx>
        <c:axId val="117013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91679"/>
        <c:crosses val="autoZero"/>
        <c:auto val="1"/>
        <c:lblAlgn val="ctr"/>
        <c:lblOffset val="100"/>
        <c:noMultiLvlLbl val="0"/>
      </c:catAx>
      <c:valAx>
        <c:axId val="11519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31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[ɣ]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Sheet1!$F$43:$F$44</c:f>
              <c:strCache>
                <c:ptCount val="2"/>
                <c:pt idx="0">
                  <c:v>[χ]</c:v>
                </c:pt>
                <c:pt idx="1">
                  <c:v>[ʔ]</c:v>
                </c:pt>
              </c:strCache>
            </c:strRef>
          </c:cat>
          <c:val>
            <c:numRef>
              <c:f>Sheet1!$G$43:$G$44</c:f>
              <c:numCache>
                <c:formatCode>General</c:formatCode>
                <c:ptCount val="2"/>
                <c:pt idx="0">
                  <c:v>18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D-4EC3-93C2-58C4E4FC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151583"/>
        <c:axId val="10431474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Sheet1!$F$43:$F$44</c:f>
              <c:strCache>
                <c:ptCount val="2"/>
                <c:pt idx="0">
                  <c:v>[χ]</c:v>
                </c:pt>
                <c:pt idx="1">
                  <c:v>[ʔ]</c:v>
                </c:pt>
              </c:strCache>
            </c:strRef>
          </c:cat>
          <c:val>
            <c:numRef>
              <c:f>Sheet1!$H$43:$H$44</c:f>
              <c:numCache>
                <c:formatCode>0.00%</c:formatCode>
                <c:ptCount val="2"/>
                <c:pt idx="0">
                  <c:v>0.41860465116279072</c:v>
                </c:pt>
                <c:pt idx="1">
                  <c:v>2.3255813953488372E-2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D-4EC3-93C2-58C4E4FC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145759"/>
        <c:axId val="1043144927"/>
      </c:lineChart>
      <c:catAx>
        <c:axId val="104315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47423"/>
        <c:crosses val="autoZero"/>
        <c:auto val="1"/>
        <c:lblAlgn val="ctr"/>
        <c:lblOffset val="100"/>
        <c:noMultiLvlLbl val="0"/>
      </c:catAx>
      <c:valAx>
        <c:axId val="104314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51583"/>
        <c:crosses val="autoZero"/>
        <c:crossBetween val="between"/>
      </c:valAx>
      <c:valAx>
        <c:axId val="10431449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45759"/>
        <c:crosses val="max"/>
        <c:crossBetween val="between"/>
      </c:valAx>
      <c:catAx>
        <c:axId val="1043145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314492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[ʕ]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Sheet1!$F$46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Sheet1!$G$46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4-401A-A2C9-F7CA15F546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Sheet1!$F$46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Sheet1!$H$46</c:f>
              <c:numCache>
                <c:formatCode>0.00%</c:formatCode>
                <c:ptCount val="1"/>
                <c:pt idx="0">
                  <c:v>4.6296296296296294E-2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4-401A-A2C9-F7CA15F5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041743"/>
        <c:axId val="1173042159"/>
      </c:barChart>
      <c:catAx>
        <c:axId val="11730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2159"/>
        <c:crosses val="autoZero"/>
        <c:auto val="1"/>
        <c:lblAlgn val="ctr"/>
        <c:lblOffset val="100"/>
        <c:noMultiLvlLbl val="0"/>
      </c:catAx>
      <c:valAx>
        <c:axId val="11730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1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Sheet1!$F$48:$F$49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Sheet1!$G$48:$G$49</c:f>
              <c:numCache>
                <c:formatCode>General</c:formatCode>
                <c:ptCount val="2"/>
                <c:pt idx="0">
                  <c:v>15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4-445C-BE18-06DEEB90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038831"/>
        <c:axId val="10341379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Sheet1!$F$48:$F$49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Sheet1!$H$48:$H$49</c:f>
              <c:numCache>
                <c:formatCode>0.00%</c:formatCode>
                <c:ptCount val="2"/>
                <c:pt idx="0">
                  <c:v>0.18072289156626506</c:v>
                </c:pt>
                <c:pt idx="1">
                  <c:v>1.2048192771084338E-2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4-445C-BE18-06DEEB90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356287"/>
        <c:axId val="1034137583"/>
      </c:lineChart>
      <c:catAx>
        <c:axId val="11730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37999"/>
        <c:crosses val="autoZero"/>
        <c:auto val="1"/>
        <c:lblAlgn val="ctr"/>
        <c:lblOffset val="100"/>
        <c:noMultiLvlLbl val="0"/>
      </c:catAx>
      <c:valAx>
        <c:axId val="103413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38831"/>
        <c:crosses val="autoZero"/>
        <c:crossBetween val="between"/>
      </c:valAx>
      <c:valAx>
        <c:axId val="10341375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56287"/>
        <c:crosses val="max"/>
        <c:crossBetween val="between"/>
      </c:valAx>
      <c:catAx>
        <c:axId val="1047356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41375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Sheet1!$F$51:$F$52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Sheet1!$G$51:$G$52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9-49F6-9FAA-45A9F33B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983151"/>
        <c:axId val="103413966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Sheet1!$F$51:$F$52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Sheet1!$H$51:$H$52</c:f>
              <c:numCache>
                <c:formatCode>0.00%</c:formatCode>
                <c:ptCount val="2"/>
                <c:pt idx="0">
                  <c:v>0.16250000000000001</c:v>
                </c:pt>
                <c:pt idx="1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9-49F6-9FAA-45A9F33B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576095"/>
        <c:axId val="1152579007"/>
      </c:lineChart>
      <c:catAx>
        <c:axId val="11709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39663"/>
        <c:crosses val="autoZero"/>
        <c:auto val="1"/>
        <c:lblAlgn val="ctr"/>
        <c:lblOffset val="100"/>
        <c:noMultiLvlLbl val="0"/>
      </c:catAx>
      <c:valAx>
        <c:axId val="10341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3151"/>
        <c:crosses val="autoZero"/>
        <c:crossBetween val="between"/>
      </c:valAx>
      <c:valAx>
        <c:axId val="11525790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6095"/>
        <c:crosses val="max"/>
        <c:crossBetween val="between"/>
      </c:valAx>
      <c:catAx>
        <c:axId val="115257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257900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Sheet1!$F$54:$F$60</c:f>
              <c:strCache>
                <c:ptCount val="7"/>
                <c:pt idx="0">
                  <c:v>[j]</c:v>
                </c:pt>
                <c:pt idx="1">
                  <c:v>[w]</c:v>
                </c:pt>
                <c:pt idx="2">
                  <c:v>[n]</c:v>
                </c:pt>
                <c:pt idx="3">
                  <c:v>[n]</c:v>
                </c:pt>
                <c:pt idx="4">
                  <c:v>[r]</c:v>
                </c:pt>
                <c:pt idx="5">
                  <c:v>[-]</c:v>
                </c:pt>
                <c:pt idx="6">
                  <c:v>[ɑ]</c:v>
                </c:pt>
              </c:strCache>
            </c:strRef>
          </c:cat>
          <c:val>
            <c:numRef>
              <c:f>Sheet1!$G$54:$G$60</c:f>
              <c:numCache>
                <c:formatCode>General</c:formatCode>
                <c:ptCount val="7"/>
                <c:pt idx="0">
                  <c:v>16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E-4FA8-B7A8-528DA18D8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756159"/>
        <c:axId val="10467490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Sheet1!$F$54:$F$60</c:f>
              <c:strCache>
                <c:ptCount val="7"/>
                <c:pt idx="0">
                  <c:v>[j]</c:v>
                </c:pt>
                <c:pt idx="1">
                  <c:v>[w]</c:v>
                </c:pt>
                <c:pt idx="2">
                  <c:v>[n]</c:v>
                </c:pt>
                <c:pt idx="3">
                  <c:v>[n]</c:v>
                </c:pt>
                <c:pt idx="4">
                  <c:v>[r]</c:v>
                </c:pt>
                <c:pt idx="5">
                  <c:v>[-]</c:v>
                </c:pt>
                <c:pt idx="6">
                  <c:v>[ɑ]</c:v>
                </c:pt>
              </c:strCache>
            </c:strRef>
          </c:cat>
          <c:val>
            <c:numRef>
              <c:f>Sheet1!$H$54:$H$60</c:f>
              <c:numCache>
                <c:formatCode>0.00%</c:formatCode>
                <c:ptCount val="7"/>
                <c:pt idx="0">
                  <c:v>7.1748878923766815E-2</c:v>
                </c:pt>
                <c:pt idx="1">
                  <c:v>2.6905829596412557E-2</c:v>
                </c:pt>
                <c:pt idx="2">
                  <c:v>8.9686098654708519E-3</c:v>
                </c:pt>
                <c:pt idx="3">
                  <c:v>8.9686098654708519E-3</c:v>
                </c:pt>
                <c:pt idx="4">
                  <c:v>4.4843049327354259E-3</c:v>
                </c:pt>
                <c:pt idx="5">
                  <c:v>4.4843049327354259E-3</c:v>
                </c:pt>
                <c:pt idx="6">
                  <c:v>4.4843049327354259E-3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E-4FA8-B7A8-528DA18D8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755327"/>
        <c:axId val="1046751167"/>
      </c:lineChart>
      <c:catAx>
        <c:axId val="104675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49087"/>
        <c:crosses val="autoZero"/>
        <c:auto val="1"/>
        <c:lblAlgn val="ctr"/>
        <c:lblOffset val="100"/>
        <c:noMultiLvlLbl val="0"/>
      </c:catAx>
      <c:valAx>
        <c:axId val="10467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56159"/>
        <c:crosses val="autoZero"/>
        <c:crossBetween val="between"/>
      </c:valAx>
      <c:valAx>
        <c:axId val="10467511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55327"/>
        <c:crosses val="max"/>
        <c:crossBetween val="between"/>
      </c:valAx>
      <c:catAx>
        <c:axId val="1046755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67511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Sheet1!$F$62</c:f>
              <c:strCache>
                <c:ptCount val="1"/>
                <c:pt idx="0">
                  <c:v>[v]</c:v>
                </c:pt>
              </c:strCache>
            </c:strRef>
          </c:cat>
          <c:val>
            <c:numRef>
              <c:f>Sheet1!$G$62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5-45C7-AB9D-4BE756DD76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Sheet1!$F$62</c:f>
              <c:strCache>
                <c:ptCount val="1"/>
                <c:pt idx="0">
                  <c:v>[v]</c:v>
                </c:pt>
              </c:strCache>
            </c:strRef>
          </c:cat>
          <c:val>
            <c:numRef>
              <c:f>Sheet1!$H$62</c:f>
              <c:numCache>
                <c:formatCode>0.00%</c:formatCode>
                <c:ptCount val="1"/>
                <c:pt idx="0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5-45C7-AB9D-4BE756DD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042575"/>
        <c:axId val="1173043823"/>
      </c:barChart>
      <c:catAx>
        <c:axId val="117304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3823"/>
        <c:crosses val="autoZero"/>
        <c:auto val="1"/>
        <c:lblAlgn val="ctr"/>
        <c:lblOffset val="100"/>
        <c:noMultiLvlLbl val="0"/>
      </c:catAx>
      <c:valAx>
        <c:axId val="117304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2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Sheet1!$F$64:$F$66</c:f>
              <c:strCache>
                <c:ptCount val="3"/>
                <c:pt idx="0">
                  <c:v>[-]</c:v>
                </c:pt>
                <c:pt idx="1">
                  <c:v>[d]</c:v>
                </c:pt>
                <c:pt idx="2">
                  <c:v>[n]</c:v>
                </c:pt>
              </c:strCache>
            </c:strRef>
          </c:cat>
          <c:val>
            <c:numRef>
              <c:f>Sheet1!$G$64:$G$66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4-4451-B706-9F9D77A17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577759"/>
        <c:axId val="11525769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Sheet1!$F$64:$F$66</c:f>
              <c:strCache>
                <c:ptCount val="3"/>
                <c:pt idx="0">
                  <c:v>[-]</c:v>
                </c:pt>
                <c:pt idx="1">
                  <c:v>[d]</c:v>
                </c:pt>
                <c:pt idx="2">
                  <c:v>[n]</c:v>
                </c:pt>
              </c:strCache>
            </c:strRef>
          </c:cat>
          <c:val>
            <c:numRef>
              <c:f>Sheet1!$H$64:$H$66</c:f>
              <c:numCache>
                <c:formatCode>0.00%</c:formatCode>
                <c:ptCount val="3"/>
                <c:pt idx="0">
                  <c:v>1.9230769230769232E-2</c:v>
                </c:pt>
                <c:pt idx="1">
                  <c:v>1.282051282051282E-2</c:v>
                </c:pt>
                <c:pt idx="2">
                  <c:v>6.41025641025641E-3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4-4451-B706-9F9D77A17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578591"/>
        <c:axId val="1152578175"/>
      </c:lineChart>
      <c:catAx>
        <c:axId val="115257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6927"/>
        <c:crosses val="autoZero"/>
        <c:auto val="1"/>
        <c:lblAlgn val="ctr"/>
        <c:lblOffset val="100"/>
        <c:noMultiLvlLbl val="0"/>
      </c:catAx>
      <c:valAx>
        <c:axId val="115257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7759"/>
        <c:crosses val="autoZero"/>
        <c:crossBetween val="between"/>
      </c:valAx>
      <c:valAx>
        <c:axId val="115257817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8591"/>
        <c:crosses val="max"/>
        <c:crossBetween val="between"/>
      </c:valAx>
      <c:catAx>
        <c:axId val="1152578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257817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Sheet1!$F$68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Sheet1!$G$68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C-43FC-A6D0-064FC7B0DFA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Sheet1!$F$68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Sheet1!$H$68</c:f>
              <c:numCache>
                <c:formatCode>0.00%</c:formatCode>
                <c:ptCount val="1"/>
                <c:pt idx="0">
                  <c:v>9.3896713615023476E-3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1C-43FC-A6D0-064FC7B0D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992095"/>
        <c:axId val="1151993343"/>
      </c:barChart>
      <c:catAx>
        <c:axId val="11519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93343"/>
        <c:crosses val="autoZero"/>
        <c:auto val="1"/>
        <c:lblAlgn val="ctr"/>
        <c:lblOffset val="100"/>
        <c:noMultiLvlLbl val="0"/>
      </c:catAx>
      <c:valAx>
        <c:axId val="11519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92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Sheet1!$F$70:$F$72</c:f>
              <c:strCache>
                <c:ptCount val="3"/>
                <c:pt idx="0">
                  <c:v>[p]</c:v>
                </c:pt>
                <c:pt idx="1">
                  <c:v>[pʰ]</c:v>
                </c:pt>
                <c:pt idx="2">
                  <c:v>[m]</c:v>
                </c:pt>
              </c:strCache>
            </c:strRef>
          </c:cat>
          <c:val>
            <c:numRef>
              <c:f>Sheet1!$G$70:$G$72</c:f>
              <c:numCache>
                <c:formatCode>General</c:formatCode>
                <c:ptCount val="3"/>
                <c:pt idx="0">
                  <c:v>17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0-4A92-8127-4A8E521FD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413679"/>
        <c:axId val="11745281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Sheet1!$F$70:$F$72</c:f>
              <c:strCache>
                <c:ptCount val="3"/>
                <c:pt idx="0">
                  <c:v>[p]</c:v>
                </c:pt>
                <c:pt idx="1">
                  <c:v>[pʰ]</c:v>
                </c:pt>
                <c:pt idx="2">
                  <c:v>[m]</c:v>
                </c:pt>
              </c:strCache>
            </c:strRef>
          </c:cat>
          <c:val>
            <c:numRef>
              <c:f>Sheet1!$H$70:$H$72</c:f>
              <c:numCache>
                <c:formatCode>0.00%</c:formatCode>
                <c:ptCount val="3"/>
                <c:pt idx="0">
                  <c:v>9.7701149425287362E-2</c:v>
                </c:pt>
                <c:pt idx="1">
                  <c:v>5.7471264367816091E-3</c:v>
                </c:pt>
                <c:pt idx="2">
                  <c:v>5.7471264367816091E-3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0-4A92-8127-4A8E521FD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531871"/>
        <c:axId val="1174535615"/>
      </c:lineChart>
      <c:catAx>
        <c:axId val="115341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28127"/>
        <c:crosses val="autoZero"/>
        <c:auto val="1"/>
        <c:lblAlgn val="ctr"/>
        <c:lblOffset val="100"/>
        <c:noMultiLvlLbl val="0"/>
      </c:catAx>
      <c:valAx>
        <c:axId val="117452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13679"/>
        <c:crosses val="autoZero"/>
        <c:crossBetween val="between"/>
      </c:valAx>
      <c:valAx>
        <c:axId val="11745356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31871"/>
        <c:crosses val="max"/>
        <c:crossBetween val="between"/>
      </c:valAx>
      <c:catAx>
        <c:axId val="1174531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45356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Sheet1!$F$74:$F$75</c:f>
              <c:strCache>
                <c:ptCount val="2"/>
                <c:pt idx="0">
                  <c:v>[t]</c:v>
                </c:pt>
                <c:pt idx="1">
                  <c:v>[tʰ]</c:v>
                </c:pt>
              </c:strCache>
            </c:strRef>
          </c:cat>
          <c:val>
            <c:numRef>
              <c:f>Sheet1!$G$74:$G$75</c:f>
              <c:numCache>
                <c:formatCode>General</c:formatCode>
                <c:ptCount val="2"/>
                <c:pt idx="0">
                  <c:v>21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9-47DF-A564-275752B5D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573647"/>
        <c:axId val="115257406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Sheet1!$F$74:$F$75</c:f>
              <c:strCache>
                <c:ptCount val="2"/>
                <c:pt idx="0">
                  <c:v>[t]</c:v>
                </c:pt>
                <c:pt idx="1">
                  <c:v>[tʰ]</c:v>
                </c:pt>
              </c:strCache>
            </c:strRef>
          </c:cat>
          <c:val>
            <c:numRef>
              <c:f>Sheet1!$H$74:$H$75</c:f>
              <c:numCache>
                <c:formatCode>0.00%</c:formatCode>
                <c:ptCount val="2"/>
                <c:pt idx="0">
                  <c:v>0.39622641509433965</c:v>
                </c:pt>
                <c:pt idx="1">
                  <c:v>1.8867924528301886E-2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9-47DF-A564-275752B5D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572399"/>
        <c:axId val="1152571983"/>
      </c:lineChart>
      <c:catAx>
        <c:axId val="115257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4063"/>
        <c:crosses val="autoZero"/>
        <c:auto val="1"/>
        <c:lblAlgn val="ctr"/>
        <c:lblOffset val="100"/>
        <c:noMultiLvlLbl val="0"/>
      </c:catAx>
      <c:valAx>
        <c:axId val="11525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3647"/>
        <c:crosses val="autoZero"/>
        <c:crossBetween val="between"/>
      </c:valAx>
      <c:valAx>
        <c:axId val="11525719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2399"/>
        <c:crosses val="max"/>
        <c:crossBetween val="between"/>
      </c:valAx>
      <c:catAx>
        <c:axId val="1152572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25719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Sheet1!$F$77:$F$80</c:f>
              <c:strCache>
                <c:ptCount val="4"/>
                <c:pt idx="0">
                  <c:v>[tʰ]</c:v>
                </c:pt>
                <c:pt idx="1">
                  <c:v>[tˤ]</c:v>
                </c:pt>
                <c:pt idx="2">
                  <c:v>[s]</c:v>
                </c:pt>
                <c:pt idx="3">
                  <c:v>[b]</c:v>
                </c:pt>
              </c:strCache>
            </c:strRef>
          </c:cat>
          <c:val>
            <c:numRef>
              <c:f>Sheet1!$G$77:$G$80</c:f>
              <c:numCache>
                <c:formatCode>General</c:formatCode>
                <c:ptCount val="4"/>
                <c:pt idx="0">
                  <c:v>31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F-4612-9D81-93743B0A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143551"/>
        <c:axId val="10453953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Sheet1!$F$77:$F$80</c:f>
              <c:strCache>
                <c:ptCount val="4"/>
                <c:pt idx="0">
                  <c:v>[tʰ]</c:v>
                </c:pt>
                <c:pt idx="1">
                  <c:v>[tˤ]</c:v>
                </c:pt>
                <c:pt idx="2">
                  <c:v>[s]</c:v>
                </c:pt>
                <c:pt idx="3">
                  <c:v>[b]</c:v>
                </c:pt>
              </c:strCache>
            </c:strRef>
          </c:cat>
          <c:val>
            <c:numRef>
              <c:f>Sheet1!$H$77:$H$80</c:f>
              <c:numCache>
                <c:formatCode>0.00%</c:formatCode>
                <c:ptCount val="4"/>
                <c:pt idx="0">
                  <c:v>0.20666666666666667</c:v>
                </c:pt>
                <c:pt idx="1">
                  <c:v>3.3333333333333333E-2</c:v>
                </c:pt>
                <c:pt idx="2">
                  <c:v>6.6666666666666671E-3</c:v>
                </c:pt>
                <c:pt idx="3">
                  <c:v>6.6666666666666671E-3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F-4612-9D81-93743B0A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396159"/>
        <c:axId val="1045395743"/>
      </c:lineChart>
      <c:catAx>
        <c:axId val="104514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95327"/>
        <c:crosses val="autoZero"/>
        <c:auto val="1"/>
        <c:lblAlgn val="ctr"/>
        <c:lblOffset val="100"/>
        <c:noMultiLvlLbl val="0"/>
      </c:catAx>
      <c:valAx>
        <c:axId val="10453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43551"/>
        <c:crosses val="autoZero"/>
        <c:crossBetween val="between"/>
      </c:valAx>
      <c:valAx>
        <c:axId val="10453957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96159"/>
        <c:crosses val="max"/>
        <c:crossBetween val="between"/>
      </c:valAx>
      <c:catAx>
        <c:axId val="1045396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53957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Sheet1!$F$82:$F$83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Sheet1!$G$82:$G$83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F-4D7F-93A0-58AD4A8E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572815"/>
        <c:axId val="11525765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Sheet1!$F$82:$F$83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Sheet1!$H$82:$H$83</c:f>
              <c:numCache>
                <c:formatCode>0.00%</c:formatCode>
                <c:ptCount val="2"/>
                <c:pt idx="0">
                  <c:v>0.16666666666666666</c:v>
                </c:pt>
                <c:pt idx="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F-4D7F-93A0-58AD4A8E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040911"/>
        <c:axId val="1153415343"/>
      </c:lineChart>
      <c:catAx>
        <c:axId val="115257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6511"/>
        <c:crosses val="autoZero"/>
        <c:auto val="1"/>
        <c:lblAlgn val="ctr"/>
        <c:lblOffset val="100"/>
        <c:noMultiLvlLbl val="0"/>
      </c:catAx>
      <c:valAx>
        <c:axId val="11525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2815"/>
        <c:crosses val="autoZero"/>
        <c:crossBetween val="between"/>
      </c:valAx>
      <c:valAx>
        <c:axId val="11534153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0911"/>
        <c:crosses val="max"/>
        <c:crossBetween val="between"/>
      </c:valAx>
      <c:catAx>
        <c:axId val="1173040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34153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[dˤ]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Sheet1!$F$85:$F$87</c:f>
              <c:strCache>
                <c:ptCount val="3"/>
                <c:pt idx="0">
                  <c:v>[d]</c:v>
                </c:pt>
                <c:pt idx="1">
                  <c:v>[tˤ]</c:v>
                </c:pt>
                <c:pt idx="2">
                  <c:v>[t]</c:v>
                </c:pt>
              </c:strCache>
            </c:strRef>
          </c:cat>
          <c:val>
            <c:numRef>
              <c:f>Sheet1!$G$85:$G$87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1-4C0E-9B97-8318F7674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358783"/>
        <c:axId val="104735711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Sheet1!$F$85:$F$87</c:f>
              <c:strCache>
                <c:ptCount val="3"/>
                <c:pt idx="0">
                  <c:v>[d]</c:v>
                </c:pt>
                <c:pt idx="1">
                  <c:v>[tˤ]</c:v>
                </c:pt>
                <c:pt idx="2">
                  <c:v>[t]</c:v>
                </c:pt>
              </c:strCache>
            </c:strRef>
          </c:cat>
          <c:val>
            <c:numRef>
              <c:f>Sheet1!$H$85:$H$87</c:f>
              <c:numCache>
                <c:formatCode>0.00%</c:formatCode>
                <c:ptCount val="3"/>
                <c:pt idx="0">
                  <c:v>8.8235294117647065E-2</c:v>
                </c:pt>
                <c:pt idx="1">
                  <c:v>2.9411764705882353E-2</c:v>
                </c:pt>
                <c:pt idx="2">
                  <c:v>2.9411764705882353E-2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1-4C0E-9B97-8318F7674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83983"/>
        <c:axId val="1170983567"/>
      </c:lineChart>
      <c:catAx>
        <c:axId val="104735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57119"/>
        <c:crosses val="autoZero"/>
        <c:auto val="1"/>
        <c:lblAlgn val="ctr"/>
        <c:lblOffset val="100"/>
        <c:noMultiLvlLbl val="0"/>
      </c:catAx>
      <c:valAx>
        <c:axId val="104735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58783"/>
        <c:crosses val="autoZero"/>
        <c:crossBetween val="between"/>
      </c:valAx>
      <c:valAx>
        <c:axId val="11709835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3983"/>
        <c:crosses val="max"/>
        <c:crossBetween val="between"/>
      </c:valAx>
      <c:catAx>
        <c:axId val="1170983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09835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Sheet1!$F$89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Sheet1!$G$89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B-46F0-9B54-BBED5CCDF5B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Sheet1!$F$89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Sheet1!$H$89</c:f>
              <c:numCache>
                <c:formatCode>0.00%</c:formatCode>
                <c:ptCount val="1"/>
                <c:pt idx="0">
                  <c:v>5.1546391752577319E-3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B-46F0-9B54-BBED5CCD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752223"/>
        <c:axId val="1148752639"/>
      </c:barChart>
      <c:catAx>
        <c:axId val="114875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52639"/>
        <c:crosses val="autoZero"/>
        <c:auto val="1"/>
        <c:lblAlgn val="ctr"/>
        <c:lblOffset val="100"/>
        <c:noMultiLvlLbl val="0"/>
      </c:catAx>
      <c:valAx>
        <c:axId val="11487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52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70862413986501"/>
          <c:y val="6.3013931362555217E-2"/>
          <c:w val="0.83129137586013502"/>
          <c:h val="0.578214687995804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Sheet2!$C$2:$C$18</c:f>
              <c:strCache>
                <c:ptCount val="17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final consonant deletion</c:v>
                </c:pt>
                <c:pt idx="7">
                  <c:v>syllable structure process (final syllable deletion)</c:v>
                </c:pt>
                <c:pt idx="8">
                  <c:v>gemination</c:v>
                </c:pt>
                <c:pt idx="9">
                  <c:v>Monophthongization </c:v>
                </c:pt>
                <c:pt idx="10">
                  <c:v>syllable structure process (consonant insertion of  [n] phone)</c:v>
                </c:pt>
                <c:pt idx="11">
                  <c:v>syllable structure process (consonant insertion of  [l] phone)</c:v>
                </c:pt>
                <c:pt idx="12">
                  <c:v>Metathesis</c:v>
                </c:pt>
                <c:pt idx="13">
                  <c:v>Glottalization(insertion of  [ʔ] phone)</c:v>
                </c:pt>
                <c:pt idx="14">
                  <c:v>syllable structure process (consonant insertion of  [m] phone)</c:v>
                </c:pt>
                <c:pt idx="15">
                  <c:v>syllable structure process (consonant insertion of  [r] phone)</c:v>
                </c:pt>
                <c:pt idx="16">
                  <c:v>syllable structure process (consonant insertion of  [j] phone)</c:v>
                </c:pt>
              </c:strCache>
            </c:strRef>
          </c:cat>
          <c:val>
            <c:numRef>
              <c:f>Sheet2!$D$2:$D$18</c:f>
              <c:numCache>
                <c:formatCode>General</c:formatCode>
                <c:ptCount val="17"/>
                <c:pt idx="0">
                  <c:v>34</c:v>
                </c:pt>
                <c:pt idx="1">
                  <c:v>3</c:v>
                </c:pt>
                <c:pt idx="2">
                  <c:v>6</c:v>
                </c:pt>
                <c:pt idx="3">
                  <c:v>22</c:v>
                </c:pt>
                <c:pt idx="4">
                  <c:v>33</c:v>
                </c:pt>
                <c:pt idx="5">
                  <c:v>2</c:v>
                </c:pt>
                <c:pt idx="6">
                  <c:v>27</c:v>
                </c:pt>
                <c:pt idx="7">
                  <c:v>12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0-4903-91DA-B40FD65C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530623"/>
        <c:axId val="117452979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Sheet2!$C$2:$C$18</c:f>
              <c:strCache>
                <c:ptCount val="17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final consonant deletion</c:v>
                </c:pt>
                <c:pt idx="7">
                  <c:v>syllable structure process (final syllable deletion)</c:v>
                </c:pt>
                <c:pt idx="8">
                  <c:v>gemination</c:v>
                </c:pt>
                <c:pt idx="9">
                  <c:v>Monophthongization </c:v>
                </c:pt>
                <c:pt idx="10">
                  <c:v>syllable structure process (consonant insertion of  [n] phone)</c:v>
                </c:pt>
                <c:pt idx="11">
                  <c:v>syllable structure process (consonant insertion of  [l] phone)</c:v>
                </c:pt>
                <c:pt idx="12">
                  <c:v>Metathesis</c:v>
                </c:pt>
                <c:pt idx="13">
                  <c:v>Glottalization(insertion of  [ʔ] phone)</c:v>
                </c:pt>
                <c:pt idx="14">
                  <c:v>syllable structure process (consonant insertion of  [m] phone)</c:v>
                </c:pt>
                <c:pt idx="15">
                  <c:v>syllable structure process (consonant insertion of  [r] phone)</c:v>
                </c:pt>
                <c:pt idx="16">
                  <c:v>syllable structure process (consonant insertion of  [j] phone)</c:v>
                </c:pt>
              </c:strCache>
            </c:strRef>
          </c:cat>
          <c:val>
            <c:numRef>
              <c:f>Sheet2!$E$2:$E$18</c:f>
              <c:numCache>
                <c:formatCode>0.00%</c:formatCode>
                <c:ptCount val="17"/>
                <c:pt idx="0">
                  <c:v>0.40963855421686746</c:v>
                </c:pt>
                <c:pt idx="2">
                  <c:v>2.3904382470119521E-2</c:v>
                </c:pt>
                <c:pt idx="3">
                  <c:v>8.7649402390438252E-2</c:v>
                </c:pt>
                <c:pt idx="4">
                  <c:v>0.13147410358565736</c:v>
                </c:pt>
                <c:pt idx="5">
                  <c:v>7.9681274900398405E-3</c:v>
                </c:pt>
                <c:pt idx="6">
                  <c:v>6.398104265402843E-2</c:v>
                </c:pt>
                <c:pt idx="9">
                  <c:v>4.1666666666666664E-2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0-4903-91DA-B40FD65C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531455"/>
        <c:axId val="1174532703"/>
      </c:lineChart>
      <c:catAx>
        <c:axId val="117453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29791"/>
        <c:crosses val="autoZero"/>
        <c:auto val="1"/>
        <c:lblAlgn val="ctr"/>
        <c:lblOffset val="100"/>
        <c:noMultiLvlLbl val="0"/>
      </c:catAx>
      <c:valAx>
        <c:axId val="11745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30623"/>
        <c:crosses val="autoZero"/>
        <c:crossBetween val="between"/>
      </c:valAx>
      <c:valAx>
        <c:axId val="117453270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174531455"/>
        <c:crosses val="max"/>
        <c:crossBetween val="between"/>
      </c:valAx>
      <c:catAx>
        <c:axId val="1174531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45327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Sheet3!$C$2:$C$21</c:f>
              <c:strCache>
                <c:ptCount val="20"/>
                <c:pt idx="0">
                  <c:v>Definite Article deletion</c:v>
                </c:pt>
                <c:pt idx="1">
                  <c:v>Deletion of feminine marker</c:v>
                </c:pt>
                <c:pt idx="2">
                  <c:v>consonant insertion of  [h] phone in final position</c:v>
                </c:pt>
                <c:pt idx="3">
                  <c:v>replace the MSA diphthong [æw]with the colloquial arabic vowel[o:]</c:v>
                </c:pt>
                <c:pt idx="4">
                  <c:v>misreading</c:v>
                </c:pt>
                <c:pt idx="5">
                  <c:v>replace the MSA consonant [ð]with the colloquial arabic consonant [z]</c:v>
                </c:pt>
                <c:pt idx="6">
                  <c:v>consonant deletion  of [ʔ] phone affected by colloquial Arabic</c:v>
                </c:pt>
                <c:pt idx="7">
                  <c:v>replace the MSA consonant [θ]with the colloquial arabic consonant [s]</c:v>
                </c:pt>
                <c:pt idx="8">
                  <c:v>replace  [j]with  [i:] affected by colloquial Arabic</c:v>
                </c:pt>
                <c:pt idx="9">
                  <c:v>replace the MSA consonant [ðˤ]with the colloquial arabic consonant [zˤ]</c:v>
                </c:pt>
                <c:pt idx="10">
                  <c:v>replace  [ʔ]with  [j] affected by colloquial arabic</c:v>
                </c:pt>
                <c:pt idx="11">
                  <c:v>replace feminine with masculine</c:v>
                </c:pt>
                <c:pt idx="12">
                  <c:v>replace the Modern Standard Arabic diphthong [æj]with the colloquial arabic vowel[e:]</c:v>
                </c:pt>
                <c:pt idx="13">
                  <c:v>replace the MSA diphthong [æj]with the colloquial arabic vowel[i:]</c:v>
                </c:pt>
                <c:pt idx="14">
                  <c:v>replace theMSA diphthong [æw]with the colloquial arabic vowel[u:]</c:v>
                </c:pt>
                <c:pt idx="15">
                  <c:v>final consonant deletion affected by colloquial arabic</c:v>
                </c:pt>
                <c:pt idx="16">
                  <c:v>replace masculine  with feminine</c:v>
                </c:pt>
                <c:pt idx="17">
                  <c:v>replace the MSA diphthong [ ɑj]with the colloquial arabic vowel[e:]</c:v>
                </c:pt>
                <c:pt idx="18">
                  <c:v>replace the MSA consonant [ð]with the colloquial arabic consonant [d]</c:v>
                </c:pt>
                <c:pt idx="19">
                  <c:v>replace plural noun with singular noun</c:v>
                </c:pt>
              </c:strCache>
            </c:strRef>
          </c:cat>
          <c:val>
            <c:numRef>
              <c:f>Sheet3!$D$2:$D$21</c:f>
              <c:numCache>
                <c:formatCode>General</c:formatCode>
                <c:ptCount val="20"/>
                <c:pt idx="0">
                  <c:v>27</c:v>
                </c:pt>
                <c:pt idx="1">
                  <c:v>16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6-4BFD-BD10-4B3630BB3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753055"/>
        <c:axId val="11487547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Sheet3!$C$2:$C$21</c:f>
              <c:strCache>
                <c:ptCount val="20"/>
                <c:pt idx="0">
                  <c:v>Definite Article deletion</c:v>
                </c:pt>
                <c:pt idx="1">
                  <c:v>Deletion of feminine marker</c:v>
                </c:pt>
                <c:pt idx="2">
                  <c:v>consonant insertion of  [h] phone in final position</c:v>
                </c:pt>
                <c:pt idx="3">
                  <c:v>replace the MSA diphthong [æw]with the colloquial arabic vowel[o:]</c:v>
                </c:pt>
                <c:pt idx="4">
                  <c:v>misreading</c:v>
                </c:pt>
                <c:pt idx="5">
                  <c:v>replace the MSA consonant [ð]with the colloquial arabic consonant [z]</c:v>
                </c:pt>
                <c:pt idx="6">
                  <c:v>consonant deletion  of [ʔ] phone affected by colloquial Arabic</c:v>
                </c:pt>
                <c:pt idx="7">
                  <c:v>replace the MSA consonant [θ]with the colloquial arabic consonant [s]</c:v>
                </c:pt>
                <c:pt idx="8">
                  <c:v>replace  [j]with  [i:] affected by colloquial Arabic</c:v>
                </c:pt>
                <c:pt idx="9">
                  <c:v>replace the MSA consonant [ðˤ]with the colloquial arabic consonant [zˤ]</c:v>
                </c:pt>
                <c:pt idx="10">
                  <c:v>replace  [ʔ]with  [j] affected by colloquial arabic</c:v>
                </c:pt>
                <c:pt idx="11">
                  <c:v>replace feminine with masculine</c:v>
                </c:pt>
                <c:pt idx="12">
                  <c:v>replace the Modern Standard Arabic diphthong [æj]with the colloquial arabic vowel[e:]</c:v>
                </c:pt>
                <c:pt idx="13">
                  <c:v>replace the MSA diphthong [æj]with the colloquial arabic vowel[i:]</c:v>
                </c:pt>
                <c:pt idx="14">
                  <c:v>replace theMSA diphthong [æw]with the colloquial arabic vowel[u:]</c:v>
                </c:pt>
                <c:pt idx="15">
                  <c:v>final consonant deletion affected by colloquial arabic</c:v>
                </c:pt>
                <c:pt idx="16">
                  <c:v>replace masculine  with feminine</c:v>
                </c:pt>
                <c:pt idx="17">
                  <c:v>replace the MSA diphthong [ ɑj]with the colloquial arabic vowel[e:]</c:v>
                </c:pt>
                <c:pt idx="18">
                  <c:v>replace the MSA consonant [ð]with the colloquial arabic consonant [d]</c:v>
                </c:pt>
                <c:pt idx="19">
                  <c:v>replace plural noun with singular noun</c:v>
                </c:pt>
              </c:strCache>
            </c:strRef>
          </c:cat>
          <c:val>
            <c:numRef>
              <c:f>Sheet3!$E$2:$E$21</c:f>
              <c:numCache>
                <c:formatCode>0.00%</c:formatCode>
                <c:ptCount val="20"/>
                <c:pt idx="0">
                  <c:v>0.19014084507042253</c:v>
                </c:pt>
                <c:pt idx="3">
                  <c:v>0.24242424242424243</c:v>
                </c:pt>
                <c:pt idx="12">
                  <c:v>8.3333333333333329E-2</c:v>
                </c:pt>
                <c:pt idx="17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6-4BFD-BD10-4B3630BB3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402783"/>
        <c:axId val="1040395711"/>
      </c:lineChart>
      <c:catAx>
        <c:axId val="114875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54719"/>
        <c:crosses val="autoZero"/>
        <c:auto val="1"/>
        <c:lblAlgn val="ctr"/>
        <c:lblOffset val="100"/>
        <c:noMultiLvlLbl val="0"/>
      </c:catAx>
      <c:valAx>
        <c:axId val="114875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53055"/>
        <c:crosses val="autoZero"/>
        <c:crossBetween val="between"/>
      </c:valAx>
      <c:valAx>
        <c:axId val="1040395711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040402783"/>
        <c:crosses val="max"/>
        <c:crossBetween val="between"/>
      </c:valAx>
      <c:catAx>
        <c:axId val="1040402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03957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0</xdr:row>
      <xdr:rowOff>758190</xdr:rowOff>
    </xdr:from>
    <xdr:to>
      <xdr:col>15</xdr:col>
      <xdr:colOff>320040</xdr:colOff>
      <xdr:row>5</xdr:row>
      <xdr:rowOff>678180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7</xdr:row>
      <xdr:rowOff>53340</xdr:rowOff>
    </xdr:from>
    <xdr:to>
      <xdr:col>15</xdr:col>
      <xdr:colOff>327660</xdr:colOff>
      <xdr:row>11</xdr:row>
      <xdr:rowOff>693420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13</xdr:row>
      <xdr:rowOff>76200</xdr:rowOff>
    </xdr:from>
    <xdr:to>
      <xdr:col>15</xdr:col>
      <xdr:colOff>312420</xdr:colOff>
      <xdr:row>15</xdr:row>
      <xdr:rowOff>723900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</xdr:colOff>
      <xdr:row>17</xdr:row>
      <xdr:rowOff>41910</xdr:rowOff>
    </xdr:from>
    <xdr:to>
      <xdr:col>15</xdr:col>
      <xdr:colOff>320040</xdr:colOff>
      <xdr:row>17</xdr:row>
      <xdr:rowOff>2308860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38100</xdr:colOff>
      <xdr:row>19</xdr:row>
      <xdr:rowOff>41910</xdr:rowOff>
    </xdr:from>
    <xdr:to>
      <xdr:col>15</xdr:col>
      <xdr:colOff>342900</xdr:colOff>
      <xdr:row>21</xdr:row>
      <xdr:rowOff>670560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22860</xdr:colOff>
      <xdr:row>23</xdr:row>
      <xdr:rowOff>45720</xdr:rowOff>
    </xdr:from>
    <xdr:to>
      <xdr:col>15</xdr:col>
      <xdr:colOff>327660</xdr:colOff>
      <xdr:row>24</xdr:row>
      <xdr:rowOff>1104900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26</xdr:row>
      <xdr:rowOff>68580</xdr:rowOff>
    </xdr:from>
    <xdr:to>
      <xdr:col>15</xdr:col>
      <xdr:colOff>304800</xdr:colOff>
      <xdr:row>26</xdr:row>
      <xdr:rowOff>1676400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15240</xdr:colOff>
      <xdr:row>28</xdr:row>
      <xdr:rowOff>129540</xdr:rowOff>
    </xdr:from>
    <xdr:to>
      <xdr:col>15</xdr:col>
      <xdr:colOff>320040</xdr:colOff>
      <xdr:row>32</xdr:row>
      <xdr:rowOff>693420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38100</xdr:colOff>
      <xdr:row>34</xdr:row>
      <xdr:rowOff>19050</xdr:rowOff>
    </xdr:from>
    <xdr:to>
      <xdr:col>15</xdr:col>
      <xdr:colOff>342900</xdr:colOff>
      <xdr:row>35</xdr:row>
      <xdr:rowOff>1383030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45720</xdr:colOff>
      <xdr:row>37</xdr:row>
      <xdr:rowOff>45720</xdr:rowOff>
    </xdr:from>
    <xdr:to>
      <xdr:col>15</xdr:col>
      <xdr:colOff>350520</xdr:colOff>
      <xdr:row>38</xdr:row>
      <xdr:rowOff>1173480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45720</xdr:colOff>
      <xdr:row>40</xdr:row>
      <xdr:rowOff>60960</xdr:rowOff>
    </xdr:from>
    <xdr:to>
      <xdr:col>15</xdr:col>
      <xdr:colOff>350520</xdr:colOff>
      <xdr:row>40</xdr:row>
      <xdr:rowOff>2346960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15240</xdr:colOff>
      <xdr:row>42</xdr:row>
      <xdr:rowOff>38100</xdr:rowOff>
    </xdr:from>
    <xdr:to>
      <xdr:col>15</xdr:col>
      <xdr:colOff>320040</xdr:colOff>
      <xdr:row>43</xdr:row>
      <xdr:rowOff>1234440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7620</xdr:colOff>
      <xdr:row>45</xdr:row>
      <xdr:rowOff>76200</xdr:rowOff>
    </xdr:from>
    <xdr:to>
      <xdr:col>15</xdr:col>
      <xdr:colOff>312420</xdr:colOff>
      <xdr:row>45</xdr:row>
      <xdr:rowOff>2072640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45720</xdr:colOff>
      <xdr:row>47</xdr:row>
      <xdr:rowOff>30480</xdr:rowOff>
    </xdr:from>
    <xdr:to>
      <xdr:col>15</xdr:col>
      <xdr:colOff>350520</xdr:colOff>
      <xdr:row>48</xdr:row>
      <xdr:rowOff>1104900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30480</xdr:colOff>
      <xdr:row>50</xdr:row>
      <xdr:rowOff>60960</xdr:rowOff>
    </xdr:from>
    <xdr:to>
      <xdr:col>15</xdr:col>
      <xdr:colOff>335280</xdr:colOff>
      <xdr:row>51</xdr:row>
      <xdr:rowOff>967740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68580</xdr:colOff>
      <xdr:row>53</xdr:row>
      <xdr:rowOff>34290</xdr:rowOff>
    </xdr:from>
    <xdr:to>
      <xdr:col>15</xdr:col>
      <xdr:colOff>373380</xdr:colOff>
      <xdr:row>59</xdr:row>
      <xdr:rowOff>525780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45720</xdr:colOff>
      <xdr:row>61</xdr:row>
      <xdr:rowOff>114300</xdr:rowOff>
    </xdr:from>
    <xdr:to>
      <xdr:col>15</xdr:col>
      <xdr:colOff>350520</xdr:colOff>
      <xdr:row>61</xdr:row>
      <xdr:rowOff>2049780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60960</xdr:colOff>
      <xdr:row>63</xdr:row>
      <xdr:rowOff>76200</xdr:rowOff>
    </xdr:from>
    <xdr:to>
      <xdr:col>15</xdr:col>
      <xdr:colOff>365760</xdr:colOff>
      <xdr:row>65</xdr:row>
      <xdr:rowOff>678180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53340</xdr:colOff>
      <xdr:row>67</xdr:row>
      <xdr:rowOff>45720</xdr:rowOff>
    </xdr:from>
    <xdr:to>
      <xdr:col>15</xdr:col>
      <xdr:colOff>358140</xdr:colOff>
      <xdr:row>67</xdr:row>
      <xdr:rowOff>1889760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30480</xdr:colOff>
      <xdr:row>69</xdr:row>
      <xdr:rowOff>45720</xdr:rowOff>
    </xdr:from>
    <xdr:to>
      <xdr:col>15</xdr:col>
      <xdr:colOff>335280</xdr:colOff>
      <xdr:row>71</xdr:row>
      <xdr:rowOff>662940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30480</xdr:colOff>
      <xdr:row>73</xdr:row>
      <xdr:rowOff>53340</xdr:rowOff>
    </xdr:from>
    <xdr:to>
      <xdr:col>15</xdr:col>
      <xdr:colOff>335280</xdr:colOff>
      <xdr:row>74</xdr:row>
      <xdr:rowOff>1021080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38100</xdr:colOff>
      <xdr:row>76</xdr:row>
      <xdr:rowOff>68580</xdr:rowOff>
    </xdr:from>
    <xdr:to>
      <xdr:col>15</xdr:col>
      <xdr:colOff>342900</xdr:colOff>
      <xdr:row>79</xdr:row>
      <xdr:rowOff>701040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38100</xdr:colOff>
      <xdr:row>81</xdr:row>
      <xdr:rowOff>53340</xdr:rowOff>
    </xdr:from>
    <xdr:to>
      <xdr:col>15</xdr:col>
      <xdr:colOff>342900</xdr:colOff>
      <xdr:row>82</xdr:row>
      <xdr:rowOff>975360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68580</xdr:colOff>
      <xdr:row>84</xdr:row>
      <xdr:rowOff>99060</xdr:rowOff>
    </xdr:from>
    <xdr:to>
      <xdr:col>15</xdr:col>
      <xdr:colOff>373380</xdr:colOff>
      <xdr:row>86</xdr:row>
      <xdr:rowOff>670560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76200</xdr:colOff>
      <xdr:row>88</xdr:row>
      <xdr:rowOff>53340</xdr:rowOff>
    </xdr:from>
    <xdr:to>
      <xdr:col>15</xdr:col>
      <xdr:colOff>381000</xdr:colOff>
      <xdr:row>88</xdr:row>
      <xdr:rowOff>1760220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0</xdr:row>
      <xdr:rowOff>670560</xdr:rowOff>
    </xdr:from>
    <xdr:to>
      <xdr:col>24</xdr:col>
      <xdr:colOff>198120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</xdr:row>
      <xdr:rowOff>15240</xdr:rowOff>
    </xdr:from>
    <xdr:to>
      <xdr:col>16</xdr:col>
      <xdr:colOff>411480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3"/>
  <sheetViews>
    <sheetView zoomScaleNormal="100" workbookViewId="0">
      <selection activeCell="B92" sqref="B92"/>
    </sheetView>
  </sheetViews>
  <sheetFormatPr defaultRowHeight="60" customHeight="1" outlineLevelRow="2" x14ac:dyDescent="0.3"/>
  <cols>
    <col min="2" max="3" width="11.21875" customWidth="1"/>
    <col min="4" max="4" width="10.33203125" customWidth="1"/>
    <col min="5" max="5" width="36.21875" style="2" customWidth="1"/>
    <col min="6" max="6" width="6.44140625" customWidth="1"/>
    <col min="7" max="7" width="7.44140625" customWidth="1"/>
    <col min="8" max="8" width="7" style="102" customWidth="1"/>
  </cols>
  <sheetData>
    <row r="1" spans="2:8" s="1" customFormat="1" ht="60" customHeight="1" thickTop="1" thickBot="1" x14ac:dyDescent="0.45">
      <c r="B1" s="3" t="s">
        <v>111</v>
      </c>
      <c r="C1" s="3" t="s">
        <v>145</v>
      </c>
      <c r="D1" s="4" t="s">
        <v>112</v>
      </c>
      <c r="E1" s="5" t="s">
        <v>113</v>
      </c>
      <c r="F1" s="4" t="s">
        <v>185</v>
      </c>
      <c r="G1" s="4" t="s">
        <v>144</v>
      </c>
      <c r="H1" s="92" t="s">
        <v>184</v>
      </c>
    </row>
    <row r="2" spans="2:8" ht="60" customHeight="1" outlineLevel="2" thickTop="1" thickBot="1" x14ac:dyDescent="0.35">
      <c r="B2" s="132" t="s">
        <v>86</v>
      </c>
      <c r="C2" s="129">
        <v>232</v>
      </c>
      <c r="D2" s="140" t="s">
        <v>84</v>
      </c>
      <c r="E2" s="7" t="s">
        <v>5</v>
      </c>
      <c r="F2" s="8" t="s">
        <v>149</v>
      </c>
      <c r="G2" s="8">
        <v>16</v>
      </c>
      <c r="H2" s="93">
        <f>G2/232</f>
        <v>6.8965517241379309E-2</v>
      </c>
    </row>
    <row r="3" spans="2:8" ht="60" customHeight="1" outlineLevel="2" thickTop="1" thickBot="1" x14ac:dyDescent="0.35">
      <c r="B3" s="132"/>
      <c r="C3" s="130"/>
      <c r="D3" s="140"/>
      <c r="E3" s="9" t="s">
        <v>123</v>
      </c>
      <c r="F3" s="8" t="s">
        <v>148</v>
      </c>
      <c r="G3" s="8">
        <v>9</v>
      </c>
      <c r="H3" s="93">
        <f>G3/232</f>
        <v>3.8793103448275863E-2</v>
      </c>
    </row>
    <row r="4" spans="2:8" ht="60" customHeight="1" outlineLevel="2" thickTop="1" thickBot="1" x14ac:dyDescent="0.35">
      <c r="B4" s="132"/>
      <c r="C4" s="130"/>
      <c r="D4" s="140"/>
      <c r="E4" s="9" t="s">
        <v>120</v>
      </c>
      <c r="F4" s="8" t="s">
        <v>150</v>
      </c>
      <c r="G4" s="8">
        <v>3</v>
      </c>
      <c r="H4" s="93">
        <f>G4/232</f>
        <v>1.2931034482758621E-2</v>
      </c>
    </row>
    <row r="5" spans="2:8" ht="60" customHeight="1" outlineLevel="2" thickTop="1" thickBot="1" x14ac:dyDescent="0.35">
      <c r="B5" s="132"/>
      <c r="C5" s="130"/>
      <c r="D5" s="140"/>
      <c r="E5" s="9" t="s">
        <v>140</v>
      </c>
      <c r="F5" s="8" t="s">
        <v>151</v>
      </c>
      <c r="G5" s="8">
        <v>1</v>
      </c>
      <c r="H5" s="93">
        <f>G5/232</f>
        <v>4.3103448275862068E-3</v>
      </c>
    </row>
    <row r="6" spans="2:8" ht="60" customHeight="1" outlineLevel="2" thickTop="1" thickBot="1" x14ac:dyDescent="0.35">
      <c r="B6" s="132"/>
      <c r="C6" s="159"/>
      <c r="D6" s="140"/>
      <c r="E6" s="9" t="s">
        <v>141</v>
      </c>
      <c r="F6" s="8" t="s">
        <v>152</v>
      </c>
      <c r="G6" s="8">
        <v>1</v>
      </c>
      <c r="H6" s="93">
        <f>G6/232</f>
        <v>4.3103448275862068E-3</v>
      </c>
    </row>
    <row r="7" spans="2:8" ht="36.6" customHeight="1" outlineLevel="1" thickTop="1" thickBot="1" x14ac:dyDescent="0.35">
      <c r="B7" s="106" t="s">
        <v>186</v>
      </c>
      <c r="C7" s="72">
        <f>SUBTOTAL(9,C2:C6)</f>
        <v>232</v>
      </c>
      <c r="D7" s="87"/>
      <c r="E7" s="9"/>
      <c r="F7" s="8"/>
      <c r="G7" s="8">
        <f>SUBTOTAL(9,G2:G6)</f>
        <v>30</v>
      </c>
      <c r="H7" s="93">
        <f>SUBTOTAL(9,H2:H6)</f>
        <v>0.12931034482758619</v>
      </c>
    </row>
    <row r="8" spans="2:8" ht="60" customHeight="1" outlineLevel="2" thickTop="1" thickBot="1" x14ac:dyDescent="0.35">
      <c r="B8" s="156" t="s">
        <v>87</v>
      </c>
      <c r="C8" s="143">
        <v>314</v>
      </c>
      <c r="D8" s="155" t="s">
        <v>85</v>
      </c>
      <c r="E8" s="11" t="s">
        <v>6</v>
      </c>
      <c r="F8" s="12" t="s">
        <v>153</v>
      </c>
      <c r="G8" s="12">
        <v>1</v>
      </c>
      <c r="H8" s="94">
        <f>G8/314</f>
        <v>3.1847133757961785E-3</v>
      </c>
    </row>
    <row r="9" spans="2:8" ht="60" customHeight="1" outlineLevel="2" thickTop="1" thickBot="1" x14ac:dyDescent="0.35">
      <c r="B9" s="156"/>
      <c r="C9" s="144"/>
      <c r="D9" s="155"/>
      <c r="E9" s="11" t="s">
        <v>9</v>
      </c>
      <c r="F9" s="12" t="s">
        <v>154</v>
      </c>
      <c r="G9" s="12">
        <v>1</v>
      </c>
      <c r="H9" s="94">
        <f t="shared" ref="H9:H12" si="0">G9/314</f>
        <v>3.1847133757961785E-3</v>
      </c>
    </row>
    <row r="10" spans="2:8" ht="60" customHeight="1" outlineLevel="2" thickTop="1" thickBot="1" x14ac:dyDescent="0.35">
      <c r="B10" s="156"/>
      <c r="C10" s="144"/>
      <c r="D10" s="155"/>
      <c r="E10" s="11" t="s">
        <v>7</v>
      </c>
      <c r="F10" s="12" t="s">
        <v>155</v>
      </c>
      <c r="G10" s="12">
        <v>1</v>
      </c>
      <c r="H10" s="94">
        <f t="shared" si="0"/>
        <v>3.1847133757961785E-3</v>
      </c>
    </row>
    <row r="11" spans="2:8" ht="60" customHeight="1" outlineLevel="2" thickTop="1" thickBot="1" x14ac:dyDescent="0.35">
      <c r="B11" s="156"/>
      <c r="C11" s="144"/>
      <c r="D11" s="155"/>
      <c r="E11" s="11" t="s">
        <v>138</v>
      </c>
      <c r="F11" s="12" t="s">
        <v>151</v>
      </c>
      <c r="G11" s="12">
        <v>1</v>
      </c>
      <c r="H11" s="94">
        <f t="shared" si="0"/>
        <v>3.1847133757961785E-3</v>
      </c>
    </row>
    <row r="12" spans="2:8" ht="60" customHeight="1" outlineLevel="2" thickTop="1" thickBot="1" x14ac:dyDescent="0.35">
      <c r="B12" s="156"/>
      <c r="C12" s="144"/>
      <c r="D12" s="155"/>
      <c r="E12" s="11" t="s">
        <v>139</v>
      </c>
      <c r="F12" s="12" t="s">
        <v>152</v>
      </c>
      <c r="G12" s="12">
        <v>1</v>
      </c>
      <c r="H12" s="94">
        <f t="shared" si="0"/>
        <v>3.1847133757961785E-3</v>
      </c>
    </row>
    <row r="13" spans="2:8" ht="28.8" customHeight="1" outlineLevel="1" thickTop="1" thickBot="1" x14ac:dyDescent="0.35">
      <c r="B13" s="107" t="s">
        <v>187</v>
      </c>
      <c r="C13" s="70">
        <f>SUBTOTAL(9,C8:C12)</f>
        <v>314</v>
      </c>
      <c r="D13" s="88"/>
      <c r="E13" s="11"/>
      <c r="F13" s="12"/>
      <c r="G13" s="12">
        <f>SUBTOTAL(9,G8:G12)</f>
        <v>5</v>
      </c>
      <c r="H13" s="94">
        <f>SUBTOTAL(9,H8:H12)</f>
        <v>1.5923566878980892E-2</v>
      </c>
    </row>
    <row r="14" spans="2:8" ht="60" customHeight="1" outlineLevel="2" thickTop="1" thickBot="1" x14ac:dyDescent="0.35">
      <c r="B14" s="158" t="s">
        <v>88</v>
      </c>
      <c r="C14" s="127">
        <v>24</v>
      </c>
      <c r="D14" s="157" t="s">
        <v>61</v>
      </c>
      <c r="E14" s="14" t="s">
        <v>117</v>
      </c>
      <c r="F14" s="51" t="s">
        <v>156</v>
      </c>
      <c r="G14" s="51">
        <v>3</v>
      </c>
      <c r="H14" s="95">
        <f>G14/24</f>
        <v>0.125</v>
      </c>
    </row>
    <row r="15" spans="2:8" ht="60" customHeight="1" outlineLevel="2" thickTop="1" thickBot="1" x14ac:dyDescent="0.35">
      <c r="B15" s="158"/>
      <c r="C15" s="128"/>
      <c r="D15" s="157"/>
      <c r="E15" s="14" t="s">
        <v>121</v>
      </c>
      <c r="F15" s="51" t="s">
        <v>157</v>
      </c>
      <c r="G15" s="51">
        <v>1</v>
      </c>
      <c r="H15" s="95">
        <f t="shared" ref="H15:H16" si="1">G15/24</f>
        <v>4.1666666666666664E-2</v>
      </c>
    </row>
    <row r="16" spans="2:8" ht="60" customHeight="1" outlineLevel="2" thickTop="1" thickBot="1" x14ac:dyDescent="0.35">
      <c r="B16" s="158"/>
      <c r="C16" s="128"/>
      <c r="D16" s="157"/>
      <c r="E16" s="53" t="s">
        <v>49</v>
      </c>
      <c r="F16" s="52" t="s">
        <v>158</v>
      </c>
      <c r="G16" s="52">
        <v>1</v>
      </c>
      <c r="H16" s="95">
        <f t="shared" si="1"/>
        <v>4.1666666666666664E-2</v>
      </c>
    </row>
    <row r="17" spans="2:8" ht="33" customHeight="1" outlineLevel="1" thickTop="1" thickBot="1" x14ac:dyDescent="0.35">
      <c r="B17" s="108" t="s">
        <v>188</v>
      </c>
      <c r="C17" s="86">
        <f>SUBTOTAL(9,C14:C16)</f>
        <v>24</v>
      </c>
      <c r="D17" s="89"/>
      <c r="E17" s="53"/>
      <c r="F17" s="52"/>
      <c r="G17" s="52">
        <f>SUBTOTAL(9,G14:G16)</f>
        <v>5</v>
      </c>
      <c r="H17" s="95">
        <f>SUBTOTAL(9,H14:H16)</f>
        <v>0.20833333333333331</v>
      </c>
    </row>
    <row r="18" spans="2:8" ht="184.2" customHeight="1" outlineLevel="2" thickTop="1" thickBot="1" x14ac:dyDescent="0.35">
      <c r="B18" s="10" t="s">
        <v>89</v>
      </c>
      <c r="C18" s="28">
        <v>56</v>
      </c>
      <c r="D18" s="21" t="s">
        <v>62</v>
      </c>
      <c r="E18" s="11" t="s">
        <v>18</v>
      </c>
      <c r="F18" s="12" t="s">
        <v>156</v>
      </c>
      <c r="G18" s="12">
        <v>10</v>
      </c>
      <c r="H18" s="94">
        <f>G18/C18</f>
        <v>0.17857142857142858</v>
      </c>
    </row>
    <row r="19" spans="2:8" ht="30" customHeight="1" outlineLevel="1" thickTop="1" thickBot="1" x14ac:dyDescent="0.35">
      <c r="B19" s="107" t="s">
        <v>189</v>
      </c>
      <c r="C19" s="69">
        <f>SUBTOTAL(9,C18:C18)</f>
        <v>56</v>
      </c>
      <c r="D19" s="88"/>
      <c r="E19" s="11"/>
      <c r="F19" s="12"/>
      <c r="G19" s="12">
        <f>SUBTOTAL(9,G18:G18)</f>
        <v>10</v>
      </c>
      <c r="H19" s="94">
        <f>SUBTOTAL(9,H18:H18)</f>
        <v>0.17857142857142858</v>
      </c>
    </row>
    <row r="20" spans="2:8" ht="60" customHeight="1" outlineLevel="2" thickTop="1" thickBot="1" x14ac:dyDescent="0.35">
      <c r="B20" s="132" t="s">
        <v>90</v>
      </c>
      <c r="C20" s="129">
        <v>18</v>
      </c>
      <c r="D20" s="140" t="s">
        <v>63</v>
      </c>
      <c r="E20" s="9" t="s">
        <v>20</v>
      </c>
      <c r="F20" s="8" t="s">
        <v>160</v>
      </c>
      <c r="G20" s="8">
        <v>3</v>
      </c>
      <c r="H20" s="93">
        <f>G20/18</f>
        <v>0.16666666666666666</v>
      </c>
    </row>
    <row r="21" spans="2:8" ht="60" customHeight="1" outlineLevel="2" thickTop="1" thickBot="1" x14ac:dyDescent="0.35">
      <c r="B21" s="132"/>
      <c r="C21" s="130"/>
      <c r="D21" s="140"/>
      <c r="E21" s="9" t="s">
        <v>19</v>
      </c>
      <c r="F21" s="8" t="s">
        <v>158</v>
      </c>
      <c r="G21" s="8">
        <v>2</v>
      </c>
      <c r="H21" s="93">
        <f>G21/18</f>
        <v>0.1111111111111111</v>
      </c>
    </row>
    <row r="22" spans="2:8" ht="60" customHeight="1" outlineLevel="2" thickTop="1" thickBot="1" x14ac:dyDescent="0.35">
      <c r="B22" s="132"/>
      <c r="C22" s="130"/>
      <c r="D22" s="140"/>
      <c r="E22" s="9" t="s">
        <v>26</v>
      </c>
      <c r="F22" s="8" t="s">
        <v>159</v>
      </c>
      <c r="G22" s="8">
        <v>1</v>
      </c>
      <c r="H22" s="93">
        <f>G22/18</f>
        <v>5.5555555555555552E-2</v>
      </c>
    </row>
    <row r="23" spans="2:8" ht="30" customHeight="1" outlineLevel="1" thickTop="1" thickBot="1" x14ac:dyDescent="0.35">
      <c r="B23" s="106" t="s">
        <v>190</v>
      </c>
      <c r="C23" s="72">
        <f>SUBTOTAL(9,C20:C22)</f>
        <v>18</v>
      </c>
      <c r="D23" s="87"/>
      <c r="E23" s="9"/>
      <c r="F23" s="8"/>
      <c r="G23" s="8">
        <f>SUBTOTAL(9,G20:G22)</f>
        <v>6</v>
      </c>
      <c r="H23" s="93">
        <f>SUBTOTAL(9,H20:H22)</f>
        <v>0.33333333333333337</v>
      </c>
    </row>
    <row r="24" spans="2:8" ht="60" customHeight="1" outlineLevel="2" thickTop="1" thickBot="1" x14ac:dyDescent="0.35">
      <c r="B24" s="158" t="s">
        <v>91</v>
      </c>
      <c r="C24" s="127">
        <v>36</v>
      </c>
      <c r="D24" s="158" t="s">
        <v>64</v>
      </c>
      <c r="E24" s="14" t="s">
        <v>115</v>
      </c>
      <c r="F24" s="51" t="s">
        <v>161</v>
      </c>
      <c r="G24" s="51">
        <v>5</v>
      </c>
      <c r="H24" s="95">
        <f>G24/36</f>
        <v>0.1388888888888889</v>
      </c>
    </row>
    <row r="25" spans="2:8" ht="97.8" customHeight="1" outlineLevel="2" thickTop="1" thickBot="1" x14ac:dyDescent="0.35">
      <c r="B25" s="158"/>
      <c r="C25" s="128"/>
      <c r="D25" s="158"/>
      <c r="E25" s="54" t="s">
        <v>27</v>
      </c>
      <c r="F25" s="51" t="s">
        <v>156</v>
      </c>
      <c r="G25" s="51">
        <v>2</v>
      </c>
      <c r="H25" s="95">
        <f>G25/36</f>
        <v>5.5555555555555552E-2</v>
      </c>
    </row>
    <row r="26" spans="2:8" ht="27.6" customHeight="1" outlineLevel="1" thickTop="1" thickBot="1" x14ac:dyDescent="0.35">
      <c r="B26" s="108" t="s">
        <v>191</v>
      </c>
      <c r="C26" s="86">
        <f>SUBTOTAL(9,C24:C25)</f>
        <v>36</v>
      </c>
      <c r="D26" s="90"/>
      <c r="E26" s="54"/>
      <c r="F26" s="51"/>
      <c r="G26" s="51">
        <f>SUBTOTAL(9,G24:G25)</f>
        <v>7</v>
      </c>
      <c r="H26" s="95">
        <f>SUBTOTAL(9,H24:H25)</f>
        <v>0.19444444444444445</v>
      </c>
    </row>
    <row r="27" spans="2:8" ht="135.6" customHeight="1" outlineLevel="2" thickTop="1" thickBot="1" x14ac:dyDescent="0.35">
      <c r="B27" s="10" t="s">
        <v>92</v>
      </c>
      <c r="C27" s="28">
        <v>87</v>
      </c>
      <c r="D27" s="21" t="s">
        <v>65</v>
      </c>
      <c r="E27" s="15" t="s">
        <v>147</v>
      </c>
      <c r="F27" s="12" t="s">
        <v>162</v>
      </c>
      <c r="G27" s="12">
        <v>29</v>
      </c>
      <c r="H27" s="94">
        <f>G27/C27</f>
        <v>0.33333333333333331</v>
      </c>
    </row>
    <row r="28" spans="2:8" ht="27" customHeight="1" outlineLevel="1" thickTop="1" thickBot="1" x14ac:dyDescent="0.35">
      <c r="B28" s="107" t="s">
        <v>192</v>
      </c>
      <c r="C28" s="69">
        <f>SUBTOTAL(9,C27:C27)</f>
        <v>87</v>
      </c>
      <c r="D28" s="88"/>
      <c r="E28" s="15"/>
      <c r="F28" s="12"/>
      <c r="G28" s="12">
        <f>SUBTOTAL(9,G27:G27)</f>
        <v>29</v>
      </c>
      <c r="H28" s="94">
        <f>SUBTOTAL(9,H27:H27)</f>
        <v>0.33333333333333331</v>
      </c>
    </row>
    <row r="29" spans="2:8" ht="60" customHeight="1" outlineLevel="2" thickTop="1" thickBot="1" x14ac:dyDescent="0.35">
      <c r="B29" s="138" t="s">
        <v>93</v>
      </c>
      <c r="C29" s="135">
        <v>75</v>
      </c>
      <c r="D29" s="137" t="s">
        <v>66</v>
      </c>
      <c r="E29" s="55" t="s">
        <v>122</v>
      </c>
      <c r="F29" s="17" t="s">
        <v>164</v>
      </c>
      <c r="G29" s="17">
        <v>24</v>
      </c>
      <c r="H29" s="96">
        <f>G29/75</f>
        <v>0.32</v>
      </c>
    </row>
    <row r="30" spans="2:8" ht="60" customHeight="1" outlineLevel="2" thickTop="1" thickBot="1" x14ac:dyDescent="0.35">
      <c r="B30" s="138"/>
      <c r="C30" s="136"/>
      <c r="D30" s="137"/>
      <c r="E30" s="55" t="s">
        <v>29</v>
      </c>
      <c r="F30" s="17" t="s">
        <v>165</v>
      </c>
      <c r="G30" s="17">
        <v>10</v>
      </c>
      <c r="H30" s="96">
        <f>G30/75</f>
        <v>0.13333333333333333</v>
      </c>
    </row>
    <row r="31" spans="2:8" ht="60" customHeight="1" outlineLevel="2" thickTop="1" thickBot="1" x14ac:dyDescent="0.35">
      <c r="B31" s="138"/>
      <c r="C31" s="136"/>
      <c r="D31" s="137"/>
      <c r="E31" s="55" t="s">
        <v>37</v>
      </c>
      <c r="F31" s="17" t="s">
        <v>163</v>
      </c>
      <c r="G31" s="17">
        <v>5</v>
      </c>
      <c r="H31" s="96">
        <f>G31/75</f>
        <v>6.6666666666666666E-2</v>
      </c>
    </row>
    <row r="32" spans="2:8" ht="60" customHeight="1" outlineLevel="2" thickTop="1" thickBot="1" x14ac:dyDescent="0.35">
      <c r="B32" s="138"/>
      <c r="C32" s="136"/>
      <c r="D32" s="137"/>
      <c r="E32" s="56" t="s">
        <v>30</v>
      </c>
      <c r="F32" s="13" t="s">
        <v>166</v>
      </c>
      <c r="G32" s="13">
        <v>2</v>
      </c>
      <c r="H32" s="96">
        <f>G32/75</f>
        <v>2.6666666666666668E-2</v>
      </c>
    </row>
    <row r="33" spans="2:8" ht="60" customHeight="1" outlineLevel="2" thickTop="1" thickBot="1" x14ac:dyDescent="0.35">
      <c r="B33" s="138"/>
      <c r="C33" s="139"/>
      <c r="D33" s="137"/>
      <c r="E33" s="56" t="s">
        <v>31</v>
      </c>
      <c r="F33" s="13" t="s">
        <v>154</v>
      </c>
      <c r="G33" s="13">
        <v>2</v>
      </c>
      <c r="H33" s="96">
        <f>G33/75</f>
        <v>2.6666666666666668E-2</v>
      </c>
    </row>
    <row r="34" spans="2:8" ht="22.2" customHeight="1" outlineLevel="1" thickTop="1" thickBot="1" x14ac:dyDescent="0.35">
      <c r="B34" s="109" t="s">
        <v>193</v>
      </c>
      <c r="C34" s="85">
        <f>SUBTOTAL(9,C29:C33)</f>
        <v>75</v>
      </c>
      <c r="D34" s="83"/>
      <c r="E34" s="56"/>
      <c r="F34" s="84"/>
      <c r="G34" s="84">
        <f>SUBTOTAL(9,G29:G33)</f>
        <v>43</v>
      </c>
      <c r="H34" s="96">
        <f>SUBTOTAL(9,H29:H33)</f>
        <v>0.57333333333333325</v>
      </c>
    </row>
    <row r="35" spans="2:8" ht="108.6" customHeight="1" outlineLevel="2" thickTop="1" thickBot="1" x14ac:dyDescent="0.35">
      <c r="B35" s="132" t="s">
        <v>94</v>
      </c>
      <c r="C35" s="132">
        <v>57</v>
      </c>
      <c r="D35" s="140" t="s">
        <v>67</v>
      </c>
      <c r="E35" s="7" t="s">
        <v>10</v>
      </c>
      <c r="F35" s="8" t="s">
        <v>167</v>
      </c>
      <c r="G35" s="8">
        <v>30</v>
      </c>
      <c r="H35" s="93">
        <f>G35/57</f>
        <v>0.52631578947368418</v>
      </c>
    </row>
    <row r="36" spans="2:8" ht="113.4" customHeight="1" outlineLevel="2" thickTop="1" thickBot="1" x14ac:dyDescent="0.35">
      <c r="B36" s="132"/>
      <c r="C36" s="132"/>
      <c r="D36" s="140"/>
      <c r="E36" s="9" t="s">
        <v>11</v>
      </c>
      <c r="F36" s="8" t="s">
        <v>168</v>
      </c>
      <c r="G36" s="8">
        <v>3</v>
      </c>
      <c r="H36" s="93">
        <f>G36/57</f>
        <v>5.2631578947368418E-2</v>
      </c>
    </row>
    <row r="37" spans="2:8" ht="28.8" customHeight="1" outlineLevel="1" thickTop="1" thickBot="1" x14ac:dyDescent="0.35">
      <c r="B37" s="110" t="s">
        <v>194</v>
      </c>
      <c r="C37" s="71">
        <f>SUBTOTAL(9,C35:C36)</f>
        <v>57</v>
      </c>
      <c r="D37" s="81"/>
      <c r="E37" s="9"/>
      <c r="F37" s="8"/>
      <c r="G37" s="8">
        <f>SUBTOTAL(9,G35:G36)</f>
        <v>33</v>
      </c>
      <c r="H37" s="93">
        <f>SUBTOTAL(9,H35:H36)</f>
        <v>0.57894736842105265</v>
      </c>
    </row>
    <row r="38" spans="2:8" ht="92.4" customHeight="1" outlineLevel="2" thickTop="1" thickBot="1" x14ac:dyDescent="0.35">
      <c r="B38" s="141" t="s">
        <v>95</v>
      </c>
      <c r="C38" s="141">
        <v>50</v>
      </c>
      <c r="D38" s="152" t="s">
        <v>68</v>
      </c>
      <c r="E38" s="19" t="s">
        <v>21</v>
      </c>
      <c r="F38" s="20" t="s">
        <v>156</v>
      </c>
      <c r="G38" s="20">
        <v>1</v>
      </c>
      <c r="H38" s="97">
        <f>G38/50</f>
        <v>0.02</v>
      </c>
    </row>
    <row r="39" spans="2:8" ht="97.2" customHeight="1" outlineLevel="2" thickTop="1" thickBot="1" x14ac:dyDescent="0.35">
      <c r="B39" s="142"/>
      <c r="C39" s="142"/>
      <c r="D39" s="161"/>
      <c r="E39" s="58" t="s">
        <v>128</v>
      </c>
      <c r="F39" s="18" t="s">
        <v>161</v>
      </c>
      <c r="G39" s="18">
        <v>1</v>
      </c>
      <c r="H39" s="97">
        <f>G39/50</f>
        <v>0.02</v>
      </c>
    </row>
    <row r="40" spans="2:8" ht="26.4" customHeight="1" outlineLevel="1" thickTop="1" thickBot="1" x14ac:dyDescent="0.35">
      <c r="B40" s="111" t="s">
        <v>195</v>
      </c>
      <c r="C40" s="80">
        <f>SUBTOTAL(9,C38:C39)</f>
        <v>50</v>
      </c>
      <c r="D40" s="79"/>
      <c r="E40" s="58"/>
      <c r="F40" s="18"/>
      <c r="G40" s="18">
        <f>SUBTOTAL(9,G38:G39)</f>
        <v>2</v>
      </c>
      <c r="H40" s="97">
        <f>SUBTOTAL(9,H38:H39)</f>
        <v>0.04</v>
      </c>
    </row>
    <row r="41" spans="2:8" ht="188.4" customHeight="1" outlineLevel="2" thickTop="1" thickBot="1" x14ac:dyDescent="0.35">
      <c r="B41" s="28" t="s">
        <v>96</v>
      </c>
      <c r="C41" s="28">
        <v>43</v>
      </c>
      <c r="D41" s="30" t="s">
        <v>69</v>
      </c>
      <c r="E41" s="11" t="s">
        <v>16</v>
      </c>
      <c r="F41" s="12" t="s">
        <v>169</v>
      </c>
      <c r="G41" s="12">
        <v>1</v>
      </c>
      <c r="H41" s="94">
        <f>G41/C41</f>
        <v>2.3255813953488372E-2</v>
      </c>
    </row>
    <row r="42" spans="2:8" ht="27" customHeight="1" outlineLevel="1" thickTop="1" thickBot="1" x14ac:dyDescent="0.35">
      <c r="B42" s="112" t="s">
        <v>196</v>
      </c>
      <c r="C42" s="69">
        <f>SUBTOTAL(9,C41:C41)</f>
        <v>43</v>
      </c>
      <c r="D42" s="30"/>
      <c r="E42" s="11"/>
      <c r="F42" s="12"/>
      <c r="G42" s="12">
        <f>SUBTOTAL(9,G41:G41)</f>
        <v>1</v>
      </c>
      <c r="H42" s="94">
        <f>SUBTOTAL(9,H41:H41)</f>
        <v>2.3255813953488372E-2</v>
      </c>
    </row>
    <row r="43" spans="2:8" ht="112.8" customHeight="1" outlineLevel="2" thickTop="1" thickBot="1" x14ac:dyDescent="0.35">
      <c r="B43" s="131" t="s">
        <v>97</v>
      </c>
      <c r="C43" s="131">
        <v>43</v>
      </c>
      <c r="D43" s="160" t="s">
        <v>70</v>
      </c>
      <c r="E43" s="60" t="s">
        <v>39</v>
      </c>
      <c r="F43" s="59" t="s">
        <v>170</v>
      </c>
      <c r="G43" s="59">
        <v>18</v>
      </c>
      <c r="H43" s="98">
        <f>G43/43</f>
        <v>0.41860465116279072</v>
      </c>
    </row>
    <row r="44" spans="2:8" ht="102.6" customHeight="1" outlineLevel="2" thickTop="1" thickBot="1" x14ac:dyDescent="0.35">
      <c r="B44" s="131"/>
      <c r="C44" s="131"/>
      <c r="D44" s="160"/>
      <c r="E44" s="61" t="s">
        <v>3</v>
      </c>
      <c r="F44" s="22" t="s">
        <v>171</v>
      </c>
      <c r="G44" s="22">
        <v>1</v>
      </c>
      <c r="H44" s="98">
        <f>G44/43</f>
        <v>2.3255813953488372E-2</v>
      </c>
    </row>
    <row r="45" spans="2:8" ht="15.6" customHeight="1" outlineLevel="1" thickTop="1" thickBot="1" x14ac:dyDescent="0.35">
      <c r="B45" s="114" t="s">
        <v>197</v>
      </c>
      <c r="C45" s="113">
        <f>SUBTOTAL(9,C43:C44)</f>
        <v>43</v>
      </c>
      <c r="D45" s="91"/>
      <c r="E45" s="61"/>
      <c r="F45" s="22"/>
      <c r="G45" s="22">
        <f>SUBTOTAL(9,G43:G44)</f>
        <v>19</v>
      </c>
      <c r="H45" s="98">
        <f>SUBTOTAL(9,H43:H44)</f>
        <v>0.44186046511627908</v>
      </c>
    </row>
    <row r="46" spans="2:8" ht="169.8" customHeight="1" outlineLevel="2" thickTop="1" thickBot="1" x14ac:dyDescent="0.35">
      <c r="B46" s="23" t="s">
        <v>98</v>
      </c>
      <c r="C46" s="67">
        <v>108</v>
      </c>
      <c r="D46" s="68" t="s">
        <v>71</v>
      </c>
      <c r="E46" s="63" t="s">
        <v>2</v>
      </c>
      <c r="F46" s="103" t="s">
        <v>171</v>
      </c>
      <c r="G46" s="62">
        <v>5</v>
      </c>
      <c r="H46" s="99">
        <f>G46/C46</f>
        <v>4.6296296296296294E-2</v>
      </c>
    </row>
    <row r="47" spans="2:8" ht="43.2" customHeight="1" outlineLevel="1" thickTop="1" thickBot="1" x14ac:dyDescent="0.35">
      <c r="B47" s="116" t="s">
        <v>198</v>
      </c>
      <c r="C47" s="67">
        <f>SUBTOTAL(9,C46:C46)</f>
        <v>108</v>
      </c>
      <c r="D47" s="115"/>
      <c r="E47" s="63"/>
      <c r="F47" s="103"/>
      <c r="G47" s="62">
        <f>SUBTOTAL(9,G46:G46)</f>
        <v>5</v>
      </c>
      <c r="H47" s="99">
        <f>SUBTOTAL(9,H46:H46)</f>
        <v>4.6296296296296294E-2</v>
      </c>
    </row>
    <row r="48" spans="2:8" ht="100.2" customHeight="1" outlineLevel="2" thickTop="1" thickBot="1" x14ac:dyDescent="0.35">
      <c r="B48" s="135" t="s">
        <v>99</v>
      </c>
      <c r="C48" s="135">
        <v>83</v>
      </c>
      <c r="D48" s="133" t="s">
        <v>72</v>
      </c>
      <c r="E48" s="16" t="s">
        <v>34</v>
      </c>
      <c r="F48" s="17" t="s">
        <v>172</v>
      </c>
      <c r="G48" s="17">
        <v>15</v>
      </c>
      <c r="H48" s="96">
        <f>G48/83</f>
        <v>0.18072289156626506</v>
      </c>
    </row>
    <row r="49" spans="2:8" ht="91.8" customHeight="1" outlineLevel="2" thickTop="1" thickBot="1" x14ac:dyDescent="0.35">
      <c r="B49" s="136"/>
      <c r="C49" s="136"/>
      <c r="D49" s="134"/>
      <c r="E49" s="16" t="s">
        <v>32</v>
      </c>
      <c r="F49" s="17" t="s">
        <v>170</v>
      </c>
      <c r="G49" s="17">
        <v>1</v>
      </c>
      <c r="H49" s="96">
        <f>G49/83</f>
        <v>1.2048192771084338E-2</v>
      </c>
    </row>
    <row r="50" spans="2:8" ht="30.6" customHeight="1" outlineLevel="1" thickTop="1" thickBot="1" x14ac:dyDescent="0.35">
      <c r="B50" s="117" t="s">
        <v>199</v>
      </c>
      <c r="C50" s="76">
        <f>SUBTOTAL(9,C48:C49)</f>
        <v>83</v>
      </c>
      <c r="D50" s="74"/>
      <c r="E50" s="16"/>
      <c r="F50" s="17"/>
      <c r="G50" s="17">
        <f>SUBTOTAL(9,G48:G49)</f>
        <v>16</v>
      </c>
      <c r="H50" s="96">
        <f>SUBTOTAL(9,H48:H49)</f>
        <v>0.19277108433734941</v>
      </c>
    </row>
    <row r="51" spans="2:8" ht="111.6" customHeight="1" outlineLevel="2" thickTop="1" thickBot="1" x14ac:dyDescent="0.35">
      <c r="B51" s="148" t="s">
        <v>100</v>
      </c>
      <c r="C51" s="148">
        <v>80</v>
      </c>
      <c r="D51" s="150" t="s">
        <v>73</v>
      </c>
      <c r="E51" s="64" t="s">
        <v>35</v>
      </c>
      <c r="F51" s="27" t="s">
        <v>169</v>
      </c>
      <c r="G51" s="27">
        <v>13</v>
      </c>
      <c r="H51" s="100">
        <f>G51/80</f>
        <v>0.16250000000000001</v>
      </c>
    </row>
    <row r="52" spans="2:8" ht="79.8" customHeight="1" outlineLevel="2" thickTop="1" thickBot="1" x14ac:dyDescent="0.35">
      <c r="B52" s="149"/>
      <c r="C52" s="149"/>
      <c r="D52" s="151"/>
      <c r="E52" s="64" t="s">
        <v>33</v>
      </c>
      <c r="F52" s="27" t="s">
        <v>170</v>
      </c>
      <c r="G52" s="27">
        <v>2</v>
      </c>
      <c r="H52" s="100">
        <f>G52/80</f>
        <v>2.5000000000000001E-2</v>
      </c>
    </row>
    <row r="53" spans="2:8" ht="21" customHeight="1" outlineLevel="1" thickTop="1" thickBot="1" x14ac:dyDescent="0.35">
      <c r="B53" s="118" t="s">
        <v>200</v>
      </c>
      <c r="C53" s="77">
        <f>SUBTOTAL(9,C51:C52)</f>
        <v>80</v>
      </c>
      <c r="D53" s="78"/>
      <c r="E53" s="64"/>
      <c r="F53" s="27"/>
      <c r="G53" s="27">
        <f>SUBTOTAL(9,G51:G52)</f>
        <v>15</v>
      </c>
      <c r="H53" s="100">
        <f>SUBTOTAL(9,H51:H52)</f>
        <v>0.1875</v>
      </c>
    </row>
    <row r="54" spans="2:8" ht="60" customHeight="1" outlineLevel="2" thickTop="1" thickBot="1" x14ac:dyDescent="0.35">
      <c r="B54" s="156" t="s">
        <v>101</v>
      </c>
      <c r="C54" s="143">
        <v>223</v>
      </c>
      <c r="D54" s="155" t="s">
        <v>74</v>
      </c>
      <c r="E54" s="11" t="s">
        <v>137</v>
      </c>
      <c r="F54" s="12" t="s">
        <v>152</v>
      </c>
      <c r="G54" s="12">
        <v>16</v>
      </c>
      <c r="H54" s="94">
        <f t="shared" ref="H54:H60" si="2">G54/223</f>
        <v>7.1748878923766815E-2</v>
      </c>
    </row>
    <row r="55" spans="2:8" ht="60" customHeight="1" outlineLevel="2" thickTop="1" thickBot="1" x14ac:dyDescent="0.35">
      <c r="B55" s="156"/>
      <c r="C55" s="144"/>
      <c r="D55" s="155"/>
      <c r="E55" s="11" t="s">
        <v>136</v>
      </c>
      <c r="F55" s="12" t="s">
        <v>151</v>
      </c>
      <c r="G55" s="12">
        <v>6</v>
      </c>
      <c r="H55" s="94">
        <f t="shared" si="2"/>
        <v>2.6905829596412557E-2</v>
      </c>
    </row>
    <row r="56" spans="2:8" ht="60" customHeight="1" outlineLevel="2" thickTop="1" thickBot="1" x14ac:dyDescent="0.35">
      <c r="B56" s="156"/>
      <c r="C56" s="144"/>
      <c r="D56" s="155"/>
      <c r="E56" s="11" t="s">
        <v>8</v>
      </c>
      <c r="F56" s="12" t="s">
        <v>155</v>
      </c>
      <c r="G56" s="12">
        <v>2</v>
      </c>
      <c r="H56" s="94">
        <f t="shared" si="2"/>
        <v>8.9686098654708519E-3</v>
      </c>
    </row>
    <row r="57" spans="2:8" ht="60" customHeight="1" outlineLevel="2" thickTop="1" thickBot="1" x14ac:dyDescent="0.35">
      <c r="B57" s="156"/>
      <c r="C57" s="144"/>
      <c r="D57" s="155"/>
      <c r="E57" s="65" t="s">
        <v>130</v>
      </c>
      <c r="F57" s="10" t="s">
        <v>155</v>
      </c>
      <c r="G57" s="10">
        <v>2</v>
      </c>
      <c r="H57" s="94">
        <f t="shared" si="2"/>
        <v>8.9686098654708519E-3</v>
      </c>
    </row>
    <row r="58" spans="2:8" ht="60" customHeight="1" outlineLevel="2" thickTop="1" thickBot="1" x14ac:dyDescent="0.35">
      <c r="B58" s="156"/>
      <c r="C58" s="144"/>
      <c r="D58" s="155"/>
      <c r="E58" s="11" t="s">
        <v>131</v>
      </c>
      <c r="F58" s="12" t="s">
        <v>153</v>
      </c>
      <c r="G58" s="12">
        <v>1</v>
      </c>
      <c r="H58" s="94">
        <f t="shared" si="2"/>
        <v>4.4843049327354259E-3</v>
      </c>
    </row>
    <row r="59" spans="2:8" ht="60" customHeight="1" outlineLevel="2" thickTop="1" thickBot="1" x14ac:dyDescent="0.35">
      <c r="B59" s="156"/>
      <c r="C59" s="144"/>
      <c r="D59" s="155"/>
      <c r="E59" s="11" t="s">
        <v>42</v>
      </c>
      <c r="F59" s="10" t="s">
        <v>183</v>
      </c>
      <c r="G59" s="10">
        <v>1</v>
      </c>
      <c r="H59" s="94">
        <f t="shared" si="2"/>
        <v>4.4843049327354259E-3</v>
      </c>
    </row>
    <row r="60" spans="2:8" ht="60" customHeight="1" outlineLevel="2" thickTop="1" thickBot="1" x14ac:dyDescent="0.35">
      <c r="B60" s="156"/>
      <c r="C60" s="147"/>
      <c r="D60" s="155"/>
      <c r="E60" s="11" t="s">
        <v>143</v>
      </c>
      <c r="F60" s="12" t="s">
        <v>173</v>
      </c>
      <c r="G60" s="12">
        <v>1</v>
      </c>
      <c r="H60" s="94">
        <f t="shared" si="2"/>
        <v>4.4843049327354259E-3</v>
      </c>
    </row>
    <row r="61" spans="2:8" ht="23.4" customHeight="1" outlineLevel="1" thickTop="1" thickBot="1" x14ac:dyDescent="0.35">
      <c r="B61" s="107" t="s">
        <v>201</v>
      </c>
      <c r="C61" s="70">
        <f>SUBTOTAL(9,C54:C60)</f>
        <v>223</v>
      </c>
      <c r="D61" s="88"/>
      <c r="E61" s="11"/>
      <c r="F61" s="12"/>
      <c r="G61" s="12">
        <f>SUBTOTAL(9,G54:G60)</f>
        <v>29</v>
      </c>
      <c r="H61" s="94">
        <f>SUBTOTAL(9,H54:H60)</f>
        <v>0.13004484304932737</v>
      </c>
    </row>
    <row r="62" spans="2:8" ht="168" customHeight="1" outlineLevel="2" thickTop="1" thickBot="1" x14ac:dyDescent="0.35">
      <c r="B62" s="6" t="s">
        <v>102</v>
      </c>
      <c r="C62" s="29">
        <v>125</v>
      </c>
      <c r="D62" s="25" t="s">
        <v>75</v>
      </c>
      <c r="E62" s="9" t="s">
        <v>12</v>
      </c>
      <c r="F62" s="8" t="s">
        <v>174</v>
      </c>
      <c r="G62" s="8">
        <v>4</v>
      </c>
      <c r="H62" s="93">
        <f>G62/C62</f>
        <v>3.2000000000000001E-2</v>
      </c>
    </row>
    <row r="63" spans="2:8" ht="22.2" customHeight="1" outlineLevel="1" thickTop="1" thickBot="1" x14ac:dyDescent="0.35">
      <c r="B63" s="110" t="s">
        <v>202</v>
      </c>
      <c r="C63" s="71">
        <f>SUBTOTAL(9,C62:C62)</f>
        <v>125</v>
      </c>
      <c r="D63" s="81"/>
      <c r="E63" s="9"/>
      <c r="F63" s="8"/>
      <c r="G63" s="8">
        <f>SUBTOTAL(9,G62:G62)</f>
        <v>4</v>
      </c>
      <c r="H63" s="93">
        <f>SUBTOTAL(9,H62:H62)</f>
        <v>3.2000000000000001E-2</v>
      </c>
    </row>
    <row r="64" spans="2:8" ht="60" customHeight="1" outlineLevel="2" thickTop="1" thickBot="1" x14ac:dyDescent="0.35">
      <c r="B64" s="141" t="s">
        <v>103</v>
      </c>
      <c r="C64" s="141">
        <v>156</v>
      </c>
      <c r="D64" s="152" t="s">
        <v>76</v>
      </c>
      <c r="E64" s="19" t="s">
        <v>46</v>
      </c>
      <c r="F64" s="20" t="s">
        <v>183</v>
      </c>
      <c r="G64" s="20">
        <v>3</v>
      </c>
      <c r="H64" s="97">
        <f>G64/156</f>
        <v>1.9230769230769232E-2</v>
      </c>
    </row>
    <row r="65" spans="2:8" ht="60" customHeight="1" outlineLevel="2" thickTop="1" thickBot="1" x14ac:dyDescent="0.35">
      <c r="B65" s="154"/>
      <c r="C65" s="154"/>
      <c r="D65" s="153"/>
      <c r="E65" s="19" t="s">
        <v>124</v>
      </c>
      <c r="F65" s="18" t="s">
        <v>154</v>
      </c>
      <c r="G65" s="18">
        <v>2</v>
      </c>
      <c r="H65" s="97">
        <f>G65/156</f>
        <v>1.282051282051282E-2</v>
      </c>
    </row>
    <row r="66" spans="2:8" ht="60" customHeight="1" outlineLevel="2" thickTop="1" thickBot="1" x14ac:dyDescent="0.35">
      <c r="B66" s="154"/>
      <c r="C66" s="154"/>
      <c r="D66" s="153"/>
      <c r="E66" s="19" t="s">
        <v>119</v>
      </c>
      <c r="F66" s="20" t="s">
        <v>155</v>
      </c>
      <c r="G66" s="20">
        <v>1</v>
      </c>
      <c r="H66" s="97">
        <f>G66/156</f>
        <v>6.41025641025641E-3</v>
      </c>
    </row>
    <row r="67" spans="2:8" ht="23.4" customHeight="1" outlineLevel="1" thickTop="1" thickBot="1" x14ac:dyDescent="0.35">
      <c r="B67" s="111" t="s">
        <v>203</v>
      </c>
      <c r="C67" s="80">
        <f>SUBTOTAL(9,C64:C66)</f>
        <v>156</v>
      </c>
      <c r="D67" s="79"/>
      <c r="E67" s="19"/>
      <c r="F67" s="20"/>
      <c r="G67" s="20">
        <f>SUBTOTAL(9,G64:G66)</f>
        <v>6</v>
      </c>
      <c r="H67" s="97">
        <f>SUBTOTAL(9,H64:H66)</f>
        <v>3.8461538461538457E-2</v>
      </c>
    </row>
    <row r="68" spans="2:8" ht="152.4" customHeight="1" outlineLevel="2" thickTop="1" thickBot="1" x14ac:dyDescent="0.35">
      <c r="B68" s="13" t="s">
        <v>104</v>
      </c>
      <c r="C68" s="66">
        <v>213</v>
      </c>
      <c r="D68" s="24" t="s">
        <v>77</v>
      </c>
      <c r="E68" s="16" t="s">
        <v>44</v>
      </c>
      <c r="F68" s="17" t="s">
        <v>183</v>
      </c>
      <c r="G68" s="17">
        <v>2</v>
      </c>
      <c r="H68" s="96">
        <f>G68/C68</f>
        <v>9.3896713615023476E-3</v>
      </c>
    </row>
    <row r="69" spans="2:8" ht="28.2" customHeight="1" outlineLevel="1" thickTop="1" thickBot="1" x14ac:dyDescent="0.35">
      <c r="B69" s="119" t="s">
        <v>204</v>
      </c>
      <c r="C69" s="75">
        <f>SUBTOTAL(9,C68:C68)</f>
        <v>213</v>
      </c>
      <c r="D69" s="73"/>
      <c r="E69" s="16"/>
      <c r="F69" s="17"/>
      <c r="G69" s="17">
        <f>SUBTOTAL(9,G68:G68)</f>
        <v>2</v>
      </c>
      <c r="H69" s="96">
        <f>SUBTOTAL(9,H68:H68)</f>
        <v>9.3896713615023476E-3</v>
      </c>
    </row>
    <row r="70" spans="2:8" ht="60" customHeight="1" outlineLevel="2" thickTop="1" thickBot="1" x14ac:dyDescent="0.35">
      <c r="B70" s="129" t="s">
        <v>105</v>
      </c>
      <c r="C70" s="129">
        <v>174</v>
      </c>
      <c r="D70" s="145" t="s">
        <v>78</v>
      </c>
      <c r="E70" s="9" t="s">
        <v>41</v>
      </c>
      <c r="F70" s="8" t="s">
        <v>176</v>
      </c>
      <c r="G70" s="8">
        <v>17</v>
      </c>
      <c r="H70" s="93">
        <f>G70/174</f>
        <v>9.7701149425287362E-2</v>
      </c>
    </row>
    <row r="71" spans="2:8" ht="60" customHeight="1" outlineLevel="2" thickTop="1" thickBot="1" x14ac:dyDescent="0.35">
      <c r="B71" s="130"/>
      <c r="C71" s="130"/>
      <c r="D71" s="146"/>
      <c r="E71" s="9" t="s">
        <v>40</v>
      </c>
      <c r="F71" s="8" t="s">
        <v>177</v>
      </c>
      <c r="G71" s="8">
        <v>1</v>
      </c>
      <c r="H71" s="93">
        <f t="shared" ref="H71:H72" si="3">G71/174</f>
        <v>5.7471264367816091E-3</v>
      </c>
    </row>
    <row r="72" spans="2:8" ht="60" customHeight="1" outlineLevel="2" thickTop="1" thickBot="1" x14ac:dyDescent="0.35">
      <c r="B72" s="130"/>
      <c r="C72" s="130"/>
      <c r="D72" s="146"/>
      <c r="E72" s="9" t="s">
        <v>127</v>
      </c>
      <c r="F72" s="8" t="s">
        <v>175</v>
      </c>
      <c r="G72" s="8">
        <v>1</v>
      </c>
      <c r="H72" s="93">
        <f t="shared" si="3"/>
        <v>5.7471264367816091E-3</v>
      </c>
    </row>
    <row r="73" spans="2:8" ht="25.2" customHeight="1" outlineLevel="1" thickTop="1" thickBot="1" x14ac:dyDescent="0.35">
      <c r="B73" s="120" t="s">
        <v>205</v>
      </c>
      <c r="C73" s="72">
        <f>SUBTOTAL(9,C70:C72)</f>
        <v>174</v>
      </c>
      <c r="D73" s="82"/>
      <c r="E73" s="9"/>
      <c r="F73" s="8"/>
      <c r="G73" s="8">
        <f>SUBTOTAL(9,G70:G72)</f>
        <v>19</v>
      </c>
      <c r="H73" s="93">
        <f>SUBTOTAL(9,H70:H72)</f>
        <v>0.10919540229885058</v>
      </c>
    </row>
    <row r="74" spans="2:8" ht="104.4" customHeight="1" outlineLevel="2" thickTop="1" thickBot="1" x14ac:dyDescent="0.35">
      <c r="B74" s="156" t="s">
        <v>106</v>
      </c>
      <c r="C74" s="143">
        <v>53</v>
      </c>
      <c r="D74" s="155" t="s">
        <v>79</v>
      </c>
      <c r="E74" s="11" t="s">
        <v>114</v>
      </c>
      <c r="F74" s="12" t="s">
        <v>166</v>
      </c>
      <c r="G74" s="12">
        <v>21</v>
      </c>
      <c r="H74" s="94">
        <f>G74/53</f>
        <v>0.39622641509433965</v>
      </c>
    </row>
    <row r="75" spans="2:8" ht="90" customHeight="1" outlineLevel="2" thickTop="1" thickBot="1" x14ac:dyDescent="0.35">
      <c r="B75" s="156"/>
      <c r="C75" s="144"/>
      <c r="D75" s="155"/>
      <c r="E75" s="11" t="s">
        <v>24</v>
      </c>
      <c r="F75" s="12" t="s">
        <v>178</v>
      </c>
      <c r="G75" s="12">
        <v>1</v>
      </c>
      <c r="H75" s="94">
        <f>G75/53</f>
        <v>1.8867924528301886E-2</v>
      </c>
    </row>
    <row r="76" spans="2:8" ht="28.2" customHeight="1" outlineLevel="1" thickTop="1" thickBot="1" x14ac:dyDescent="0.35">
      <c r="B76" s="107" t="s">
        <v>206</v>
      </c>
      <c r="C76" s="70">
        <f>SUBTOTAL(9,C74:C75)</f>
        <v>53</v>
      </c>
      <c r="D76" s="88"/>
      <c r="E76" s="11"/>
      <c r="F76" s="12"/>
      <c r="G76" s="12">
        <f>SUBTOTAL(9,G74:G75)</f>
        <v>22</v>
      </c>
      <c r="H76" s="94">
        <f>SUBTOTAL(9,H74:H75)</f>
        <v>0.41509433962264153</v>
      </c>
    </row>
    <row r="77" spans="2:8" ht="60" customHeight="1" outlineLevel="2" thickTop="1" thickBot="1" x14ac:dyDescent="0.35">
      <c r="B77" s="132" t="s">
        <v>107</v>
      </c>
      <c r="C77" s="129">
        <v>150</v>
      </c>
      <c r="D77" s="140" t="s">
        <v>80</v>
      </c>
      <c r="E77" s="7" t="s">
        <v>17</v>
      </c>
      <c r="F77" s="8" t="s">
        <v>178</v>
      </c>
      <c r="G77" s="8">
        <v>31</v>
      </c>
      <c r="H77" s="101">
        <f>G77/150</f>
        <v>0.20666666666666667</v>
      </c>
    </row>
    <row r="78" spans="2:8" ht="60" customHeight="1" outlineLevel="2" thickTop="1" thickBot="1" x14ac:dyDescent="0.35">
      <c r="B78" s="132"/>
      <c r="C78" s="130"/>
      <c r="D78" s="140"/>
      <c r="E78" s="9" t="s">
        <v>22</v>
      </c>
      <c r="F78" s="26" t="s">
        <v>179</v>
      </c>
      <c r="G78" s="26">
        <v>5</v>
      </c>
      <c r="H78" s="101">
        <f>G78/150</f>
        <v>3.3333333333333333E-2</v>
      </c>
    </row>
    <row r="79" spans="2:8" ht="60" customHeight="1" outlineLevel="2" thickTop="1" thickBot="1" x14ac:dyDescent="0.35">
      <c r="B79" s="132"/>
      <c r="C79" s="130"/>
      <c r="D79" s="140"/>
      <c r="E79" s="9" t="s">
        <v>129</v>
      </c>
      <c r="F79" s="8" t="s">
        <v>156</v>
      </c>
      <c r="G79" s="8">
        <v>1</v>
      </c>
      <c r="H79" s="101">
        <f>G79/150</f>
        <v>6.6666666666666671E-3</v>
      </c>
    </row>
    <row r="80" spans="2:8" ht="60" customHeight="1" outlineLevel="2" thickTop="1" thickBot="1" x14ac:dyDescent="0.35">
      <c r="B80" s="132"/>
      <c r="C80" s="130"/>
      <c r="D80" s="140"/>
      <c r="E80" s="9" t="s">
        <v>135</v>
      </c>
      <c r="F80" s="8" t="s">
        <v>180</v>
      </c>
      <c r="G80" s="8">
        <v>1</v>
      </c>
      <c r="H80" s="101">
        <f>G80/150</f>
        <v>6.6666666666666671E-3</v>
      </c>
    </row>
    <row r="81" spans="2:8" ht="21.6" customHeight="1" outlineLevel="1" thickTop="1" thickBot="1" x14ac:dyDescent="0.35">
      <c r="B81" s="106" t="s">
        <v>207</v>
      </c>
      <c r="C81" s="72">
        <f>SUBTOTAL(9,C77:C80)</f>
        <v>150</v>
      </c>
      <c r="D81" s="87"/>
      <c r="E81" s="9"/>
      <c r="F81" s="8"/>
      <c r="G81" s="8">
        <f>SUBTOTAL(9,G77:G80)</f>
        <v>38</v>
      </c>
      <c r="H81" s="101">
        <f>SUBTOTAL(9,H77:H80)</f>
        <v>0.2533333333333333</v>
      </c>
    </row>
    <row r="82" spans="2:8" ht="106.8" customHeight="1" outlineLevel="2" thickTop="1" thickBot="1" x14ac:dyDescent="0.35">
      <c r="B82" s="138" t="s">
        <v>108</v>
      </c>
      <c r="C82" s="135">
        <v>138</v>
      </c>
      <c r="D82" s="137" t="s">
        <v>81</v>
      </c>
      <c r="E82" s="16" t="s">
        <v>38</v>
      </c>
      <c r="F82" s="17" t="s">
        <v>166</v>
      </c>
      <c r="G82" s="17">
        <v>23</v>
      </c>
      <c r="H82" s="96">
        <f>G82/138</f>
        <v>0.16666666666666666</v>
      </c>
    </row>
    <row r="83" spans="2:8" ht="82.2" customHeight="1" outlineLevel="2" thickTop="1" thickBot="1" x14ac:dyDescent="0.35">
      <c r="B83" s="138"/>
      <c r="C83" s="136"/>
      <c r="D83" s="137"/>
      <c r="E83" s="55" t="s">
        <v>116</v>
      </c>
      <c r="F83" s="17" t="s">
        <v>181</v>
      </c>
      <c r="G83" s="17">
        <v>23</v>
      </c>
      <c r="H83" s="96">
        <f>G83/138</f>
        <v>0.16666666666666666</v>
      </c>
    </row>
    <row r="84" spans="2:8" ht="24" customHeight="1" outlineLevel="1" thickTop="1" thickBot="1" x14ac:dyDescent="0.35">
      <c r="B84" s="119" t="s">
        <v>208</v>
      </c>
      <c r="C84" s="76">
        <f>SUBTOTAL(9,C82:C83)</f>
        <v>138</v>
      </c>
      <c r="D84" s="73"/>
      <c r="E84" s="55"/>
      <c r="F84" s="17"/>
      <c r="G84" s="17">
        <f>SUBTOTAL(9,G82:G83)</f>
        <v>46</v>
      </c>
      <c r="H84" s="96">
        <f>SUBTOTAL(9,H82:H83)</f>
        <v>0.33333333333333331</v>
      </c>
    </row>
    <row r="85" spans="2:8" ht="60" customHeight="1" outlineLevel="2" thickTop="1" thickBot="1" x14ac:dyDescent="0.35">
      <c r="B85" s="141" t="s">
        <v>109</v>
      </c>
      <c r="C85" s="141">
        <v>34</v>
      </c>
      <c r="D85" s="152" t="s">
        <v>82</v>
      </c>
      <c r="E85" s="19" t="s">
        <v>23</v>
      </c>
      <c r="F85" s="20" t="s">
        <v>154</v>
      </c>
      <c r="G85" s="20">
        <v>3</v>
      </c>
      <c r="H85" s="97">
        <f>G85/34</f>
        <v>8.8235294117647065E-2</v>
      </c>
    </row>
    <row r="86" spans="2:8" ht="60" customHeight="1" outlineLevel="2" thickTop="1" thickBot="1" x14ac:dyDescent="0.35">
      <c r="B86" s="154"/>
      <c r="C86" s="154"/>
      <c r="D86" s="153"/>
      <c r="E86" s="19" t="s">
        <v>118</v>
      </c>
      <c r="F86" s="20" t="s">
        <v>179</v>
      </c>
      <c r="G86" s="20">
        <v>1</v>
      </c>
      <c r="H86" s="97">
        <f t="shared" ref="H86:H87" si="4">G86/34</f>
        <v>2.9411764705882353E-2</v>
      </c>
    </row>
    <row r="87" spans="2:8" ht="60" customHeight="1" outlineLevel="2" thickTop="1" thickBot="1" x14ac:dyDescent="0.35">
      <c r="B87" s="154"/>
      <c r="C87" s="154"/>
      <c r="D87" s="153"/>
      <c r="E87" s="57" t="s">
        <v>25</v>
      </c>
      <c r="F87" s="20" t="s">
        <v>166</v>
      </c>
      <c r="G87" s="20">
        <v>1</v>
      </c>
      <c r="H87" s="97">
        <f t="shared" si="4"/>
        <v>2.9411764705882353E-2</v>
      </c>
    </row>
    <row r="88" spans="2:8" ht="23.4" customHeight="1" outlineLevel="1" thickTop="1" thickBot="1" x14ac:dyDescent="0.35">
      <c r="B88" s="111" t="s">
        <v>209</v>
      </c>
      <c r="C88" s="80">
        <f>SUBTOTAL(9,C85:C87)</f>
        <v>34</v>
      </c>
      <c r="D88" s="79"/>
      <c r="E88" s="57"/>
      <c r="F88" s="20"/>
      <c r="G88" s="20">
        <f>SUBTOTAL(9,G85:G87)</f>
        <v>5</v>
      </c>
      <c r="H88" s="97">
        <f>SUBTOTAL(9,H85:H87)</f>
        <v>0.14705882352941177</v>
      </c>
    </row>
    <row r="89" spans="2:8" ht="142.19999999999999" customHeight="1" outlineLevel="2" thickTop="1" thickBot="1" x14ac:dyDescent="0.35">
      <c r="B89" s="6" t="s">
        <v>110</v>
      </c>
      <c r="C89" s="29">
        <v>194</v>
      </c>
      <c r="D89" s="25" t="s">
        <v>83</v>
      </c>
      <c r="E89" s="9" t="s">
        <v>142</v>
      </c>
      <c r="F89" s="8" t="s">
        <v>182</v>
      </c>
      <c r="G89" s="8">
        <v>1</v>
      </c>
      <c r="H89" s="93">
        <f>G89/C89</f>
        <v>5.1546391752577319E-3</v>
      </c>
    </row>
    <row r="90" spans="2:8" ht="19.8" customHeight="1" outlineLevel="1" thickTop="1" thickBot="1" x14ac:dyDescent="0.35">
      <c r="B90" s="106" t="s">
        <v>210</v>
      </c>
      <c r="C90" s="71">
        <f>SUBTOTAL(9,C89:C89)</f>
        <v>194</v>
      </c>
      <c r="D90" s="87"/>
      <c r="E90" s="9"/>
      <c r="F90" s="8"/>
      <c r="G90" s="8">
        <f>SUBTOTAL(9,G89:G89)</f>
        <v>1</v>
      </c>
      <c r="H90" s="93">
        <f>SUBTOTAL(9,H89:H89)</f>
        <v>5.1546391752577319E-3</v>
      </c>
    </row>
    <row r="91" spans="2:8" ht="60" customHeight="1" outlineLevel="2" thickTop="1" thickBot="1" x14ac:dyDescent="0.35">
      <c r="B91" s="10" t="s">
        <v>145</v>
      </c>
      <c r="C91" s="10"/>
      <c r="D91" s="21"/>
      <c r="E91" s="15"/>
      <c r="F91" s="12"/>
      <c r="G91" s="12">
        <f>SUM(G2:G89)</f>
        <v>795</v>
      </c>
      <c r="H91" s="94"/>
    </row>
    <row r="92" spans="2:8" ht="8.4" customHeight="1" outlineLevel="1" thickTop="1" x14ac:dyDescent="0.3">
      <c r="B92" s="126" t="s">
        <v>211</v>
      </c>
      <c r="C92" s="121">
        <f>SUBTOTAL(9,C91:C91)</f>
        <v>0</v>
      </c>
      <c r="D92" s="122"/>
      <c r="E92" s="123"/>
      <c r="F92" s="124"/>
      <c r="G92" s="124">
        <f>SUBTOTAL(9,G91:G91)</f>
        <v>795</v>
      </c>
      <c r="H92" s="125">
        <f>SUBTOTAL(9,H91:H91)</f>
        <v>0</v>
      </c>
    </row>
    <row r="93" spans="2:8" ht="60" customHeight="1" x14ac:dyDescent="0.3">
      <c r="B93" s="126"/>
      <c r="C93" s="121"/>
      <c r="D93" s="122"/>
      <c r="E93" s="123"/>
      <c r="F93" s="124"/>
      <c r="G93" s="124"/>
      <c r="H93" s="125"/>
    </row>
  </sheetData>
  <sortState ref="E56:H59">
    <sortCondition descending="1" ref="G56:G59"/>
  </sortState>
  <mergeCells count="54">
    <mergeCell ref="D20:D22"/>
    <mergeCell ref="B20:B22"/>
    <mergeCell ref="D24:D25"/>
    <mergeCell ref="B24:B25"/>
    <mergeCell ref="D85:D87"/>
    <mergeCell ref="C85:C87"/>
    <mergeCell ref="B85:B87"/>
    <mergeCell ref="C82:C83"/>
    <mergeCell ref="D54:D60"/>
    <mergeCell ref="B54:B60"/>
    <mergeCell ref="D43:D44"/>
    <mergeCell ref="D74:D75"/>
    <mergeCell ref="B74:B75"/>
    <mergeCell ref="D77:D80"/>
    <mergeCell ref="D38:D39"/>
    <mergeCell ref="C38:C39"/>
    <mergeCell ref="D2:D6"/>
    <mergeCell ref="B2:B6"/>
    <mergeCell ref="D8:D12"/>
    <mergeCell ref="B8:B12"/>
    <mergeCell ref="D14:D16"/>
    <mergeCell ref="B14:B16"/>
    <mergeCell ref="C8:C12"/>
    <mergeCell ref="C2:C6"/>
    <mergeCell ref="D70:D72"/>
    <mergeCell ref="C70:C72"/>
    <mergeCell ref="B70:B72"/>
    <mergeCell ref="C54:C60"/>
    <mergeCell ref="C51:C52"/>
    <mergeCell ref="D51:D52"/>
    <mergeCell ref="B51:B52"/>
    <mergeCell ref="D64:D66"/>
    <mergeCell ref="C64:C66"/>
    <mergeCell ref="B64:B66"/>
    <mergeCell ref="B82:B83"/>
    <mergeCell ref="D82:D83"/>
    <mergeCell ref="B77:B80"/>
    <mergeCell ref="C77:C80"/>
    <mergeCell ref="C74:C75"/>
    <mergeCell ref="D48:D49"/>
    <mergeCell ref="C48:C49"/>
    <mergeCell ref="B48:B49"/>
    <mergeCell ref="D29:D33"/>
    <mergeCell ref="B29:B33"/>
    <mergeCell ref="C29:C33"/>
    <mergeCell ref="D35:D36"/>
    <mergeCell ref="B38:B39"/>
    <mergeCell ref="C24:C25"/>
    <mergeCell ref="C20:C22"/>
    <mergeCell ref="C14:C16"/>
    <mergeCell ref="B43:B44"/>
    <mergeCell ref="B35:B36"/>
    <mergeCell ref="C35:C36"/>
    <mergeCell ref="C43:C4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6"/>
  <sheetViews>
    <sheetView topLeftCell="A7" workbookViewId="0">
      <selection activeCell="C17" sqref="C17"/>
    </sheetView>
  </sheetViews>
  <sheetFormatPr defaultRowHeight="15.6" thickTop="1" thickBottom="1" x14ac:dyDescent="0.35"/>
  <cols>
    <col min="2" max="2" width="7.109375" style="43" customWidth="1"/>
    <col min="3" max="3" width="48.77734375" style="2" customWidth="1"/>
    <col min="5" max="5" width="8.88671875" style="102"/>
  </cols>
  <sheetData>
    <row r="1" spans="2:5" ht="64.2" thickTop="1" thickBot="1" x14ac:dyDescent="0.35">
      <c r="B1" s="31" t="s">
        <v>145</v>
      </c>
      <c r="C1" s="37" t="s">
        <v>146</v>
      </c>
      <c r="D1" s="31" t="s">
        <v>144</v>
      </c>
      <c r="E1" s="104" t="s">
        <v>184</v>
      </c>
    </row>
    <row r="2" spans="2:5" ht="32.4" thickTop="1" thickBot="1" x14ac:dyDescent="0.35">
      <c r="B2" s="32">
        <v>83</v>
      </c>
      <c r="C2" s="38" t="s">
        <v>28</v>
      </c>
      <c r="D2" s="33">
        <v>34</v>
      </c>
      <c r="E2" s="105">
        <f>D2/B2</f>
        <v>0.40963855421686746</v>
      </c>
    </row>
    <row r="3" spans="2:5" ht="16.2" thickTop="1" thickBot="1" x14ac:dyDescent="0.35">
      <c r="B3" s="34"/>
      <c r="C3" s="39" t="s">
        <v>1</v>
      </c>
      <c r="D3" s="33">
        <v>3</v>
      </c>
      <c r="E3" s="105"/>
    </row>
    <row r="4" spans="2:5" ht="31.2" thickTop="1" thickBot="1" x14ac:dyDescent="0.35">
      <c r="B4" s="162">
        <v>251</v>
      </c>
      <c r="C4" s="40" t="s">
        <v>36</v>
      </c>
      <c r="D4" s="33">
        <v>6</v>
      </c>
      <c r="E4" s="105">
        <f>D4/251</f>
        <v>2.3904382470119521E-2</v>
      </c>
    </row>
    <row r="5" spans="2:5" ht="31.2" thickTop="1" thickBot="1" x14ac:dyDescent="0.35">
      <c r="B5" s="162"/>
      <c r="C5" s="40" t="s">
        <v>14</v>
      </c>
      <c r="D5" s="33">
        <v>22</v>
      </c>
      <c r="E5" s="105">
        <f t="shared" ref="E5:E7" si="0">D5/251</f>
        <v>8.7649402390438252E-2</v>
      </c>
    </row>
    <row r="6" spans="2:5" ht="31.2" thickTop="1" thickBot="1" x14ac:dyDescent="0.35">
      <c r="B6" s="162"/>
      <c r="C6" s="40" t="s">
        <v>13</v>
      </c>
      <c r="D6" s="33">
        <v>33</v>
      </c>
      <c r="E6" s="105">
        <f t="shared" si="0"/>
        <v>0.13147410358565736</v>
      </c>
    </row>
    <row r="7" spans="2:5" ht="31.2" thickTop="1" thickBot="1" x14ac:dyDescent="0.35">
      <c r="B7" s="162"/>
      <c r="C7" s="40" t="s">
        <v>15</v>
      </c>
      <c r="D7" s="33">
        <v>2</v>
      </c>
      <c r="E7" s="105">
        <f t="shared" si="0"/>
        <v>7.9681274900398405E-3</v>
      </c>
    </row>
    <row r="8" spans="2:5" ht="16.8" thickTop="1" thickBot="1" x14ac:dyDescent="0.35">
      <c r="B8" s="32">
        <v>422</v>
      </c>
      <c r="C8" s="38" t="s">
        <v>48</v>
      </c>
      <c r="D8" s="33">
        <v>27</v>
      </c>
      <c r="E8" s="105">
        <f>D8/B8</f>
        <v>6.398104265402843E-2</v>
      </c>
    </row>
    <row r="9" spans="2:5" ht="31.2" thickTop="1" thickBot="1" x14ac:dyDescent="0.35">
      <c r="B9" s="36"/>
      <c r="C9" s="42" t="s">
        <v>47</v>
      </c>
      <c r="D9" s="33">
        <v>12</v>
      </c>
      <c r="E9" s="105"/>
    </row>
    <row r="10" spans="2:5" ht="16.8" thickTop="1" thickBot="1" x14ac:dyDescent="0.35">
      <c r="B10" s="35"/>
      <c r="C10" s="41" t="s">
        <v>212</v>
      </c>
      <c r="D10" s="33">
        <v>6</v>
      </c>
      <c r="E10" s="105"/>
    </row>
    <row r="11" spans="2:5" ht="16.2" thickTop="1" thickBot="1" x14ac:dyDescent="0.35">
      <c r="B11" s="34">
        <v>72</v>
      </c>
      <c r="C11" s="39" t="s">
        <v>126</v>
      </c>
      <c r="D11" s="33">
        <v>3</v>
      </c>
      <c r="E11" s="105">
        <f>D11/B11</f>
        <v>4.1666666666666664E-2</v>
      </c>
    </row>
    <row r="12" spans="2:5" ht="32.4" thickTop="1" thickBot="1" x14ac:dyDescent="0.35">
      <c r="B12" s="35"/>
      <c r="C12" s="41" t="s">
        <v>45</v>
      </c>
      <c r="D12" s="33">
        <v>2</v>
      </c>
      <c r="E12" s="105"/>
    </row>
    <row r="13" spans="2:5" ht="32.4" thickTop="1" thickBot="1" x14ac:dyDescent="0.35">
      <c r="B13" s="35"/>
      <c r="C13" s="41" t="s">
        <v>43</v>
      </c>
      <c r="D13" s="33">
        <v>2</v>
      </c>
      <c r="E13" s="105"/>
    </row>
    <row r="14" spans="2:5" ht="16.2" thickTop="1" thickBot="1" x14ac:dyDescent="0.35">
      <c r="B14" s="36"/>
      <c r="C14" s="42" t="s">
        <v>0</v>
      </c>
      <c r="D14" s="33">
        <v>2</v>
      </c>
      <c r="E14" s="105"/>
    </row>
    <row r="15" spans="2:5" ht="16.2" thickTop="1" thickBot="1" x14ac:dyDescent="0.35">
      <c r="B15" s="34"/>
      <c r="C15" s="39" t="s">
        <v>4</v>
      </c>
      <c r="D15" s="33">
        <v>1</v>
      </c>
      <c r="E15" s="105"/>
    </row>
    <row r="16" spans="2:5" ht="32.4" thickTop="1" thickBot="1" x14ac:dyDescent="0.35">
      <c r="B16" s="35"/>
      <c r="C16" s="41" t="s">
        <v>132</v>
      </c>
      <c r="D16" s="33">
        <v>1</v>
      </c>
      <c r="E16" s="105"/>
    </row>
    <row r="17" spans="2:5" ht="32.4" thickTop="1" thickBot="1" x14ac:dyDescent="0.35">
      <c r="B17" s="35"/>
      <c r="C17" s="41" t="s">
        <v>125</v>
      </c>
      <c r="D17" s="33">
        <v>1</v>
      </c>
      <c r="E17" s="105"/>
    </row>
    <row r="18" spans="2:5" ht="32.4" thickTop="1" thickBot="1" x14ac:dyDescent="0.35">
      <c r="B18" s="35"/>
      <c r="C18" s="41" t="s">
        <v>134</v>
      </c>
      <c r="D18" s="33">
        <v>1</v>
      </c>
      <c r="E18" s="105"/>
    </row>
    <row r="19" spans="2:5" ht="16.2" thickTop="1" thickBot="1" x14ac:dyDescent="0.35">
      <c r="B19" s="44" t="s">
        <v>145</v>
      </c>
      <c r="C19" s="45"/>
      <c r="D19" s="33">
        <f>SUM(D2:D18)</f>
        <v>158</v>
      </c>
      <c r="E19" s="105"/>
    </row>
    <row r="20" spans="2:5" ht="15" thickTop="1" x14ac:dyDescent="0.3">
      <c r="B20" s="47"/>
      <c r="C20" s="47"/>
    </row>
    <row r="21" spans="2:5" ht="14.4" x14ac:dyDescent="0.3">
      <c r="B21" s="47"/>
      <c r="C21" s="47"/>
    </row>
    <row r="22" spans="2:5" ht="14.4" x14ac:dyDescent="0.3">
      <c r="B22" s="47"/>
      <c r="C22" s="47"/>
    </row>
    <row r="23" spans="2:5" ht="14.4" x14ac:dyDescent="0.3">
      <c r="B23" s="47"/>
      <c r="C23" s="47"/>
    </row>
    <row r="24" spans="2:5" ht="14.4" x14ac:dyDescent="0.3">
      <c r="B24" s="47"/>
      <c r="C24" s="47"/>
    </row>
    <row r="25" spans="2:5" ht="14.4" x14ac:dyDescent="0.3">
      <c r="B25" s="47"/>
      <c r="C25" s="47"/>
    </row>
    <row r="26" spans="2:5" ht="14.4" x14ac:dyDescent="0.3">
      <c r="B26" s="47"/>
      <c r="C26" s="47"/>
    </row>
    <row r="27" spans="2:5" ht="14.4" x14ac:dyDescent="0.3">
      <c r="B27" s="47"/>
      <c r="C27" s="47"/>
    </row>
    <row r="28" spans="2:5" ht="14.4" x14ac:dyDescent="0.3">
      <c r="B28" s="47"/>
      <c r="C28" s="47"/>
    </row>
    <row r="29" spans="2:5" ht="14.4" x14ac:dyDescent="0.3">
      <c r="B29" s="47"/>
      <c r="C29" s="47"/>
    </row>
    <row r="30" spans="2:5" ht="14.4" x14ac:dyDescent="0.3">
      <c r="B30" s="47"/>
      <c r="C30" s="47"/>
    </row>
    <row r="31" spans="2:5" ht="14.4" x14ac:dyDescent="0.3">
      <c r="B31" s="47"/>
      <c r="C31" s="47"/>
    </row>
    <row r="32" spans="2:5" ht="14.4" x14ac:dyDescent="0.3">
      <c r="B32" s="47"/>
      <c r="C32" s="47"/>
    </row>
    <row r="33" spans="2:3" ht="14.4" x14ac:dyDescent="0.3">
      <c r="B33" s="47"/>
      <c r="C33" s="47"/>
    </row>
    <row r="34" spans="2:3" ht="14.4" x14ac:dyDescent="0.3">
      <c r="B34" s="47"/>
      <c r="C34" s="47"/>
    </row>
    <row r="35" spans="2:3" ht="14.4" x14ac:dyDescent="0.3">
      <c r="B35" s="47"/>
      <c r="C35" s="47"/>
    </row>
    <row r="36" spans="2:3" ht="14.4" x14ac:dyDescent="0.3">
      <c r="B36" s="47"/>
      <c r="C36" s="47"/>
    </row>
    <row r="37" spans="2:3" ht="14.4" x14ac:dyDescent="0.3">
      <c r="B37" s="47"/>
      <c r="C37" s="47"/>
    </row>
    <row r="38" spans="2:3" ht="14.4" x14ac:dyDescent="0.3">
      <c r="B38" s="47"/>
      <c r="C38" s="47"/>
    </row>
    <row r="39" spans="2:3" ht="14.4" x14ac:dyDescent="0.3">
      <c r="B39" s="47"/>
      <c r="C39" s="47"/>
    </row>
    <row r="40" spans="2:3" ht="14.4" x14ac:dyDescent="0.3">
      <c r="B40" s="47"/>
      <c r="C40" s="47"/>
    </row>
    <row r="41" spans="2:3" ht="14.4" x14ac:dyDescent="0.3">
      <c r="B41" s="47"/>
      <c r="C41" s="47"/>
    </row>
    <row r="42" spans="2:3" ht="14.4" x14ac:dyDescent="0.3">
      <c r="B42" s="47"/>
      <c r="C42" s="47"/>
    </row>
    <row r="43" spans="2:3" ht="14.4" x14ac:dyDescent="0.3">
      <c r="B43" s="47"/>
      <c r="C43" s="47"/>
    </row>
    <row r="44" spans="2:3" ht="14.4" x14ac:dyDescent="0.3">
      <c r="B44" s="47"/>
      <c r="C44" s="47"/>
    </row>
    <row r="45" spans="2:3" ht="14.4" x14ac:dyDescent="0.3">
      <c r="B45" s="47"/>
      <c r="C45" s="47"/>
    </row>
    <row r="46" spans="2:3" ht="14.4" x14ac:dyDescent="0.3">
      <c r="B46" s="47"/>
      <c r="C46" s="47"/>
    </row>
    <row r="47" spans="2:3" ht="14.4" x14ac:dyDescent="0.3">
      <c r="B47" s="47"/>
      <c r="C47" s="47"/>
    </row>
    <row r="48" spans="2:3" ht="14.4" x14ac:dyDescent="0.3">
      <c r="B48" s="47"/>
      <c r="C48" s="47"/>
    </row>
    <row r="49" spans="2:3" ht="14.4" x14ac:dyDescent="0.3">
      <c r="B49" s="47"/>
      <c r="C49" s="47"/>
    </row>
    <row r="50" spans="2:3" ht="14.4" x14ac:dyDescent="0.3">
      <c r="B50" s="47"/>
      <c r="C50" s="47"/>
    </row>
    <row r="51" spans="2:3" ht="14.4" x14ac:dyDescent="0.3">
      <c r="B51" s="47"/>
      <c r="C51" s="47"/>
    </row>
    <row r="52" spans="2:3" ht="14.4" x14ac:dyDescent="0.3">
      <c r="B52" s="47"/>
      <c r="C52" s="47"/>
    </row>
    <row r="53" spans="2:3" ht="14.4" x14ac:dyDescent="0.3">
      <c r="B53" s="47"/>
      <c r="C53" s="47"/>
    </row>
    <row r="54" spans="2:3" ht="14.4" x14ac:dyDescent="0.3">
      <c r="B54" s="47"/>
      <c r="C54" s="47"/>
    </row>
    <row r="55" spans="2:3" ht="14.4" x14ac:dyDescent="0.3">
      <c r="B55" s="47"/>
      <c r="C55" s="47"/>
    </row>
    <row r="56" spans="2:3" ht="14.4" x14ac:dyDescent="0.3">
      <c r="B56" s="47"/>
      <c r="C56" s="47"/>
    </row>
    <row r="57" spans="2:3" ht="14.4" x14ac:dyDescent="0.3">
      <c r="B57" s="47"/>
      <c r="C57" s="47"/>
    </row>
    <row r="58" spans="2:3" ht="14.4" x14ac:dyDescent="0.3">
      <c r="B58" s="47"/>
      <c r="C58" s="47"/>
    </row>
    <row r="59" spans="2:3" ht="14.4" x14ac:dyDescent="0.3">
      <c r="B59" s="47"/>
      <c r="C59" s="47"/>
    </row>
    <row r="60" spans="2:3" ht="14.4" x14ac:dyDescent="0.3">
      <c r="B60" s="47"/>
      <c r="C60" s="47"/>
    </row>
    <row r="61" spans="2:3" ht="14.4" x14ac:dyDescent="0.3">
      <c r="B61" s="47"/>
      <c r="C61" s="47"/>
    </row>
    <row r="62" spans="2:3" ht="14.4" x14ac:dyDescent="0.3">
      <c r="B62" s="47"/>
      <c r="C62" s="47"/>
    </row>
    <row r="63" spans="2:3" ht="14.4" x14ac:dyDescent="0.3">
      <c r="B63" s="47"/>
      <c r="C63" s="47"/>
    </row>
    <row r="64" spans="2:3" ht="14.4" x14ac:dyDescent="0.3">
      <c r="B64" s="47"/>
      <c r="C64" s="47"/>
    </row>
    <row r="65" spans="2:3" ht="14.4" x14ac:dyDescent="0.3">
      <c r="B65" s="47"/>
      <c r="C65" s="47"/>
    </row>
    <row r="66" spans="2:3" ht="14.4" x14ac:dyDescent="0.3">
      <c r="B66" s="47"/>
      <c r="C66" s="47"/>
    </row>
    <row r="67" spans="2:3" ht="14.4" x14ac:dyDescent="0.3">
      <c r="B67" s="47"/>
      <c r="C67" s="47"/>
    </row>
    <row r="68" spans="2:3" ht="14.4" x14ac:dyDescent="0.3">
      <c r="B68" s="47"/>
      <c r="C68" s="47"/>
    </row>
    <row r="69" spans="2:3" ht="14.4" x14ac:dyDescent="0.3">
      <c r="B69" s="47"/>
      <c r="C69" s="47"/>
    </row>
    <row r="70" spans="2:3" ht="14.4" x14ac:dyDescent="0.3">
      <c r="B70" s="47"/>
      <c r="C70" s="47"/>
    </row>
    <row r="71" spans="2:3" ht="14.4" x14ac:dyDescent="0.3">
      <c r="B71" s="47"/>
      <c r="C71" s="47"/>
    </row>
    <row r="72" spans="2:3" ht="14.4" x14ac:dyDescent="0.3">
      <c r="B72" s="47"/>
      <c r="C72" s="47"/>
    </row>
    <row r="73" spans="2:3" ht="14.4" x14ac:dyDescent="0.3">
      <c r="B73" s="47"/>
      <c r="C73" s="47"/>
    </row>
    <row r="74" spans="2:3" ht="14.4" x14ac:dyDescent="0.3">
      <c r="B74" s="47"/>
      <c r="C74" s="47"/>
    </row>
    <row r="75" spans="2:3" ht="14.4" x14ac:dyDescent="0.3">
      <c r="B75" s="47"/>
      <c r="C75" s="47"/>
    </row>
    <row r="76" spans="2:3" ht="14.4" x14ac:dyDescent="0.3">
      <c r="B76" s="47"/>
      <c r="C76" s="47"/>
    </row>
    <row r="77" spans="2:3" ht="14.4" x14ac:dyDescent="0.3">
      <c r="B77" s="47"/>
      <c r="C77" s="47"/>
    </row>
    <row r="78" spans="2:3" ht="14.4" x14ac:dyDescent="0.3">
      <c r="B78" s="47"/>
      <c r="C78" s="47"/>
    </row>
    <row r="79" spans="2:3" ht="14.4" x14ac:dyDescent="0.3">
      <c r="B79" s="47"/>
      <c r="C79" s="47"/>
    </row>
    <row r="80" spans="2:3" ht="14.4" x14ac:dyDescent="0.3">
      <c r="B80" s="47"/>
      <c r="C80" s="47"/>
    </row>
    <row r="81" spans="2:3" ht="14.4" x14ac:dyDescent="0.3">
      <c r="B81" s="47"/>
      <c r="C81" s="47"/>
    </row>
    <row r="82" spans="2:3" ht="14.4" x14ac:dyDescent="0.3">
      <c r="B82" s="47"/>
      <c r="C82" s="47"/>
    </row>
    <row r="83" spans="2:3" ht="14.4" x14ac:dyDescent="0.3">
      <c r="B83" s="47"/>
      <c r="C83" s="47"/>
    </row>
    <row r="84" spans="2:3" ht="14.4" x14ac:dyDescent="0.3">
      <c r="B84" s="47"/>
      <c r="C84" s="47"/>
    </row>
    <row r="85" spans="2:3" ht="14.4" x14ac:dyDescent="0.3">
      <c r="B85" s="47"/>
      <c r="C85" s="47"/>
    </row>
    <row r="86" spans="2:3" ht="14.4" x14ac:dyDescent="0.3">
      <c r="B86" s="47"/>
      <c r="C86" s="47"/>
    </row>
    <row r="87" spans="2:3" ht="14.4" x14ac:dyDescent="0.3">
      <c r="B87" s="47"/>
      <c r="C87" s="47"/>
    </row>
    <row r="88" spans="2:3" ht="14.4" x14ac:dyDescent="0.3">
      <c r="B88" s="47"/>
      <c r="C88" s="47"/>
    </row>
    <row r="89" spans="2:3" ht="14.4" x14ac:dyDescent="0.3">
      <c r="B89" s="47"/>
      <c r="C89" s="47"/>
    </row>
    <row r="90" spans="2:3" ht="14.4" x14ac:dyDescent="0.3">
      <c r="B90" s="47"/>
      <c r="C90" s="47"/>
    </row>
    <row r="91" spans="2:3" ht="14.4" x14ac:dyDescent="0.3">
      <c r="B91" s="47"/>
      <c r="C91" s="47"/>
    </row>
    <row r="92" spans="2:3" ht="14.4" x14ac:dyDescent="0.3">
      <c r="B92" s="47"/>
      <c r="C92" s="47"/>
    </row>
    <row r="93" spans="2:3" ht="14.4" x14ac:dyDescent="0.3">
      <c r="B93" s="47"/>
      <c r="C93" s="47"/>
    </row>
    <row r="94" spans="2:3" ht="14.4" x14ac:dyDescent="0.3">
      <c r="B94" s="47"/>
      <c r="C94" s="47"/>
    </row>
    <row r="95" spans="2:3" ht="14.4" x14ac:dyDescent="0.3">
      <c r="B95" s="47"/>
      <c r="C95" s="47"/>
    </row>
    <row r="96" spans="2:3" ht="14.4" x14ac:dyDescent="0.3">
      <c r="B96" s="47"/>
      <c r="C96" s="47"/>
    </row>
    <row r="97" spans="2:3" ht="14.4" x14ac:dyDescent="0.3">
      <c r="B97" s="47"/>
      <c r="C97" s="47"/>
    </row>
    <row r="98" spans="2:3" ht="14.4" x14ac:dyDescent="0.3">
      <c r="B98" s="47"/>
      <c r="C98" s="47"/>
    </row>
    <row r="99" spans="2:3" ht="14.4" x14ac:dyDescent="0.3">
      <c r="B99" s="47"/>
      <c r="C99" s="47"/>
    </row>
    <row r="100" spans="2:3" ht="14.4" x14ac:dyDescent="0.3">
      <c r="B100" s="47"/>
      <c r="C100" s="47"/>
    </row>
    <row r="101" spans="2:3" ht="14.4" x14ac:dyDescent="0.3">
      <c r="B101" s="47"/>
      <c r="C101" s="47"/>
    </row>
    <row r="102" spans="2:3" ht="14.4" x14ac:dyDescent="0.3">
      <c r="B102" s="47"/>
      <c r="C102" s="47"/>
    </row>
    <row r="103" spans="2:3" ht="14.4" x14ac:dyDescent="0.3">
      <c r="B103" s="47"/>
      <c r="C103" s="47"/>
    </row>
    <row r="104" spans="2:3" ht="14.4" x14ac:dyDescent="0.3">
      <c r="B104" s="47"/>
      <c r="C104" s="47"/>
    </row>
    <row r="105" spans="2:3" ht="14.4" x14ac:dyDescent="0.3">
      <c r="B105" s="47"/>
      <c r="C105" s="47"/>
    </row>
    <row r="106" spans="2:3" ht="14.4" x14ac:dyDescent="0.3">
      <c r="B106" s="47"/>
      <c r="C106" s="47"/>
    </row>
    <row r="107" spans="2:3" ht="14.4" x14ac:dyDescent="0.3">
      <c r="B107" s="47"/>
      <c r="C107" s="47"/>
    </row>
    <row r="108" spans="2:3" ht="14.4" x14ac:dyDescent="0.3">
      <c r="B108" s="47"/>
      <c r="C108" s="47"/>
    </row>
    <row r="109" spans="2:3" ht="14.4" x14ac:dyDescent="0.3">
      <c r="B109" s="47"/>
      <c r="C109" s="47"/>
    </row>
    <row r="110" spans="2:3" ht="14.4" x14ac:dyDescent="0.3">
      <c r="B110" s="47"/>
      <c r="C110" s="47"/>
    </row>
    <row r="111" spans="2:3" ht="14.4" x14ac:dyDescent="0.3">
      <c r="B111" s="47"/>
      <c r="C111" s="47"/>
    </row>
    <row r="112" spans="2:3" ht="14.4" x14ac:dyDescent="0.3">
      <c r="B112" s="47"/>
      <c r="C112" s="47"/>
    </row>
    <row r="113" spans="2:3" ht="14.4" x14ac:dyDescent="0.3">
      <c r="B113" s="47"/>
      <c r="C113" s="47"/>
    </row>
    <row r="114" spans="2:3" ht="14.4" x14ac:dyDescent="0.3">
      <c r="B114" s="47"/>
      <c r="C114" s="47"/>
    </row>
    <row r="115" spans="2:3" ht="14.4" x14ac:dyDescent="0.3">
      <c r="B115" s="47"/>
      <c r="C115" s="47"/>
    </row>
    <row r="116" spans="2:3" ht="14.4" x14ac:dyDescent="0.3">
      <c r="B116" s="47"/>
      <c r="C116" s="47"/>
    </row>
    <row r="117" spans="2:3" ht="14.4" x14ac:dyDescent="0.3">
      <c r="B117" s="47"/>
      <c r="C117" s="47"/>
    </row>
    <row r="118" spans="2:3" ht="14.4" x14ac:dyDescent="0.3">
      <c r="B118" s="47"/>
      <c r="C118" s="47"/>
    </row>
    <row r="119" spans="2:3" ht="14.4" x14ac:dyDescent="0.3">
      <c r="B119" s="47"/>
      <c r="C119" s="47"/>
    </row>
    <row r="120" spans="2:3" ht="14.4" x14ac:dyDescent="0.3">
      <c r="B120" s="47"/>
      <c r="C120" s="47"/>
    </row>
    <row r="121" spans="2:3" ht="14.4" x14ac:dyDescent="0.3">
      <c r="B121" s="47"/>
      <c r="C121" s="47"/>
    </row>
    <row r="122" spans="2:3" ht="14.4" x14ac:dyDescent="0.3">
      <c r="B122" s="47"/>
      <c r="C122" s="47"/>
    </row>
    <row r="123" spans="2:3" ht="14.4" x14ac:dyDescent="0.3">
      <c r="B123" s="47"/>
      <c r="C123" s="47"/>
    </row>
    <row r="124" spans="2:3" ht="14.4" x14ac:dyDescent="0.3">
      <c r="B124" s="47"/>
      <c r="C124" s="47"/>
    </row>
    <row r="125" spans="2:3" ht="14.4" x14ac:dyDescent="0.3">
      <c r="B125" s="47"/>
      <c r="C125" s="47"/>
    </row>
    <row r="126" spans="2:3" ht="14.4" x14ac:dyDescent="0.3">
      <c r="B126" s="47"/>
      <c r="C126" s="47"/>
    </row>
    <row r="127" spans="2:3" ht="14.4" x14ac:dyDescent="0.3">
      <c r="B127" s="47"/>
      <c r="C127" s="47"/>
    </row>
    <row r="128" spans="2:3" ht="14.4" x14ac:dyDescent="0.3">
      <c r="B128" s="47"/>
      <c r="C128" s="47"/>
    </row>
    <row r="129" spans="2:3" ht="14.4" x14ac:dyDescent="0.3">
      <c r="B129" s="47"/>
      <c r="C129" s="47"/>
    </row>
    <row r="130" spans="2:3" ht="14.4" x14ac:dyDescent="0.3">
      <c r="B130" s="47"/>
      <c r="C130" s="47"/>
    </row>
    <row r="131" spans="2:3" ht="14.4" x14ac:dyDescent="0.3">
      <c r="B131" s="47"/>
      <c r="C131" s="47"/>
    </row>
    <row r="132" spans="2:3" ht="14.4" x14ac:dyDescent="0.3">
      <c r="B132" s="47"/>
      <c r="C132" s="47"/>
    </row>
    <row r="133" spans="2:3" ht="14.4" x14ac:dyDescent="0.3">
      <c r="B133" s="47"/>
      <c r="C133" s="47"/>
    </row>
    <row r="134" spans="2:3" ht="14.4" x14ac:dyDescent="0.3">
      <c r="B134" s="47"/>
      <c r="C134" s="47"/>
    </row>
    <row r="135" spans="2:3" ht="14.4" x14ac:dyDescent="0.3">
      <c r="B135" s="47"/>
      <c r="C135" s="47"/>
    </row>
    <row r="136" spans="2:3" ht="14.4" x14ac:dyDescent="0.3">
      <c r="B136" s="47"/>
      <c r="C136" s="47"/>
    </row>
    <row r="137" spans="2:3" ht="14.4" x14ac:dyDescent="0.3">
      <c r="B137" s="47"/>
      <c r="C137" s="47"/>
    </row>
    <row r="138" spans="2:3" ht="14.4" x14ac:dyDescent="0.3">
      <c r="B138" s="47"/>
      <c r="C138" s="47"/>
    </row>
    <row r="139" spans="2:3" ht="14.4" x14ac:dyDescent="0.3">
      <c r="B139" s="47"/>
      <c r="C139" s="47"/>
    </row>
    <row r="140" spans="2:3" ht="14.4" x14ac:dyDescent="0.3">
      <c r="B140" s="47"/>
      <c r="C140" s="47"/>
    </row>
    <row r="141" spans="2:3" ht="14.4" x14ac:dyDescent="0.3">
      <c r="B141" s="47"/>
      <c r="C141" s="47"/>
    </row>
    <row r="142" spans="2:3" ht="14.4" x14ac:dyDescent="0.3">
      <c r="B142" s="47"/>
      <c r="C142" s="47"/>
    </row>
    <row r="143" spans="2:3" ht="14.4" x14ac:dyDescent="0.3">
      <c r="B143" s="47"/>
      <c r="C143" s="47"/>
    </row>
    <row r="144" spans="2:3" ht="14.4" x14ac:dyDescent="0.3">
      <c r="B144" s="47"/>
      <c r="C144" s="47"/>
    </row>
    <row r="145" spans="2:3" ht="14.4" x14ac:dyDescent="0.3">
      <c r="B145" s="47"/>
      <c r="C145" s="47"/>
    </row>
    <row r="146" spans="2:3" ht="14.4" x14ac:dyDescent="0.3">
      <c r="B146" s="47"/>
      <c r="C146" s="47"/>
    </row>
    <row r="147" spans="2:3" ht="14.4" x14ac:dyDescent="0.3">
      <c r="B147" s="47"/>
      <c r="C147" s="47"/>
    </row>
    <row r="148" spans="2:3" ht="14.4" x14ac:dyDescent="0.3">
      <c r="B148" s="47"/>
      <c r="C148" s="47"/>
    </row>
    <row r="149" spans="2:3" ht="14.4" x14ac:dyDescent="0.3">
      <c r="B149" s="47"/>
      <c r="C149" s="47"/>
    </row>
    <row r="150" spans="2:3" ht="14.4" x14ac:dyDescent="0.3">
      <c r="B150" s="47"/>
      <c r="C150" s="47"/>
    </row>
    <row r="151" spans="2:3" ht="14.4" x14ac:dyDescent="0.3">
      <c r="B151" s="47"/>
      <c r="C151" s="47"/>
    </row>
    <row r="152" spans="2:3" ht="14.4" x14ac:dyDescent="0.3">
      <c r="B152" s="47"/>
      <c r="C152" s="47"/>
    </row>
    <row r="153" spans="2:3" ht="14.4" x14ac:dyDescent="0.3">
      <c r="B153" s="47"/>
      <c r="C153" s="47"/>
    </row>
    <row r="154" spans="2:3" ht="14.4" x14ac:dyDescent="0.3">
      <c r="B154" s="47"/>
      <c r="C154" s="47"/>
    </row>
    <row r="155" spans="2:3" ht="14.4" x14ac:dyDescent="0.3">
      <c r="B155" s="47"/>
      <c r="C155" s="47"/>
    </row>
    <row r="156" spans="2:3" ht="14.4" x14ac:dyDescent="0.3">
      <c r="B156" s="47"/>
      <c r="C156" s="47"/>
    </row>
    <row r="157" spans="2:3" ht="14.4" x14ac:dyDescent="0.3">
      <c r="B157" s="47"/>
      <c r="C157" s="47"/>
    </row>
    <row r="158" spans="2:3" ht="14.4" x14ac:dyDescent="0.3">
      <c r="B158" s="47"/>
      <c r="C158" s="47"/>
    </row>
    <row r="159" spans="2:3" ht="14.4" x14ac:dyDescent="0.3">
      <c r="B159" s="47"/>
      <c r="C159" s="47"/>
    </row>
    <row r="160" spans="2:3" ht="14.4" x14ac:dyDescent="0.3">
      <c r="B160" s="47"/>
      <c r="C160" s="47"/>
    </row>
    <row r="161" spans="2:3" ht="14.4" x14ac:dyDescent="0.3">
      <c r="B161" s="47"/>
      <c r="C161" s="47"/>
    </row>
    <row r="162" spans="2:3" ht="14.4" x14ac:dyDescent="0.3">
      <c r="B162" s="47"/>
      <c r="C162" s="47"/>
    </row>
    <row r="163" spans="2:3" ht="14.4" x14ac:dyDescent="0.3">
      <c r="B163" s="47"/>
      <c r="C163" s="47"/>
    </row>
    <row r="164" spans="2:3" ht="14.4" x14ac:dyDescent="0.3">
      <c r="B164" s="47"/>
      <c r="C164" s="47"/>
    </row>
    <row r="165" spans="2:3" ht="14.4" x14ac:dyDescent="0.3">
      <c r="B165" s="47"/>
      <c r="C165" s="47"/>
    </row>
    <row r="166" spans="2:3" ht="14.4" x14ac:dyDescent="0.3">
      <c r="B166" s="47"/>
      <c r="C166" s="47"/>
    </row>
    <row r="167" spans="2:3" ht="14.4" x14ac:dyDescent="0.3">
      <c r="B167" s="47"/>
      <c r="C167" s="47"/>
    </row>
    <row r="168" spans="2:3" ht="14.4" x14ac:dyDescent="0.3">
      <c r="B168" s="47"/>
      <c r="C168" s="47"/>
    </row>
    <row r="169" spans="2:3" ht="14.4" x14ac:dyDescent="0.3">
      <c r="B169" s="47"/>
      <c r="C169" s="47"/>
    </row>
    <row r="170" spans="2:3" ht="14.4" x14ac:dyDescent="0.3">
      <c r="B170" s="47"/>
      <c r="C170" s="47"/>
    </row>
    <row r="171" spans="2:3" ht="14.4" x14ac:dyDescent="0.3">
      <c r="B171" s="47"/>
      <c r="C171" s="47"/>
    </row>
    <row r="172" spans="2:3" ht="14.4" x14ac:dyDescent="0.3">
      <c r="B172" s="47"/>
      <c r="C172" s="47"/>
    </row>
    <row r="173" spans="2:3" ht="14.4" x14ac:dyDescent="0.3">
      <c r="B173" s="47"/>
      <c r="C173" s="47"/>
    </row>
    <row r="174" spans="2:3" ht="14.4" x14ac:dyDescent="0.3">
      <c r="B174" s="47"/>
      <c r="C174" s="47"/>
    </row>
    <row r="175" spans="2:3" ht="14.4" x14ac:dyDescent="0.3">
      <c r="B175" s="47"/>
      <c r="C175" s="47"/>
    </row>
    <row r="176" spans="2:3" ht="14.4" x14ac:dyDescent="0.3">
      <c r="B176" s="47"/>
      <c r="C176" s="47"/>
    </row>
    <row r="177" spans="2:3" ht="14.4" x14ac:dyDescent="0.3">
      <c r="B177" s="47"/>
      <c r="C177" s="47"/>
    </row>
    <row r="178" spans="2:3" ht="14.4" x14ac:dyDescent="0.3">
      <c r="B178" s="47"/>
      <c r="C178" s="47"/>
    </row>
    <row r="179" spans="2:3" ht="14.4" x14ac:dyDescent="0.3">
      <c r="B179" s="47"/>
      <c r="C179" s="47"/>
    </row>
    <row r="180" spans="2:3" ht="14.4" x14ac:dyDescent="0.3">
      <c r="B180" s="47"/>
      <c r="C180" s="47"/>
    </row>
    <row r="181" spans="2:3" ht="14.4" x14ac:dyDescent="0.3">
      <c r="B181" s="47"/>
      <c r="C181" s="47"/>
    </row>
    <row r="182" spans="2:3" ht="14.4" x14ac:dyDescent="0.3">
      <c r="B182" s="47"/>
      <c r="C182" s="47"/>
    </row>
    <row r="183" spans="2:3" ht="14.4" x14ac:dyDescent="0.3">
      <c r="B183" s="47"/>
      <c r="C183" s="47"/>
    </row>
    <row r="184" spans="2:3" ht="14.4" x14ac:dyDescent="0.3">
      <c r="B184" s="47"/>
      <c r="C184" s="47"/>
    </row>
    <row r="185" spans="2:3" ht="14.4" x14ac:dyDescent="0.3">
      <c r="B185" s="47"/>
      <c r="C185" s="47"/>
    </row>
    <row r="186" spans="2:3" ht="14.4" x14ac:dyDescent="0.3">
      <c r="B186" s="47"/>
      <c r="C186" s="47"/>
    </row>
    <row r="187" spans="2:3" ht="14.4" x14ac:dyDescent="0.3">
      <c r="B187" s="47"/>
      <c r="C187" s="47"/>
    </row>
    <row r="188" spans="2:3" ht="14.4" x14ac:dyDescent="0.3">
      <c r="B188" s="47"/>
      <c r="C188" s="47"/>
    </row>
    <row r="189" spans="2:3" ht="14.4" x14ac:dyDescent="0.3">
      <c r="B189" s="47"/>
      <c r="C189" s="47"/>
    </row>
    <row r="190" spans="2:3" ht="14.4" x14ac:dyDescent="0.3">
      <c r="B190" s="47"/>
      <c r="C190" s="47"/>
    </row>
    <row r="191" spans="2:3" ht="14.4" x14ac:dyDescent="0.3">
      <c r="B191" s="47"/>
      <c r="C191" s="47"/>
    </row>
    <row r="192" spans="2:3" ht="14.4" x14ac:dyDescent="0.3">
      <c r="B192" s="47"/>
      <c r="C192" s="47"/>
    </row>
    <row r="193" spans="2:3" ht="14.4" x14ac:dyDescent="0.3">
      <c r="B193" s="47"/>
      <c r="C193" s="47"/>
    </row>
    <row r="194" spans="2:3" ht="14.4" x14ac:dyDescent="0.3">
      <c r="B194" s="47"/>
      <c r="C194" s="47"/>
    </row>
    <row r="195" spans="2:3" ht="14.4" x14ac:dyDescent="0.3">
      <c r="B195" s="47"/>
      <c r="C195" s="47"/>
    </row>
    <row r="196" spans="2:3" ht="14.4" x14ac:dyDescent="0.3">
      <c r="B196" s="47"/>
      <c r="C196" s="47"/>
    </row>
    <row r="197" spans="2:3" ht="14.4" x14ac:dyDescent="0.3">
      <c r="B197" s="47"/>
      <c r="C197" s="47"/>
    </row>
    <row r="198" spans="2:3" ht="14.4" x14ac:dyDescent="0.3">
      <c r="B198" s="47"/>
      <c r="C198" s="47"/>
    </row>
    <row r="199" spans="2:3" ht="14.4" x14ac:dyDescent="0.3">
      <c r="B199" s="47"/>
      <c r="C199" s="47"/>
    </row>
    <row r="200" spans="2:3" ht="14.4" x14ac:dyDescent="0.3">
      <c r="B200" s="47"/>
      <c r="C200" s="47"/>
    </row>
    <row r="201" spans="2:3" ht="14.4" x14ac:dyDescent="0.3">
      <c r="B201" s="47"/>
      <c r="C201" s="47"/>
    </row>
    <row r="202" spans="2:3" ht="14.4" x14ac:dyDescent="0.3">
      <c r="B202" s="47"/>
      <c r="C202" s="47"/>
    </row>
    <row r="203" spans="2:3" ht="14.4" x14ac:dyDescent="0.3">
      <c r="B203" s="47"/>
      <c r="C203" s="47"/>
    </row>
    <row r="204" spans="2:3" ht="14.4" x14ac:dyDescent="0.3">
      <c r="B204" s="47"/>
      <c r="C204" s="47"/>
    </row>
    <row r="205" spans="2:3" ht="14.4" x14ac:dyDescent="0.3">
      <c r="B205" s="47"/>
      <c r="C205" s="47"/>
    </row>
    <row r="206" spans="2:3" ht="14.4" x14ac:dyDescent="0.3">
      <c r="B206" s="47"/>
      <c r="C206" s="47"/>
    </row>
    <row r="207" spans="2:3" ht="14.4" x14ac:dyDescent="0.3">
      <c r="B207" s="47"/>
      <c r="C207" s="47"/>
    </row>
    <row r="208" spans="2:3" ht="14.4" x14ac:dyDescent="0.3">
      <c r="B208" s="47"/>
      <c r="C208" s="47"/>
    </row>
    <row r="209" spans="2:3" ht="14.4" x14ac:dyDescent="0.3">
      <c r="B209" s="47"/>
      <c r="C209" s="47"/>
    </row>
    <row r="210" spans="2:3" ht="14.4" x14ac:dyDescent="0.3">
      <c r="B210" s="47"/>
      <c r="C210" s="47"/>
    </row>
    <row r="211" spans="2:3" ht="14.4" x14ac:dyDescent="0.3">
      <c r="B211" s="47"/>
      <c r="C211" s="47"/>
    </row>
    <row r="212" spans="2:3" ht="14.4" x14ac:dyDescent="0.3">
      <c r="B212" s="47"/>
      <c r="C212" s="47"/>
    </row>
    <row r="213" spans="2:3" ht="14.4" x14ac:dyDescent="0.3">
      <c r="B213" s="47"/>
      <c r="C213" s="47"/>
    </row>
    <row r="214" spans="2:3" ht="14.4" x14ac:dyDescent="0.3">
      <c r="B214" s="47"/>
      <c r="C214" s="47"/>
    </row>
    <row r="215" spans="2:3" ht="14.4" x14ac:dyDescent="0.3">
      <c r="B215" s="47"/>
      <c r="C215" s="47"/>
    </row>
    <row r="216" spans="2:3" ht="14.4" x14ac:dyDescent="0.3">
      <c r="B216" s="47"/>
      <c r="C216" s="47"/>
    </row>
    <row r="217" spans="2:3" ht="14.4" x14ac:dyDescent="0.3">
      <c r="B217" s="47"/>
      <c r="C217" s="47"/>
    </row>
    <row r="218" spans="2:3" ht="14.4" x14ac:dyDescent="0.3">
      <c r="B218" s="47"/>
      <c r="C218" s="47"/>
    </row>
    <row r="219" spans="2:3" ht="14.4" x14ac:dyDescent="0.3">
      <c r="B219" s="47"/>
      <c r="C219" s="47"/>
    </row>
    <row r="220" spans="2:3" ht="14.4" x14ac:dyDescent="0.3">
      <c r="B220" s="47"/>
      <c r="C220" s="47"/>
    </row>
    <row r="221" spans="2:3" ht="14.4" x14ac:dyDescent="0.3">
      <c r="B221" s="47"/>
      <c r="C221" s="47"/>
    </row>
    <row r="222" spans="2:3" ht="14.4" x14ac:dyDescent="0.3">
      <c r="B222" s="47"/>
      <c r="C222" s="47"/>
    </row>
    <row r="223" spans="2:3" ht="14.4" x14ac:dyDescent="0.3">
      <c r="B223" s="47"/>
      <c r="C223" s="47"/>
    </row>
    <row r="224" spans="2:3" ht="14.4" x14ac:dyDescent="0.3">
      <c r="B224" s="47"/>
      <c r="C224" s="47"/>
    </row>
    <row r="225" spans="2:3" ht="14.4" x14ac:dyDescent="0.3">
      <c r="B225" s="47"/>
      <c r="C225" s="47"/>
    </row>
    <row r="226" spans="2:3" ht="14.4" x14ac:dyDescent="0.3">
      <c r="B226" s="47"/>
      <c r="C226" s="47"/>
    </row>
    <row r="227" spans="2:3" ht="14.4" x14ac:dyDescent="0.3">
      <c r="B227" s="47"/>
      <c r="C227" s="47"/>
    </row>
    <row r="228" spans="2:3" ht="14.4" x14ac:dyDescent="0.3">
      <c r="B228" s="47"/>
      <c r="C228" s="47"/>
    </row>
    <row r="229" spans="2:3" ht="14.4" x14ac:dyDescent="0.3">
      <c r="B229" s="47"/>
      <c r="C229" s="47"/>
    </row>
    <row r="230" spans="2:3" ht="14.4" x14ac:dyDescent="0.3">
      <c r="B230" s="47"/>
      <c r="C230" s="47"/>
    </row>
    <row r="231" spans="2:3" ht="14.4" x14ac:dyDescent="0.3">
      <c r="B231" s="47"/>
      <c r="C231" s="47"/>
    </row>
    <row r="232" spans="2:3" ht="14.4" x14ac:dyDescent="0.3">
      <c r="B232" s="47"/>
      <c r="C232" s="47"/>
    </row>
    <row r="233" spans="2:3" ht="14.4" x14ac:dyDescent="0.3">
      <c r="B233" s="47"/>
      <c r="C233" s="47"/>
    </row>
    <row r="234" spans="2:3" ht="14.4" x14ac:dyDescent="0.3">
      <c r="B234" s="47"/>
      <c r="C234" s="47"/>
    </row>
    <row r="235" spans="2:3" ht="14.4" x14ac:dyDescent="0.3">
      <c r="B235" s="47"/>
      <c r="C235" s="47"/>
    </row>
    <row r="236" spans="2:3" ht="14.4" x14ac:dyDescent="0.3">
      <c r="B236" s="47"/>
      <c r="C236" s="47"/>
    </row>
    <row r="237" spans="2:3" ht="14.4" x14ac:dyDescent="0.3">
      <c r="B237" s="47"/>
      <c r="C237" s="47"/>
    </row>
    <row r="238" spans="2:3" ht="14.4" x14ac:dyDescent="0.3">
      <c r="B238" s="47"/>
      <c r="C238" s="47"/>
    </row>
    <row r="239" spans="2:3" ht="14.4" x14ac:dyDescent="0.3">
      <c r="B239" s="47"/>
      <c r="C239" s="47"/>
    </row>
    <row r="240" spans="2:3" ht="14.4" x14ac:dyDescent="0.3">
      <c r="B240" s="47"/>
      <c r="C240" s="47"/>
    </row>
    <row r="241" spans="2:3" ht="14.4" x14ac:dyDescent="0.3">
      <c r="B241" s="47"/>
      <c r="C241" s="47"/>
    </row>
    <row r="242" spans="2:3" ht="14.4" x14ac:dyDescent="0.3">
      <c r="B242" s="47"/>
      <c r="C242" s="47"/>
    </row>
    <row r="243" spans="2:3" ht="14.4" x14ac:dyDescent="0.3">
      <c r="B243" s="47"/>
      <c r="C243" s="47"/>
    </row>
    <row r="244" spans="2:3" ht="14.4" x14ac:dyDescent="0.3">
      <c r="B244" s="47"/>
      <c r="C244" s="47"/>
    </row>
    <row r="245" spans="2:3" ht="14.4" x14ac:dyDescent="0.3">
      <c r="B245" s="47"/>
      <c r="C245" s="47"/>
    </row>
    <row r="246" spans="2:3" ht="14.4" x14ac:dyDescent="0.3">
      <c r="B246" s="47"/>
      <c r="C246" s="47"/>
    </row>
    <row r="247" spans="2:3" ht="14.4" x14ac:dyDescent="0.3">
      <c r="B247" s="47"/>
      <c r="C247" s="47"/>
    </row>
    <row r="248" spans="2:3" ht="14.4" x14ac:dyDescent="0.3">
      <c r="B248" s="47"/>
      <c r="C248" s="47"/>
    </row>
    <row r="249" spans="2:3" ht="14.4" x14ac:dyDescent="0.3">
      <c r="B249" s="47"/>
      <c r="C249" s="47"/>
    </row>
    <row r="250" spans="2:3" ht="14.4" x14ac:dyDescent="0.3">
      <c r="B250" s="47"/>
      <c r="C250" s="47"/>
    </row>
    <row r="251" spans="2:3" ht="14.4" x14ac:dyDescent="0.3">
      <c r="B251" s="47"/>
      <c r="C251" s="47"/>
    </row>
    <row r="252" spans="2:3" ht="14.4" x14ac:dyDescent="0.3">
      <c r="B252" s="47"/>
      <c r="C252" s="47"/>
    </row>
    <row r="253" spans="2:3" ht="14.4" x14ac:dyDescent="0.3">
      <c r="B253" s="47"/>
      <c r="C253" s="47"/>
    </row>
    <row r="254" spans="2:3" ht="14.4" x14ac:dyDescent="0.3">
      <c r="B254" s="47"/>
      <c r="C254" s="47"/>
    </row>
    <row r="255" spans="2:3" ht="14.4" x14ac:dyDescent="0.3">
      <c r="B255" s="47"/>
      <c r="C255" s="47"/>
    </row>
    <row r="256" spans="2:3" ht="14.4" x14ac:dyDescent="0.3">
      <c r="B256" s="47"/>
      <c r="C256" s="47"/>
    </row>
    <row r="257" spans="2:3" ht="14.4" x14ac:dyDescent="0.3">
      <c r="B257" s="47"/>
      <c r="C257" s="47"/>
    </row>
    <row r="258" spans="2:3" ht="14.4" x14ac:dyDescent="0.3">
      <c r="B258" s="47"/>
      <c r="C258" s="47"/>
    </row>
    <row r="259" spans="2:3" ht="14.4" x14ac:dyDescent="0.3">
      <c r="B259" s="47"/>
      <c r="C259" s="47"/>
    </row>
    <row r="260" spans="2:3" ht="14.4" x14ac:dyDescent="0.3">
      <c r="B260" s="47"/>
      <c r="C260" s="47"/>
    </row>
    <row r="261" spans="2:3" ht="14.4" x14ac:dyDescent="0.3">
      <c r="B261" s="47"/>
      <c r="C261" s="47"/>
    </row>
    <row r="262" spans="2:3" ht="14.4" x14ac:dyDescent="0.3">
      <c r="B262" s="47"/>
      <c r="C262" s="47"/>
    </row>
    <row r="263" spans="2:3" ht="14.4" x14ac:dyDescent="0.3">
      <c r="B263" s="47"/>
      <c r="C263" s="47"/>
    </row>
    <row r="264" spans="2:3" ht="14.4" x14ac:dyDescent="0.3">
      <c r="B264" s="47"/>
      <c r="C264" s="47"/>
    </row>
    <row r="265" spans="2:3" ht="14.4" x14ac:dyDescent="0.3">
      <c r="B265" s="47"/>
      <c r="C265" s="47"/>
    </row>
    <row r="266" spans="2:3" ht="14.4" x14ac:dyDescent="0.3">
      <c r="B266" s="47"/>
      <c r="C266" s="47"/>
    </row>
    <row r="267" spans="2:3" ht="14.4" x14ac:dyDescent="0.3">
      <c r="B267" s="47"/>
      <c r="C267" s="47"/>
    </row>
    <row r="268" spans="2:3" ht="14.4" x14ac:dyDescent="0.3">
      <c r="B268" s="47"/>
      <c r="C268" s="47"/>
    </row>
    <row r="269" spans="2:3" ht="14.4" x14ac:dyDescent="0.3">
      <c r="B269" s="47"/>
      <c r="C269" s="47"/>
    </row>
    <row r="270" spans="2:3" ht="14.4" x14ac:dyDescent="0.3">
      <c r="B270" s="47"/>
      <c r="C270" s="47"/>
    </row>
    <row r="271" spans="2:3" ht="14.4" x14ac:dyDescent="0.3">
      <c r="B271" s="47"/>
      <c r="C271" s="47"/>
    </row>
    <row r="272" spans="2:3" ht="14.4" x14ac:dyDescent="0.3">
      <c r="B272" s="47"/>
      <c r="C272" s="47"/>
    </row>
    <row r="273" spans="2:3" ht="14.4" x14ac:dyDescent="0.3">
      <c r="B273" s="47"/>
      <c r="C273" s="47"/>
    </row>
    <row r="274" spans="2:3" ht="14.4" x14ac:dyDescent="0.3">
      <c r="B274" s="47"/>
      <c r="C274" s="47"/>
    </row>
    <row r="275" spans="2:3" ht="14.4" x14ac:dyDescent="0.3">
      <c r="B275" s="47"/>
      <c r="C275" s="47"/>
    </row>
    <row r="276" spans="2:3" ht="14.4" x14ac:dyDescent="0.3">
      <c r="B276" s="47"/>
      <c r="C276" s="47"/>
    </row>
    <row r="277" spans="2:3" ht="14.4" x14ac:dyDescent="0.3">
      <c r="B277" s="47"/>
      <c r="C277" s="47"/>
    </row>
    <row r="278" spans="2:3" ht="14.4" x14ac:dyDescent="0.3">
      <c r="B278" s="47"/>
      <c r="C278" s="47"/>
    </row>
    <row r="279" spans="2:3" ht="14.4" x14ac:dyDescent="0.3">
      <c r="B279" s="47"/>
      <c r="C279" s="47"/>
    </row>
    <row r="280" spans="2:3" ht="14.4" x14ac:dyDescent="0.3">
      <c r="B280" s="47"/>
      <c r="C280" s="47"/>
    </row>
    <row r="281" spans="2:3" ht="14.4" x14ac:dyDescent="0.3">
      <c r="B281" s="47"/>
      <c r="C281" s="47"/>
    </row>
    <row r="282" spans="2:3" ht="14.4" x14ac:dyDescent="0.3">
      <c r="B282" s="47"/>
      <c r="C282" s="47"/>
    </row>
    <row r="283" spans="2:3" ht="14.4" x14ac:dyDescent="0.3">
      <c r="B283" s="47"/>
      <c r="C283" s="47"/>
    </row>
    <row r="284" spans="2:3" ht="14.4" x14ac:dyDescent="0.3">
      <c r="B284" s="47"/>
      <c r="C284" s="47"/>
    </row>
    <row r="285" spans="2:3" ht="14.4" x14ac:dyDescent="0.3">
      <c r="B285" s="47"/>
      <c r="C285" s="47"/>
    </row>
    <row r="286" spans="2:3" ht="14.4" x14ac:dyDescent="0.3">
      <c r="B286" s="47"/>
      <c r="C286" s="47"/>
    </row>
    <row r="287" spans="2:3" ht="14.4" x14ac:dyDescent="0.3">
      <c r="B287" s="47"/>
      <c r="C287" s="47"/>
    </row>
    <row r="288" spans="2:3" ht="14.4" x14ac:dyDescent="0.3">
      <c r="B288" s="47"/>
      <c r="C288" s="47"/>
    </row>
    <row r="289" spans="2:3" ht="14.4" x14ac:dyDescent="0.3">
      <c r="B289" s="47"/>
      <c r="C289" s="47"/>
    </row>
    <row r="290" spans="2:3" ht="14.4" x14ac:dyDescent="0.3">
      <c r="B290" s="47"/>
      <c r="C290" s="47"/>
    </row>
    <row r="291" spans="2:3" ht="14.4" x14ac:dyDescent="0.3">
      <c r="B291" s="47"/>
      <c r="C291" s="47"/>
    </row>
    <row r="292" spans="2:3" ht="14.4" x14ac:dyDescent="0.3">
      <c r="B292" s="47"/>
      <c r="C292" s="47"/>
    </row>
    <row r="293" spans="2:3" ht="14.4" x14ac:dyDescent="0.3">
      <c r="B293" s="47"/>
      <c r="C293" s="47"/>
    </row>
    <row r="294" spans="2:3" ht="14.4" x14ac:dyDescent="0.3">
      <c r="B294" s="47"/>
      <c r="C294" s="47"/>
    </row>
    <row r="295" spans="2:3" ht="14.4" x14ac:dyDescent="0.3">
      <c r="B295" s="47"/>
      <c r="C295" s="47"/>
    </row>
    <row r="296" spans="2:3" ht="14.4" x14ac:dyDescent="0.3">
      <c r="B296" s="47"/>
      <c r="C296" s="47"/>
    </row>
    <row r="297" spans="2:3" ht="14.4" x14ac:dyDescent="0.3">
      <c r="B297" s="47"/>
      <c r="C297" s="47"/>
    </row>
    <row r="298" spans="2:3" ht="14.4" x14ac:dyDescent="0.3">
      <c r="B298" s="47"/>
      <c r="C298" s="47"/>
    </row>
    <row r="299" spans="2:3" ht="14.4" x14ac:dyDescent="0.3">
      <c r="B299" s="47"/>
      <c r="C299" s="47"/>
    </row>
    <row r="300" spans="2:3" ht="14.4" x14ac:dyDescent="0.3">
      <c r="B300" s="47"/>
      <c r="C300" s="47"/>
    </row>
    <row r="301" spans="2:3" ht="14.4" x14ac:dyDescent="0.3">
      <c r="B301" s="47"/>
      <c r="C301" s="47"/>
    </row>
    <row r="302" spans="2:3" ht="14.4" x14ac:dyDescent="0.3">
      <c r="B302" s="47"/>
      <c r="C302" s="47"/>
    </row>
    <row r="303" spans="2:3" ht="14.4" x14ac:dyDescent="0.3">
      <c r="B303" s="47"/>
      <c r="C303" s="47"/>
    </row>
    <row r="304" spans="2:3" ht="14.4" x14ac:dyDescent="0.3">
      <c r="B304" s="47"/>
      <c r="C304" s="47"/>
    </row>
    <row r="305" spans="2:3" ht="14.4" x14ac:dyDescent="0.3">
      <c r="B305" s="47"/>
      <c r="C305" s="47"/>
    </row>
    <row r="306" spans="2:3" ht="14.4" x14ac:dyDescent="0.3">
      <c r="B306" s="47"/>
      <c r="C306" s="47"/>
    </row>
    <row r="307" spans="2:3" ht="14.4" x14ac:dyDescent="0.3">
      <c r="B307" s="47"/>
      <c r="C307" s="47"/>
    </row>
    <row r="308" spans="2:3" ht="14.4" x14ac:dyDescent="0.3">
      <c r="B308" s="47"/>
      <c r="C308" s="47"/>
    </row>
    <row r="309" spans="2:3" ht="14.4" x14ac:dyDescent="0.3">
      <c r="B309" s="47"/>
      <c r="C309" s="47"/>
    </row>
    <row r="310" spans="2:3" ht="14.4" x14ac:dyDescent="0.3">
      <c r="B310" s="47"/>
      <c r="C310" s="47"/>
    </row>
    <row r="311" spans="2:3" ht="14.4" x14ac:dyDescent="0.3">
      <c r="B311" s="47"/>
      <c r="C311" s="47"/>
    </row>
    <row r="312" spans="2:3" ht="14.4" x14ac:dyDescent="0.3">
      <c r="B312" s="47"/>
      <c r="C312" s="47"/>
    </row>
    <row r="313" spans="2:3" ht="14.4" x14ac:dyDescent="0.3">
      <c r="B313" s="47"/>
      <c r="C313" s="47"/>
    </row>
    <row r="314" spans="2:3" ht="14.4" x14ac:dyDescent="0.3">
      <c r="B314" s="47"/>
      <c r="C314" s="47"/>
    </row>
    <row r="315" spans="2:3" ht="14.4" x14ac:dyDescent="0.3">
      <c r="B315" s="47"/>
      <c r="C315" s="47"/>
    </row>
    <row r="316" spans="2:3" ht="14.4" x14ac:dyDescent="0.3">
      <c r="B316" s="47"/>
      <c r="C316" s="47"/>
    </row>
    <row r="317" spans="2:3" ht="14.4" x14ac:dyDescent="0.3">
      <c r="B317" s="47"/>
      <c r="C317" s="47"/>
    </row>
    <row r="318" spans="2:3" ht="14.4" x14ac:dyDescent="0.3">
      <c r="B318" s="47"/>
      <c r="C318" s="47"/>
    </row>
    <row r="319" spans="2:3" ht="14.4" x14ac:dyDescent="0.3">
      <c r="B319" s="47"/>
      <c r="C319" s="47"/>
    </row>
    <row r="320" spans="2:3" ht="14.4" x14ac:dyDescent="0.3">
      <c r="B320" s="47"/>
      <c r="C320" s="47"/>
    </row>
    <row r="321" spans="2:3" ht="14.4" x14ac:dyDescent="0.3">
      <c r="B321" s="47"/>
      <c r="C321" s="47"/>
    </row>
    <row r="322" spans="2:3" ht="14.4" x14ac:dyDescent="0.3">
      <c r="B322" s="47"/>
      <c r="C322" s="47"/>
    </row>
    <row r="323" spans="2:3" ht="14.4" x14ac:dyDescent="0.3">
      <c r="B323" s="47"/>
      <c r="C323" s="47"/>
    </row>
    <row r="324" spans="2:3" ht="14.4" x14ac:dyDescent="0.3">
      <c r="B324" s="47"/>
      <c r="C324" s="47"/>
    </row>
    <row r="325" spans="2:3" ht="14.4" x14ac:dyDescent="0.3">
      <c r="B325" s="47"/>
      <c r="C325" s="47"/>
    </row>
    <row r="326" spans="2:3" ht="14.4" x14ac:dyDescent="0.3">
      <c r="B326" s="47"/>
      <c r="C326" s="47"/>
    </row>
    <row r="327" spans="2:3" ht="14.4" x14ac:dyDescent="0.3">
      <c r="B327" s="47"/>
      <c r="C327" s="47"/>
    </row>
    <row r="328" spans="2:3" ht="14.4" x14ac:dyDescent="0.3">
      <c r="B328" s="47"/>
      <c r="C328" s="47"/>
    </row>
    <row r="329" spans="2:3" ht="14.4" x14ac:dyDescent="0.3">
      <c r="B329" s="47"/>
      <c r="C329" s="47"/>
    </row>
    <row r="330" spans="2:3" ht="14.4" x14ac:dyDescent="0.3">
      <c r="B330" s="47"/>
      <c r="C330" s="47"/>
    </row>
    <row r="331" spans="2:3" ht="14.4" x14ac:dyDescent="0.3">
      <c r="B331" s="47"/>
      <c r="C331" s="47"/>
    </row>
    <row r="332" spans="2:3" ht="14.4" x14ac:dyDescent="0.3">
      <c r="B332" s="47"/>
      <c r="C332" s="47"/>
    </row>
    <row r="333" spans="2:3" ht="14.4" x14ac:dyDescent="0.3">
      <c r="B333" s="47"/>
      <c r="C333" s="47"/>
    </row>
    <row r="334" spans="2:3" ht="14.4" x14ac:dyDescent="0.3">
      <c r="B334" s="47"/>
      <c r="C334" s="47"/>
    </row>
    <row r="335" spans="2:3" ht="14.4" x14ac:dyDescent="0.3">
      <c r="B335" s="47"/>
      <c r="C335" s="47"/>
    </row>
    <row r="336" spans="2:3" ht="14.4" x14ac:dyDescent="0.3">
      <c r="B336" s="47"/>
      <c r="C336" s="47"/>
    </row>
    <row r="337" spans="2:3" ht="14.4" x14ac:dyDescent="0.3">
      <c r="B337" s="47"/>
      <c r="C337" s="47"/>
    </row>
    <row r="338" spans="2:3" ht="14.4" x14ac:dyDescent="0.3">
      <c r="B338" s="47"/>
      <c r="C338" s="47"/>
    </row>
    <row r="339" spans="2:3" ht="14.4" x14ac:dyDescent="0.3">
      <c r="B339" s="47"/>
      <c r="C339" s="47"/>
    </row>
    <row r="340" spans="2:3" ht="15" thickBot="1" x14ac:dyDescent="0.35">
      <c r="B340" s="46"/>
    </row>
    <row r="341" spans="2:3" ht="14.4" x14ac:dyDescent="0.3"/>
    <row r="342" spans="2:3" ht="14.4" x14ac:dyDescent="0.3"/>
    <row r="343" spans="2:3" ht="14.4" x14ac:dyDescent="0.3"/>
    <row r="344" spans="2:3" ht="14.4" x14ac:dyDescent="0.3"/>
    <row r="345" spans="2:3" ht="14.4" x14ac:dyDescent="0.3"/>
    <row r="346" spans="2:3" ht="14.4" x14ac:dyDescent="0.3"/>
  </sheetData>
  <sortState ref="B10:E22">
    <sortCondition descending="1" ref="D10:D22"/>
  </sortState>
  <mergeCells count="1">
    <mergeCell ref="B4:B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tabSelected="1" workbookViewId="0">
      <selection activeCell="C19" sqref="C19"/>
    </sheetView>
  </sheetViews>
  <sheetFormatPr defaultRowHeight="19.95" customHeight="1" x14ac:dyDescent="0.3"/>
  <cols>
    <col min="3" max="3" width="60.109375" customWidth="1"/>
    <col min="4" max="4" width="13.88671875" customWidth="1"/>
    <col min="5" max="5" width="11.109375" style="102" customWidth="1"/>
  </cols>
  <sheetData>
    <row r="1" spans="2:5" ht="19.95" customHeight="1" thickTop="1" thickBot="1" x14ac:dyDescent="0.35">
      <c r="B1" s="31" t="s">
        <v>145</v>
      </c>
      <c r="C1" s="31" t="s">
        <v>146</v>
      </c>
      <c r="D1" s="31" t="s">
        <v>144</v>
      </c>
      <c r="E1" s="104" t="s">
        <v>184</v>
      </c>
    </row>
    <row r="2" spans="2:5" ht="19.95" customHeight="1" thickTop="1" thickBot="1" x14ac:dyDescent="0.35">
      <c r="B2" s="33">
        <v>142</v>
      </c>
      <c r="C2" s="35" t="s">
        <v>50</v>
      </c>
      <c r="D2" s="48">
        <v>27</v>
      </c>
      <c r="E2" s="105">
        <f>D2/B2</f>
        <v>0.19014084507042253</v>
      </c>
    </row>
    <row r="3" spans="2:5" ht="51" customHeight="1" thickTop="1" thickBot="1" x14ac:dyDescent="0.35">
      <c r="B3" s="33"/>
      <c r="C3" s="36" t="s">
        <v>60</v>
      </c>
      <c r="D3" s="50">
        <v>16</v>
      </c>
      <c r="E3" s="105"/>
    </row>
    <row r="4" spans="2:5" ht="39" customHeight="1" thickTop="1" thickBot="1" x14ac:dyDescent="0.35">
      <c r="B4" s="33"/>
      <c r="C4" s="35" t="s">
        <v>56</v>
      </c>
      <c r="D4" s="50">
        <v>9</v>
      </c>
      <c r="E4" s="105"/>
    </row>
    <row r="5" spans="2:5" ht="19.95" customHeight="1" thickTop="1" thickBot="1" x14ac:dyDescent="0.35">
      <c r="B5" s="33">
        <v>33</v>
      </c>
      <c r="C5" s="35" t="s">
        <v>213</v>
      </c>
      <c r="D5" s="50">
        <v>8</v>
      </c>
      <c r="E5" s="105">
        <f>D5/B5</f>
        <v>0.24242424242424243</v>
      </c>
    </row>
    <row r="6" spans="2:5" ht="19.95" customHeight="1" thickTop="1" thickBot="1" x14ac:dyDescent="0.35">
      <c r="B6" s="33"/>
      <c r="C6" s="36" t="s">
        <v>133</v>
      </c>
      <c r="D6" s="50">
        <v>8</v>
      </c>
      <c r="E6" s="105"/>
    </row>
    <row r="7" spans="2:5" ht="19.95" customHeight="1" thickTop="1" thickBot="1" x14ac:dyDescent="0.35">
      <c r="B7" s="33"/>
      <c r="C7" s="35" t="s">
        <v>214</v>
      </c>
      <c r="D7" s="49">
        <v>6</v>
      </c>
      <c r="E7" s="105"/>
    </row>
    <row r="8" spans="2:5" ht="19.95" customHeight="1" thickTop="1" thickBot="1" x14ac:dyDescent="0.35">
      <c r="B8" s="33"/>
      <c r="C8" s="35" t="s">
        <v>55</v>
      </c>
      <c r="D8" s="49">
        <v>6</v>
      </c>
      <c r="E8" s="105"/>
    </row>
    <row r="9" spans="2:5" ht="19.95" customHeight="1" thickTop="1" thickBot="1" x14ac:dyDescent="0.35">
      <c r="B9" s="33"/>
      <c r="C9" s="35" t="s">
        <v>215</v>
      </c>
      <c r="D9" s="49">
        <v>4</v>
      </c>
      <c r="E9" s="105"/>
    </row>
    <row r="10" spans="2:5" ht="19.95" customHeight="1" thickTop="1" thickBot="1" x14ac:dyDescent="0.35">
      <c r="B10" s="33"/>
      <c r="C10" s="35" t="s">
        <v>53</v>
      </c>
      <c r="D10" s="49">
        <v>4</v>
      </c>
      <c r="E10" s="105"/>
    </row>
    <row r="11" spans="2:5" ht="19.95" customHeight="1" thickTop="1" thickBot="1" x14ac:dyDescent="0.35">
      <c r="B11" s="33"/>
      <c r="C11" s="35" t="s">
        <v>216</v>
      </c>
      <c r="D11" s="49">
        <v>3</v>
      </c>
      <c r="E11" s="105"/>
    </row>
    <row r="12" spans="2:5" ht="19.95" customHeight="1" thickTop="1" thickBot="1" x14ac:dyDescent="0.35">
      <c r="B12" s="33"/>
      <c r="C12" s="35" t="s">
        <v>52</v>
      </c>
      <c r="D12" s="49">
        <v>3</v>
      </c>
      <c r="E12" s="105"/>
    </row>
    <row r="13" spans="2:5" ht="19.95" customHeight="1" thickTop="1" thickBot="1" x14ac:dyDescent="0.35">
      <c r="B13" s="33"/>
      <c r="C13" s="35" t="s">
        <v>57</v>
      </c>
      <c r="D13" s="49">
        <v>3</v>
      </c>
      <c r="E13" s="105"/>
    </row>
    <row r="14" spans="2:5" ht="19.95" customHeight="1" thickTop="1" thickBot="1" x14ac:dyDescent="0.35">
      <c r="B14" s="33">
        <v>24</v>
      </c>
      <c r="C14" s="35" t="s">
        <v>51</v>
      </c>
      <c r="D14" s="49">
        <v>2</v>
      </c>
      <c r="E14" s="105">
        <f>D14/B14</f>
        <v>8.3333333333333329E-2</v>
      </c>
    </row>
    <row r="15" spans="2:5" ht="19.95" customHeight="1" thickTop="1" thickBot="1" x14ac:dyDescent="0.35">
      <c r="B15" s="33"/>
      <c r="C15" s="36" t="s">
        <v>217</v>
      </c>
      <c r="D15" s="49">
        <v>2</v>
      </c>
      <c r="E15" s="105"/>
    </row>
    <row r="16" spans="2:5" ht="19.95" customHeight="1" thickTop="1" thickBot="1" x14ac:dyDescent="0.35">
      <c r="B16" s="33"/>
      <c r="C16" s="36" t="s">
        <v>218</v>
      </c>
      <c r="D16" s="49">
        <v>2</v>
      </c>
      <c r="E16" s="105"/>
    </row>
    <row r="17" spans="2:5" ht="19.95" customHeight="1" thickTop="1" thickBot="1" x14ac:dyDescent="0.35">
      <c r="B17" s="33"/>
      <c r="C17" s="35" t="s">
        <v>54</v>
      </c>
      <c r="D17" s="50">
        <v>2</v>
      </c>
      <c r="E17" s="105"/>
    </row>
    <row r="18" spans="2:5" ht="19.95" customHeight="1" thickTop="1" thickBot="1" x14ac:dyDescent="0.35">
      <c r="B18" s="33"/>
      <c r="C18" s="35" t="s">
        <v>58</v>
      </c>
      <c r="D18" s="49">
        <v>2</v>
      </c>
      <c r="E18" s="105"/>
    </row>
    <row r="19" spans="2:5" ht="19.95" customHeight="1" thickTop="1" thickBot="1" x14ac:dyDescent="0.35">
      <c r="B19" s="33">
        <v>9</v>
      </c>
      <c r="C19" s="35" t="s">
        <v>219</v>
      </c>
      <c r="D19" s="49">
        <v>1</v>
      </c>
      <c r="E19" s="105">
        <f>D19/B19</f>
        <v>0.1111111111111111</v>
      </c>
    </row>
    <row r="20" spans="2:5" ht="19.95" customHeight="1" thickTop="1" thickBot="1" x14ac:dyDescent="0.35">
      <c r="B20" s="33"/>
      <c r="C20" s="35" t="s">
        <v>220</v>
      </c>
      <c r="D20" s="49">
        <v>1</v>
      </c>
      <c r="E20" s="105"/>
    </row>
    <row r="21" spans="2:5" ht="19.95" customHeight="1" thickTop="1" thickBot="1" x14ac:dyDescent="0.35">
      <c r="B21" s="33"/>
      <c r="C21" s="35" t="s">
        <v>59</v>
      </c>
      <c r="D21" s="50">
        <v>1</v>
      </c>
      <c r="E21" s="105"/>
    </row>
    <row r="22" spans="2:5" ht="19.95" customHeight="1" thickTop="1" x14ac:dyDescent="0.3"/>
  </sheetData>
  <sortState ref="B2:E22">
    <sortCondition descending="1" ref="D2:D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2025-06-03T15:58:16Z</dcterms:modified>
</cp:coreProperties>
</file>