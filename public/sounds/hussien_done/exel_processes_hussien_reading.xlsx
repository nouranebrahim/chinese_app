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hussien_done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Sheet1!$E$137</definedName>
    <definedName name="__DdeLink__363_4195966084" localSheetId="0">Sheet1!$E$8</definedName>
    <definedName name="__DdeLink__366_1609274354" localSheetId="0">Sheet1!$E$251</definedName>
    <definedName name="__DdeLink__374_2158327081" localSheetId="0">Sheet1!#REF!</definedName>
    <definedName name="__DdeLink__429_690101127" localSheetId="0">Sheet1!$E$261</definedName>
    <definedName name="__DdeLink__450_690101127" localSheetId="0">Sheet1!$E$177</definedName>
    <definedName name="__DdeLink__454_4201205227" localSheetId="0">Sheet1!$E$195</definedName>
    <definedName name="__DdeLink__461_690101127" localSheetId="0">Sheet1!$E$192</definedName>
    <definedName name="__DdeLink__481_750636418" localSheetId="0">Sheet1!$E$319</definedName>
    <definedName name="__DdeLink__502_3099655138" localSheetId="0">Sheet1!$E$136</definedName>
    <definedName name="__DdeLink__525_3099655138" localSheetId="0">Sheet1!$E$147</definedName>
    <definedName name="__DdeLink__533_4201205227" localSheetId="0">Sheet1!$E$135</definedName>
    <definedName name="__DdeLink__573_3099655138" localSheetId="0">Sheet1!$E$139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3" i="1" l="1"/>
  <c r="G83" i="1" l="1"/>
  <c r="G81" i="1"/>
  <c r="H81" i="1" s="1"/>
  <c r="G76" i="1"/>
  <c r="H76" i="1" s="1"/>
  <c r="G70" i="1"/>
  <c r="H70" i="1" s="1"/>
  <c r="G65" i="1"/>
  <c r="H65" i="1" s="1"/>
  <c r="G60" i="1"/>
  <c r="H60" i="1" s="1"/>
  <c r="H57" i="1"/>
  <c r="H55" i="1"/>
  <c r="G55" i="1"/>
  <c r="G51" i="1"/>
  <c r="H51" i="1" s="1"/>
  <c r="G47" i="1"/>
  <c r="H47" i="1" s="1"/>
  <c r="H44" i="1"/>
  <c r="G44" i="1"/>
  <c r="G41" i="1"/>
  <c r="H41" i="1" s="1"/>
  <c r="G38" i="1"/>
  <c r="H38" i="1" s="1"/>
  <c r="H34" i="1"/>
  <c r="G32" i="1"/>
  <c r="H32" i="1" s="1"/>
  <c r="G28" i="1"/>
  <c r="H28" i="1" s="1"/>
  <c r="G22" i="1"/>
  <c r="H22" i="1" s="1"/>
  <c r="H19" i="1"/>
  <c r="H17" i="1"/>
  <c r="H14" i="1"/>
  <c r="G12" i="1"/>
  <c r="H12" i="1" s="1"/>
  <c r="G9" i="1"/>
  <c r="H9" i="1" s="1"/>
  <c r="G7" i="1"/>
  <c r="H7" i="1" s="1"/>
  <c r="G4" i="1"/>
  <c r="H4" i="1" s="1"/>
  <c r="F12" i="3" l="1"/>
  <c r="F13" i="3"/>
  <c r="F3" i="3"/>
  <c r="F2" i="3"/>
  <c r="F11" i="2"/>
  <c r="F2" i="2"/>
  <c r="F7" i="2"/>
  <c r="H77" i="1"/>
  <c r="H78" i="1"/>
  <c r="H71" i="1"/>
  <c r="H66" i="1"/>
  <c r="H62" i="1"/>
  <c r="H58" i="1"/>
  <c r="H56" i="1"/>
  <c r="H54" i="1"/>
  <c r="H48" i="1"/>
  <c r="H45" i="1"/>
  <c r="H43" i="1"/>
  <c r="H42" i="1"/>
  <c r="H39" i="1"/>
  <c r="H36" i="1"/>
  <c r="H33" i="1"/>
  <c r="H29" i="1"/>
  <c r="H23" i="1"/>
  <c r="H21" i="1"/>
  <c r="H20" i="1"/>
  <c r="H18" i="1"/>
  <c r="H16" i="1"/>
  <c r="H13" i="1"/>
  <c r="H10" i="1"/>
  <c r="H8" i="1"/>
  <c r="H5" i="1"/>
  <c r="H3" i="1"/>
  <c r="H2" i="1"/>
  <c r="F5" i="2" l="1"/>
  <c r="F6" i="2"/>
  <c r="F8" i="2"/>
  <c r="F4" i="2"/>
  <c r="H82" i="1"/>
  <c r="H79" i="1"/>
  <c r="H80" i="1"/>
  <c r="H72" i="1"/>
  <c r="H73" i="1"/>
  <c r="H74" i="1"/>
  <c r="H75" i="1"/>
  <c r="H67" i="1"/>
  <c r="H68" i="1"/>
  <c r="H69" i="1"/>
  <c r="H63" i="1"/>
  <c r="H64" i="1"/>
  <c r="H61" i="1"/>
  <c r="H59" i="1"/>
  <c r="H49" i="1"/>
  <c r="H50" i="1"/>
  <c r="H46" i="1"/>
  <c r="H40" i="1"/>
  <c r="H37" i="1"/>
  <c r="H30" i="1"/>
  <c r="H31" i="1"/>
  <c r="H24" i="1"/>
  <c r="H25" i="1"/>
  <c r="H26" i="1"/>
  <c r="H27" i="1"/>
  <c r="H15" i="1"/>
  <c r="H11" i="1"/>
  <c r="H6" i="1"/>
  <c r="E276" i="2" l="1"/>
  <c r="G85" i="1"/>
</calcChain>
</file>

<file path=xl/sharedStrings.xml><?xml version="1.0" encoding="utf-8"?>
<sst xmlns="http://schemas.openxmlformats.org/spreadsheetml/2006/main" count="243" uniqueCount="216">
  <si>
    <t>Metathesis</t>
  </si>
  <si>
    <t>Vowelization</t>
  </si>
  <si>
    <t>Vowel  nasalization</t>
  </si>
  <si>
    <t>Diphthongization</t>
  </si>
  <si>
    <t xml:space="preserve">Glottalization(substitution of [ʕ] with [ʔ]), </t>
  </si>
  <si>
    <t>Glottalization(substitution of [w] with [ʔ]),</t>
  </si>
  <si>
    <t>substitution of [l] with [r]</t>
  </si>
  <si>
    <t>substitution of [q] with [g]</t>
  </si>
  <si>
    <t>substitution of [q] with [k]</t>
  </si>
  <si>
    <t>voicing(substitution of [t] with [d])</t>
  </si>
  <si>
    <t>voicing (substitution of[θ] with [ð])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</si>
  <si>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</si>
  <si>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</si>
  <si>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</si>
  <si>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</si>
  <si>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[k]with [h] ,</t>
  </si>
  <si>
    <t>substitution of [ɣ] with [ʕ]</t>
  </si>
  <si>
    <t xml:space="preserve">Aspiration ( substitution of [k]with [kʰ]) , </t>
  </si>
  <si>
    <t xml:space="preserve">Aspiration ( substitution of [t]with [tʰ]) </t>
  </si>
  <si>
    <t xml:space="preserve">depharyngealization(substitution of [sˤ] with [s]), </t>
  </si>
  <si>
    <t xml:space="preserve"> depharyngealization(substitution of [ðˤ] with [ð]), </t>
  </si>
  <si>
    <t>substitution of [ʃ] with [s]</t>
  </si>
  <si>
    <t>depharyngealization and voicing (substitution of [tˤ] with [d]),</t>
  </si>
  <si>
    <t xml:space="preserve">pharyngealization(substitution of [d] with [dˤ]), </t>
  </si>
  <si>
    <t>depharyngealization(substitution of [dˤ] with [d]),</t>
  </si>
  <si>
    <t>depharyngealization and aspiration (substitution of [tˤ] with [tʰ]),</t>
  </si>
  <si>
    <t>Devoicing(substitution of [d͡ʒ] with [t͡ʃ])</t>
  </si>
  <si>
    <t xml:space="preserve">depharyngealization and devoicing(substitution of [dˤ] with [t]) </t>
  </si>
  <si>
    <t>degemination(reduce consonant cluster to one single consonant)</t>
  </si>
  <si>
    <t>germination</t>
  </si>
  <si>
    <t>syllable structure process(final syllable deletion)</t>
  </si>
  <si>
    <t>deaffrication(substitution of [d͡ʒ]with [ʒ])</t>
  </si>
  <si>
    <t>substitution of [ħ]with [χ]</t>
  </si>
  <si>
    <t>substitution of [h]with [χ]</t>
  </si>
  <si>
    <t>substitution of [ħ]with [h]</t>
  </si>
  <si>
    <t>substitution of [h]with [ħ]</t>
  </si>
  <si>
    <t>Epenthesis(insert vowel [ʊ] between  consnant cluster)</t>
  </si>
  <si>
    <t>Epenthesis(insert diphthong [i:] between  consnant cluster)</t>
  </si>
  <si>
    <t>deaffrication and devoicing(substitution of [d͡ʒ]with [ʃ])</t>
  </si>
  <si>
    <t>devoicing(substitution of [d]with [t])</t>
  </si>
  <si>
    <t>devoicing(substitution of [ɣ]with [χ])</t>
  </si>
  <si>
    <t>substitution of [j]with [ʒ]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</si>
  <si>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</si>
  <si>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</si>
  <si>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</si>
  <si>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</si>
  <si>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insertion of  [l] phone)</t>
  </si>
  <si>
    <t xml:space="preserve">syllable structure process (consonant deletion of  [r] phone), </t>
  </si>
  <si>
    <t>syllable structure process (weak syllable deletion)</t>
  </si>
  <si>
    <t>final consonant deletion</t>
  </si>
  <si>
    <t>interdentalization(substitution of [tˤ] with [ðˤ])</t>
  </si>
  <si>
    <t>Definite Article deletion</t>
  </si>
  <si>
    <t>insertion of  Definite Article</t>
  </si>
  <si>
    <t>replace the Modern Standard Arabic diphthong [æj]with the colloquial arabic vowel[e:]</t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</si>
  <si>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</si>
  <si>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</si>
  <si>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</si>
  <si>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</si>
  <si>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</si>
  <si>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</si>
  <si>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 [ʔ]with  [j] affected by colloquial arabic</t>
  </si>
  <si>
    <t>replace  [j]with  [i:] affected by colloquial Arabic</t>
  </si>
  <si>
    <t>consonant deletion  of [ʔ] phone affected by colloquial Arabic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</si>
  <si>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</si>
  <si>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t>Deletion of feminine marker</t>
  </si>
  <si>
    <t>replace adjective with noun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</si>
  <si>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</si>
  <si>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</si>
  <si>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</si>
  <si>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</si>
  <si>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</si>
  <si>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</si>
  <si>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</si>
  <si>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</si>
  <si>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</si>
  <si>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</si>
  <si>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</si>
  <si>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</si>
  <si>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</si>
  <si>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</si>
  <si>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</si>
  <si>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</si>
  <si>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</si>
  <si>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</si>
  <si>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</si>
  <si>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</si>
  <si>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</si>
  <si>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</si>
  <si>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</si>
  <si>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</si>
  <si>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</si>
  <si>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</si>
  <si>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</si>
  <si>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</si>
  <si>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</si>
  <si>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</si>
  <si>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</si>
  <si>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</si>
  <si>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</si>
  <si>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</si>
  <si>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</si>
  <si>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</si>
  <si>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</si>
  <si>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</si>
  <si>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</si>
  <si>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</si>
  <si>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</si>
  <si>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</si>
  <si>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</si>
  <si>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</si>
  <si>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</si>
  <si>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</si>
  <si>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</si>
  <si>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</si>
  <si>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</si>
  <si>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</si>
  <si>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</si>
  <si>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</si>
  <si>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</si>
  <si>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j</t>
  </si>
  <si>
    <t>letter</t>
  </si>
  <si>
    <t>arabic letter</t>
  </si>
  <si>
    <t>phonological_processes</t>
  </si>
  <si>
    <t>substitution of [t]with [t͡s ]</t>
  </si>
  <si>
    <t xml:space="preserve">depharyngealization  (substitution of [tˤ] with [t]) </t>
  </si>
  <si>
    <t>substitution of [χ] with [h]</t>
  </si>
  <si>
    <t xml:space="preserve">devoicing(substitution of [d]with [d̥])  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</si>
  <si>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</si>
  <si>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</si>
  <si>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</si>
  <si>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</si>
  <si>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</si>
  <si>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>number</t>
  </si>
  <si>
    <t xml:space="preserve"> lateralization(substitution of [r] with [l]), </t>
  </si>
  <si>
    <t xml:space="preserve">devoicing(substitution of [z]with [z̥])                    </t>
  </si>
  <si>
    <t>devoicing (substitution of [d͡ʒ]with [d͡ʒ̥ ])</t>
  </si>
  <si>
    <t>assimilation (the  [dˤ] phone changes to  [tˤ]  phone to become  similar to the nearby  phone[tˤ])</t>
  </si>
  <si>
    <r>
      <t>Monophthongization</t>
    </r>
    <r>
      <rPr>
        <sz val="12"/>
        <color theme="1"/>
        <rFont val="Arial"/>
        <family val="2"/>
      </rPr>
      <t xml:space="preserve"> </t>
    </r>
  </si>
  <si>
    <t>assimilation (the  [s] phone changes to  [θ] to become  similar to the nearby  phone[ θ])</t>
  </si>
  <si>
    <t>syllable structure process (consonant deletion of  [d] phone)</t>
  </si>
  <si>
    <t>syllable structure process (consonant insertion of  [w] phone)</t>
  </si>
  <si>
    <t>Nasal assimilation (the  [m] phone changes to  [n]  phone to become  similar to the nearby  phone[t])</t>
  </si>
  <si>
    <t>total</t>
  </si>
  <si>
    <t>misreading</t>
  </si>
  <si>
    <t>insertion of  Definite Article[æl] to the following word</t>
  </si>
  <si>
    <t>Fronting(substitution of [t] with [b])</t>
  </si>
  <si>
    <t>gliding(substitution of [ʔ] with [w])</t>
  </si>
  <si>
    <t>gliding(substitution of [ʔ] with [j])</t>
  </si>
  <si>
    <t>gliding(substitution of [q] with [j])</t>
  </si>
  <si>
    <t>gliding(substitution of [l] with [j])</t>
  </si>
  <si>
    <t>gliding(substitution of [ʕ] with [j])</t>
  </si>
  <si>
    <t>types of syllable structure errors</t>
  </si>
  <si>
    <t>nubmer of error</t>
  </si>
  <si>
    <t>number of error</t>
  </si>
  <si>
    <t>notes</t>
  </si>
  <si>
    <t>[r]</t>
  </si>
  <si>
    <t>[l]</t>
  </si>
  <si>
    <t>[j]</t>
  </si>
  <si>
    <t>[θ]</t>
  </si>
  <si>
    <t>[s]</t>
  </si>
  <si>
    <t>[z̥]</t>
  </si>
  <si>
    <t>[ð]</t>
  </si>
  <si>
    <t>[z]</t>
  </si>
  <si>
    <t>[kʰ]</t>
  </si>
  <si>
    <t>[h]</t>
  </si>
  <si>
    <t>[d͡ʒ̥]</t>
  </si>
  <si>
    <t>[ʒ]</t>
  </si>
  <si>
    <t>[t͡ʃ]</t>
  </si>
  <si>
    <t>[ʃ]</t>
  </si>
  <si>
    <t>[k]</t>
  </si>
  <si>
    <t>[g]</t>
  </si>
  <si>
    <t>[χ]</t>
  </si>
  <si>
    <t>[ʕ]</t>
  </si>
  <si>
    <t>[ʔ]</t>
  </si>
  <si>
    <t>[ħ]</t>
  </si>
  <si>
    <t>[w]</t>
  </si>
  <si>
    <t>[n]</t>
  </si>
  <si>
    <t>[t]</t>
  </si>
  <si>
    <t>[p]</t>
  </si>
  <si>
    <t>[pʰ]</t>
  </si>
  <si>
    <t>[ðˤ]</t>
  </si>
  <si>
    <t>[tʰ]</t>
  </si>
  <si>
    <t>[d]</t>
  </si>
  <si>
    <t>[t͡s]</t>
  </si>
  <si>
    <t>[b]</t>
  </si>
  <si>
    <t>[d̥]</t>
  </si>
  <si>
    <t>[dˤ]</t>
  </si>
  <si>
    <t>[tˤ]</t>
  </si>
  <si>
    <t>percentage</t>
  </si>
  <si>
    <t>percetage</t>
  </si>
  <si>
    <t>percenatage</t>
  </si>
  <si>
    <t>r TOTAL</t>
  </si>
  <si>
    <t>l TOTAL</t>
  </si>
  <si>
    <t>s TOTAL</t>
  </si>
  <si>
    <t>z TOTAL</t>
  </si>
  <si>
    <t>sˤ TOTAL</t>
  </si>
  <si>
    <t>ðˤ TOTAL</t>
  </si>
  <si>
    <t>ð TOTAL</t>
  </si>
  <si>
    <t>k TOTAL</t>
  </si>
  <si>
    <t>d͡ʒ TOTAL</t>
  </si>
  <si>
    <t>q TOTAL</t>
  </si>
  <si>
    <t>ʃ TOTAL</t>
  </si>
  <si>
    <t>ɣ total</t>
  </si>
  <si>
    <t>ʕ TOTAL</t>
  </si>
  <si>
    <t>ħ TOTAL</t>
  </si>
  <si>
    <t>h TOTAL</t>
  </si>
  <si>
    <t>ʔ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</si>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</sst>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sz val="12"/>
      <color rgb="FF7030A0"/>
      <name val="Arial"/>
      <family val="2"/>
    </font>
    <font>
      <b/>
      <sz val="1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5" fillId="9" borderId="1" xfId="8" applyFont="1" applyBorder="1" applyAlignment="1">
      <alignment vertical="center" wrapText="1"/>
    </xf>
    <xf numFmtId="0" fontId="5" fillId="9" borderId="1" xfId="8" applyFont="1" applyBorder="1" applyAlignment="1">
      <alignment vertical="center"/>
    </xf>
    <xf numFmtId="0" fontId="17" fillId="3" borderId="1" xfId="2" applyFont="1" applyBorder="1" applyAlignment="1">
      <alignment vertical="center" wrapText="1"/>
    </xf>
    <xf numFmtId="0" fontId="17" fillId="2" borderId="1" xfId="1" applyFont="1" applyBorder="1" applyAlignment="1">
      <alignment vertical="center" wrapText="1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7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6" borderId="1" xfId="5" applyFont="1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17" fillId="4" borderId="1" xfId="3" applyFont="1" applyBorder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16" fillId="10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6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10" fontId="0" fillId="0" borderId="0" xfId="9" applyNumberFormat="1" applyFont="1"/>
    <xf numFmtId="10" fontId="0" fillId="0" borderId="1" xfId="9" applyNumberFormat="1" applyFont="1" applyBorder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 applyAlignment="1">
      <alignment vertical="center"/>
    </xf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5" fillId="9" borderId="1" xfId="8" applyNumberFormat="1" applyFon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6" fillId="0" borderId="0" xfId="0" applyNumberFormat="1" applyFont="1" applyAlignment="1">
      <alignment vertical="center"/>
    </xf>
    <xf numFmtId="10" fontId="0" fillId="0" borderId="0" xfId="0" applyNumberFormat="1"/>
    <xf numFmtId="10" fontId="10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0" fontId="13" fillId="0" borderId="0" xfId="0" applyNumberFormat="1" applyFont="1" applyAlignment="1">
      <alignment vertical="center"/>
    </xf>
    <xf numFmtId="10" fontId="14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15" fillId="0" borderId="0" xfId="0" applyNumberFormat="1" applyFont="1" applyAlignment="1">
      <alignment vertical="center"/>
    </xf>
    <xf numFmtId="10" fontId="16" fillId="0" borderId="1" xfId="0" applyNumberFormat="1" applyFont="1" applyBorder="1" applyAlignment="1">
      <alignment wrapText="1"/>
    </xf>
    <xf numFmtId="10" fontId="16" fillId="0" borderId="1" xfId="9" applyNumberFormat="1" applyFont="1" applyBorder="1" applyAlignment="1">
      <alignment wrapText="1"/>
    </xf>
    <xf numFmtId="0" fontId="10" fillId="10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5" xfId="0" applyBorder="1"/>
    <xf numFmtId="10" fontId="0" fillId="0" borderId="1" xfId="9" applyNumberFormat="1" applyFont="1" applyBorder="1" applyAlignment="1">
      <alignment wrapText="1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8" borderId="4" xfId="7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0" fillId="9" borderId="1" xfId="8" applyFont="1" applyBorder="1" applyAlignment="1">
      <alignment horizontal="center" vertical="center"/>
    </xf>
    <xf numFmtId="0" fontId="0" fillId="7" borderId="1" xfId="6" applyFont="1" applyBorder="1" applyAlignment="1">
      <alignment horizontal="center" vertical="center"/>
    </xf>
    <xf numFmtId="0" fontId="0" fillId="5" borderId="1" xfId="4" applyFont="1" applyBorder="1" applyAlignment="1">
      <alignment horizontal="center" vertical="center"/>
    </xf>
    <xf numFmtId="0" fontId="0" fillId="6" borderId="1" xfId="5" applyFont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0" fillId="8" borderId="1" xfId="7" applyFont="1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0" fillId="7" borderId="3" xfId="6" applyFont="1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1" fillId="9" borderId="1" xfId="8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0" fillId="5" borderId="1" xfId="4" applyFont="1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0" fillId="6" borderId="1" xfId="5" applyFont="1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0" fillId="7" borderId="2" xfId="6" applyFont="1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4" xfId="7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Bad" xfId="2" builtinId="27"/>
    <cellStyle name="Good" xfId="1" builtinId="26"/>
    <cellStyle name="Neutral" xfId="3" builtinId="28"/>
    <cellStyle name="Normal" xfId="0" builtinId="0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Sheet1!$F$2:$F$3</c:f>
              <c:strCache>
                <c:ptCount val="2"/>
                <c:pt idx="0">
                  <c:v>[-]</c:v>
                </c:pt>
                <c:pt idx="1">
                  <c:v>[l]</c:v>
                </c:pt>
              </c:strCache>
            </c:strRef>
          </c:cat>
          <c:val>
            <c:numRef>
              <c:f>Sheet1!$G$2:$G$3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9-4C7F-B2E7-89ECABF8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285055"/>
        <c:axId val="3412854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Sheet1!$F$2:$F$3</c:f>
              <c:strCache>
                <c:ptCount val="2"/>
                <c:pt idx="0">
                  <c:v>[-]</c:v>
                </c:pt>
                <c:pt idx="1">
                  <c:v>[l]</c:v>
                </c:pt>
              </c:strCache>
            </c:strRef>
          </c:cat>
          <c:val>
            <c:numRef>
              <c:f>Sheet1!$H$2:$H$3</c:f>
              <c:numCache>
                <c:formatCode>0.00%</c:formatCode>
                <c:ptCount val="2"/>
                <c:pt idx="0">
                  <c:v>1.3333333333333334E-2</c:v>
                </c:pt>
                <c:pt idx="1">
                  <c:v>4.4444444444444444E-3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9-4C7F-B2E7-89ECABF8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756319"/>
        <c:axId val="472752159"/>
      </c:lineChart>
      <c:catAx>
        <c:axId val="34128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85471"/>
        <c:crosses val="autoZero"/>
        <c:auto val="1"/>
        <c:lblAlgn val="ctr"/>
        <c:lblOffset val="100"/>
        <c:noMultiLvlLbl val="0"/>
      </c:catAx>
      <c:valAx>
        <c:axId val="3412854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85055"/>
        <c:crosses val="autoZero"/>
        <c:crossBetween val="between"/>
      </c:valAx>
      <c:valAx>
        <c:axId val="47275215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56319"/>
        <c:crosses val="max"/>
        <c:crossBetween val="between"/>
      </c:valAx>
      <c:catAx>
        <c:axId val="472756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275215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Sheet1!$F$5:$F$6</c:f>
              <c:strCache>
                <c:ptCount val="2"/>
                <c:pt idx="0">
                  <c:v>[r]</c:v>
                </c:pt>
                <c:pt idx="1">
                  <c:v>[j]</c:v>
                </c:pt>
              </c:strCache>
            </c:strRef>
          </c:cat>
          <c:val>
            <c:numRef>
              <c:f>Sheet1!$G$5:$G$6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2-43B3-96E0-3B07B426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2964479"/>
        <c:axId val="34295948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Sheet1!$F$5:$F$6</c:f>
              <c:strCache>
                <c:ptCount val="2"/>
                <c:pt idx="0">
                  <c:v>[r]</c:v>
                </c:pt>
                <c:pt idx="1">
                  <c:v>[j]</c:v>
                </c:pt>
              </c:strCache>
            </c:strRef>
          </c:cat>
          <c:val>
            <c:numRef>
              <c:f>Sheet1!$H$5:$H$6</c:f>
              <c:numCache>
                <c:formatCode>0.00%</c:formatCode>
                <c:ptCount val="2"/>
                <c:pt idx="0">
                  <c:v>9.7087378640776691E-3</c:v>
                </c:pt>
                <c:pt idx="1">
                  <c:v>3.2362459546925568E-3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2-43B3-96E0-3B07B426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962815"/>
        <c:axId val="342965727"/>
      </c:lineChart>
      <c:catAx>
        <c:axId val="34296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59487"/>
        <c:crosses val="autoZero"/>
        <c:auto val="1"/>
        <c:lblAlgn val="ctr"/>
        <c:lblOffset val="100"/>
        <c:noMultiLvlLbl val="0"/>
      </c:catAx>
      <c:valAx>
        <c:axId val="34295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64479"/>
        <c:crosses val="autoZero"/>
        <c:crossBetween val="between"/>
      </c:valAx>
      <c:valAx>
        <c:axId val="3429657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62815"/>
        <c:crosses val="max"/>
        <c:crossBetween val="between"/>
      </c:valAx>
      <c:catAx>
        <c:axId val="342962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296572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Sheet1!$G$8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E-4DD2-9E5A-B0EA0568877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Sheet1!$F$8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Sheet1!$H$8</c:f>
              <c:numCache>
                <c:formatCode>0.00%</c:formatCode>
                <c:ptCount val="1"/>
                <c:pt idx="0">
                  <c:v>8.0645161290322578E-3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E-4DD2-9E5A-B0EA05688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2960319"/>
        <c:axId val="338328559"/>
      </c:barChart>
      <c:catAx>
        <c:axId val="34296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28559"/>
        <c:crosses val="autoZero"/>
        <c:auto val="1"/>
        <c:lblAlgn val="ctr"/>
        <c:lblOffset val="100"/>
        <c:noMultiLvlLbl val="0"/>
      </c:catAx>
      <c:valAx>
        <c:axId val="3383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60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Sheet1!$F$10:$F$11</c:f>
              <c:strCache>
                <c:ptCount val="2"/>
                <c:pt idx="0">
                  <c:v>[s]</c:v>
                </c:pt>
                <c:pt idx="1">
                  <c:v>[z̥]</c:v>
                </c:pt>
              </c:strCache>
            </c:strRef>
          </c:cat>
          <c:val>
            <c:numRef>
              <c:f>Sheet1!$G$10:$G$11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6-4798-8EDA-F8D96803F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25407"/>
        <c:axId val="4841249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Sheet1!$F$10:$F$11</c:f>
              <c:strCache>
                <c:ptCount val="2"/>
                <c:pt idx="0">
                  <c:v>[s]</c:v>
                </c:pt>
                <c:pt idx="1">
                  <c:v>[z̥]</c:v>
                </c:pt>
              </c:strCache>
            </c:strRef>
          </c:cat>
          <c:val>
            <c:numRef>
              <c:f>Sheet1!$H$10:$H$11</c:f>
              <c:numCache>
                <c:formatCode>0.00%</c:formatCode>
                <c:ptCount val="2"/>
                <c:pt idx="0">
                  <c:v>0.13043478260869565</c:v>
                </c:pt>
                <c:pt idx="1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66-4798-8EDA-F8D96803F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21663"/>
        <c:axId val="484119999"/>
      </c:lineChart>
      <c:catAx>
        <c:axId val="48412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4991"/>
        <c:crosses val="autoZero"/>
        <c:auto val="1"/>
        <c:lblAlgn val="ctr"/>
        <c:lblOffset val="100"/>
        <c:noMultiLvlLbl val="0"/>
      </c:catAx>
      <c:valAx>
        <c:axId val="48412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5407"/>
        <c:crosses val="autoZero"/>
        <c:crossBetween val="between"/>
      </c:valAx>
      <c:valAx>
        <c:axId val="4841199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1663"/>
        <c:crosses val="max"/>
        <c:crossBetween val="between"/>
      </c:valAx>
      <c:catAx>
        <c:axId val="484121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41199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F-447E-949E-41F47FF842F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Sheet1!$H$13</c:f>
              <c:numCache>
                <c:formatCode>0.00%</c:formatCode>
                <c:ptCount val="1"/>
                <c:pt idx="0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F-447E-949E-41F47FF84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21247"/>
        <c:axId val="484109599"/>
      </c:barChart>
      <c:catAx>
        <c:axId val="48412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09599"/>
        <c:crosses val="autoZero"/>
        <c:auto val="1"/>
        <c:lblAlgn val="ctr"/>
        <c:lblOffset val="100"/>
        <c:noMultiLvlLbl val="0"/>
      </c:catAx>
      <c:valAx>
        <c:axId val="48410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[ðˤ]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Sheet1!$F$16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Sheet1!$G$16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C-41B9-A3DC-9DA91E1E446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Sheet1!$F$16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Sheet1!$H$16</c:f>
              <c:numCache>
                <c:formatCode>0.00%</c:formatCode>
                <c:ptCount val="1"/>
                <c:pt idx="0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EC-41B9-A3DC-9DA91E1E4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754239"/>
        <c:axId val="472753407"/>
      </c:barChart>
      <c:catAx>
        <c:axId val="4727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53407"/>
        <c:crosses val="autoZero"/>
        <c:auto val="1"/>
        <c:lblAlgn val="ctr"/>
        <c:lblOffset val="100"/>
        <c:noMultiLvlLbl val="0"/>
      </c:catAx>
      <c:valAx>
        <c:axId val="4727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54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Sheet1!$F$18</c:f>
              <c:strCache>
                <c:ptCount val="1"/>
                <c:pt idx="0">
                  <c:v>[z]</c:v>
                </c:pt>
              </c:strCache>
            </c:strRef>
          </c:cat>
          <c:val>
            <c:numRef>
              <c:f>Sheet1!$G$18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B-4079-9671-7C68094D1A6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Sheet1!$F$18</c:f>
              <c:strCache>
                <c:ptCount val="1"/>
                <c:pt idx="0">
                  <c:v>[z]</c:v>
                </c:pt>
              </c:strCache>
            </c:strRef>
          </c:cat>
          <c:val>
            <c:numRef>
              <c:f>Sheet1!$H$18</c:f>
              <c:numCache>
                <c:formatCode>0.00%</c:formatCode>
                <c:ptCount val="1"/>
                <c:pt idx="0">
                  <c:v>2.7777777777777776E-2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6B-4079-9671-7C68094D1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23743"/>
        <c:axId val="484113759"/>
      </c:barChart>
      <c:catAx>
        <c:axId val="48412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3759"/>
        <c:crosses val="autoZero"/>
        <c:auto val="1"/>
        <c:lblAlgn val="ctr"/>
        <c:lblOffset val="100"/>
        <c:noMultiLvlLbl val="0"/>
      </c:catAx>
      <c:valAx>
        <c:axId val="4841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3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Sheet1!$F$20:$F$21</c:f>
              <c:strCache>
                <c:ptCount val="2"/>
                <c:pt idx="0">
                  <c:v>[kʰ]</c:v>
                </c:pt>
                <c:pt idx="1">
                  <c:v>[h]</c:v>
                </c:pt>
              </c:strCache>
            </c:strRef>
          </c:cat>
          <c:val>
            <c:numRef>
              <c:f>Sheet1!$G$20:$G$21</c:f>
              <c:numCache>
                <c:formatCode>General</c:formatCode>
                <c:ptCount val="2"/>
                <c:pt idx="0">
                  <c:v>36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B-4FEC-9004-7890B812B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429279"/>
        <c:axId val="47743011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Sheet1!$F$20:$F$21</c:f>
              <c:strCache>
                <c:ptCount val="2"/>
                <c:pt idx="0">
                  <c:v>[kʰ]</c:v>
                </c:pt>
                <c:pt idx="1">
                  <c:v>[h]</c:v>
                </c:pt>
              </c:strCache>
            </c:strRef>
          </c:cat>
          <c:val>
            <c:numRef>
              <c:f>Sheet1!$H$20:$H$21</c:f>
              <c:numCache>
                <c:formatCode>0.00%</c:formatCode>
                <c:ptCount val="2"/>
                <c:pt idx="0">
                  <c:v>0.42857142857142855</c:v>
                </c:pt>
                <c:pt idx="1">
                  <c:v>1.1904761904761904E-2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B-4FEC-9004-7890B812B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417215"/>
        <c:axId val="477419711"/>
      </c:lineChart>
      <c:catAx>
        <c:axId val="4774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30111"/>
        <c:crosses val="autoZero"/>
        <c:auto val="1"/>
        <c:lblAlgn val="ctr"/>
        <c:lblOffset val="100"/>
        <c:noMultiLvlLbl val="0"/>
      </c:catAx>
      <c:valAx>
        <c:axId val="47743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9279"/>
        <c:crosses val="autoZero"/>
        <c:crossBetween val="between"/>
      </c:valAx>
      <c:valAx>
        <c:axId val="47741971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17215"/>
        <c:crosses val="max"/>
        <c:crossBetween val="between"/>
      </c:valAx>
      <c:catAx>
        <c:axId val="477417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741971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Sheet1!$F$23:$F$27</c:f>
              <c:strCache>
                <c:ptCount val="5"/>
                <c:pt idx="0">
                  <c:v>[d͡ʒ̥]</c:v>
                </c:pt>
                <c:pt idx="1">
                  <c:v>[ʒ]</c:v>
                </c:pt>
                <c:pt idx="2">
                  <c:v>[t͡ʃ]</c:v>
                </c:pt>
                <c:pt idx="3">
                  <c:v>[ʃ]</c:v>
                </c:pt>
                <c:pt idx="4">
                  <c:v>[k]</c:v>
                </c:pt>
              </c:strCache>
            </c:strRef>
          </c:cat>
          <c:val>
            <c:numRef>
              <c:f>Sheet1!$G$23:$G$27</c:f>
              <c:numCache>
                <c:formatCode>General</c:formatCode>
                <c:ptCount val="5"/>
                <c:pt idx="0">
                  <c:v>19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4-4B18-98EC-A3DEE657D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324815"/>
        <c:axId val="33832772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Sheet1!$F$23:$F$27</c:f>
              <c:strCache>
                <c:ptCount val="5"/>
                <c:pt idx="0">
                  <c:v>[d͡ʒ̥]</c:v>
                </c:pt>
                <c:pt idx="1">
                  <c:v>[ʒ]</c:v>
                </c:pt>
                <c:pt idx="2">
                  <c:v>[t͡ʃ]</c:v>
                </c:pt>
                <c:pt idx="3">
                  <c:v>[ʃ]</c:v>
                </c:pt>
                <c:pt idx="4">
                  <c:v>[k]</c:v>
                </c:pt>
              </c:strCache>
            </c:strRef>
          </c:cat>
          <c:val>
            <c:numRef>
              <c:f>Sheet1!$H$23:$H$27</c:f>
              <c:numCache>
                <c:formatCode>0.00%</c:formatCode>
                <c:ptCount val="5"/>
                <c:pt idx="0">
                  <c:v>0.2638888888888889</c:v>
                </c:pt>
                <c:pt idx="1">
                  <c:v>4.1666666666666664E-2</c:v>
                </c:pt>
                <c:pt idx="2">
                  <c:v>2.7777777777777776E-2</c:v>
                </c:pt>
                <c:pt idx="3">
                  <c:v>1.3888888888888888E-2</c:v>
                </c:pt>
                <c:pt idx="4">
                  <c:v>1.3888888888888888E-2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24-4B18-98EC-A3DEE657D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431935"/>
        <c:axId val="338326479"/>
      </c:lineChart>
      <c:catAx>
        <c:axId val="33832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27727"/>
        <c:crosses val="autoZero"/>
        <c:auto val="1"/>
        <c:lblAlgn val="ctr"/>
        <c:lblOffset val="100"/>
        <c:noMultiLvlLbl val="0"/>
      </c:catAx>
      <c:valAx>
        <c:axId val="3383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24815"/>
        <c:crosses val="autoZero"/>
        <c:crossBetween val="between"/>
      </c:valAx>
      <c:valAx>
        <c:axId val="3383264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31935"/>
        <c:crosses val="max"/>
        <c:crossBetween val="between"/>
      </c:valAx>
      <c:catAx>
        <c:axId val="336431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83264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Sheet1!$F$29:$F$31</c:f>
              <c:strCache>
                <c:ptCount val="3"/>
                <c:pt idx="0">
                  <c:v>[g]</c:v>
                </c:pt>
                <c:pt idx="1">
                  <c:v>[k]</c:v>
                </c:pt>
                <c:pt idx="2">
                  <c:v>[j]</c:v>
                </c:pt>
              </c:strCache>
            </c:strRef>
          </c:cat>
          <c:val>
            <c:numRef>
              <c:f>Sheet1!$G$29:$G$31</c:f>
              <c:numCache>
                <c:formatCode>General</c:formatCode>
                <c:ptCount val="3"/>
                <c:pt idx="0">
                  <c:v>29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6-4E9D-AC6B-29F068BB5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28607"/>
        <c:axId val="3364290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Sheet1!$F$29:$F$31</c:f>
              <c:strCache>
                <c:ptCount val="3"/>
                <c:pt idx="0">
                  <c:v>[g]</c:v>
                </c:pt>
                <c:pt idx="1">
                  <c:v>[k]</c:v>
                </c:pt>
                <c:pt idx="2">
                  <c:v>[j]</c:v>
                </c:pt>
              </c:strCache>
            </c:strRef>
          </c:cat>
          <c:val>
            <c:numRef>
              <c:f>Sheet1!$H$29:$H$31</c:f>
              <c:numCache>
                <c:formatCode>0.00%</c:formatCode>
                <c:ptCount val="3"/>
                <c:pt idx="0">
                  <c:v>0.5178571428571429</c:v>
                </c:pt>
                <c:pt idx="1">
                  <c:v>1.7857142857142856E-2</c:v>
                </c:pt>
                <c:pt idx="2">
                  <c:v>1.7857142857142856E-2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66-4E9D-AC6B-29F068BB5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433183"/>
        <c:axId val="336429855"/>
      </c:lineChart>
      <c:catAx>
        <c:axId val="33642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29023"/>
        <c:crosses val="autoZero"/>
        <c:auto val="1"/>
        <c:lblAlgn val="ctr"/>
        <c:lblOffset val="100"/>
        <c:noMultiLvlLbl val="0"/>
      </c:catAx>
      <c:valAx>
        <c:axId val="33642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28607"/>
        <c:crosses val="autoZero"/>
        <c:crossBetween val="between"/>
      </c:valAx>
      <c:valAx>
        <c:axId val="33642985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33183"/>
        <c:crosses val="max"/>
        <c:crossBetween val="between"/>
      </c:valAx>
      <c:catAx>
        <c:axId val="336433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64298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[ʃ]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Sheet1!$G$33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1-4F82-953A-D9EF350901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Sheet1!$H$33</c:f>
              <c:numCache>
                <c:formatCode>0.00%</c:formatCode>
                <c:ptCount val="1"/>
                <c:pt idx="0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1-4F82-953A-D9EF35090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2965311"/>
        <c:axId val="342961983"/>
      </c:barChart>
      <c:catAx>
        <c:axId val="34296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61983"/>
        <c:crosses val="autoZero"/>
        <c:auto val="1"/>
        <c:lblAlgn val="ctr"/>
        <c:lblOffset val="100"/>
        <c:noMultiLvlLbl val="0"/>
      </c:catAx>
      <c:valAx>
        <c:axId val="34296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6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Sheet1!$F$36:$F$37</c:f>
              <c:strCache>
                <c:ptCount val="2"/>
                <c:pt idx="0">
                  <c:v>[χ]</c:v>
                </c:pt>
                <c:pt idx="1">
                  <c:v>[ʕ]</c:v>
                </c:pt>
              </c:strCache>
            </c:strRef>
          </c:cat>
          <c:val>
            <c:numRef>
              <c:f>Sheet1!$G$36:$G$37</c:f>
              <c:numCache>
                <c:formatCode>General</c:formatCode>
                <c:ptCount val="2"/>
                <c:pt idx="0">
                  <c:v>36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0-43F2-B885-51BB77E2C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285887"/>
        <c:axId val="3412842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Sheet1!$F$36:$F$37</c:f>
              <c:strCache>
                <c:ptCount val="2"/>
                <c:pt idx="0">
                  <c:v>[χ]</c:v>
                </c:pt>
                <c:pt idx="1">
                  <c:v>[ʕ]</c:v>
                </c:pt>
              </c:strCache>
            </c:strRef>
          </c:cat>
          <c:val>
            <c:numRef>
              <c:f>Sheet1!$H$36:$H$37</c:f>
              <c:numCache>
                <c:formatCode>0.00%</c:formatCode>
                <c:ptCount val="2"/>
                <c:pt idx="0">
                  <c:v>0.92307692307692313</c:v>
                </c:pt>
                <c:pt idx="1">
                  <c:v>5.128205128205128E-2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0-43F2-B885-51BB77E2C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288799"/>
        <c:axId val="341288383"/>
      </c:lineChart>
      <c:catAx>
        <c:axId val="34128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84223"/>
        <c:crosses val="autoZero"/>
        <c:auto val="1"/>
        <c:lblAlgn val="ctr"/>
        <c:lblOffset val="100"/>
        <c:noMultiLvlLbl val="0"/>
      </c:catAx>
      <c:valAx>
        <c:axId val="34128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85887"/>
        <c:crosses val="autoZero"/>
        <c:crossBetween val="between"/>
      </c:valAx>
      <c:valAx>
        <c:axId val="3412883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88799"/>
        <c:crosses val="max"/>
        <c:crossBetween val="between"/>
      </c:valAx>
      <c:catAx>
        <c:axId val="341288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12883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Sheet1!$F$39:$F$40</c:f>
              <c:strCache>
                <c:ptCount val="2"/>
                <c:pt idx="0">
                  <c:v>[ʔ]</c:v>
                </c:pt>
                <c:pt idx="1">
                  <c:v>[j]</c:v>
                </c:pt>
              </c:strCache>
            </c:strRef>
          </c:cat>
          <c:val>
            <c:numRef>
              <c:f>Sheet1!$G$39:$G$40</c:f>
              <c:numCache>
                <c:formatCode>General</c:formatCode>
                <c:ptCount val="2"/>
                <c:pt idx="0">
                  <c:v>22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6-4E2F-A04A-CAFF49D3A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626511"/>
        <c:axId val="5156285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Sheet1!$F$39:$F$40</c:f>
              <c:strCache>
                <c:ptCount val="2"/>
                <c:pt idx="0">
                  <c:v>[ʔ]</c:v>
                </c:pt>
                <c:pt idx="1">
                  <c:v>[j]</c:v>
                </c:pt>
              </c:strCache>
            </c:strRef>
          </c:cat>
          <c:val>
            <c:numRef>
              <c:f>Sheet1!$H$39:$H$40</c:f>
              <c:numCache>
                <c:formatCode>0.00%</c:formatCode>
                <c:ptCount val="2"/>
                <c:pt idx="0">
                  <c:v>0.20183486238532111</c:v>
                </c:pt>
                <c:pt idx="1">
                  <c:v>9.1743119266055051E-3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6-4E2F-A04A-CAFF49D3A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13343"/>
        <c:axId val="515631503"/>
      </c:lineChart>
      <c:catAx>
        <c:axId val="51562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8591"/>
        <c:crosses val="autoZero"/>
        <c:auto val="1"/>
        <c:lblAlgn val="ctr"/>
        <c:lblOffset val="100"/>
        <c:noMultiLvlLbl val="0"/>
      </c:catAx>
      <c:valAx>
        <c:axId val="5156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6511"/>
        <c:crosses val="autoZero"/>
        <c:crossBetween val="between"/>
      </c:valAx>
      <c:valAx>
        <c:axId val="5156315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3343"/>
        <c:crosses val="max"/>
        <c:crossBetween val="between"/>
      </c:valAx>
      <c:catAx>
        <c:axId val="484113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56315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Sheet1!$F$42:$F$43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Sheet1!$G$42:$G$43</c:f>
              <c:numCache>
                <c:formatCode>General</c:formatCode>
                <c:ptCount val="2"/>
                <c:pt idx="0">
                  <c:v>26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7-4013-8F4D-DAED47B1E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11263"/>
        <c:axId val="48411916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Sheet1!$F$42:$F$43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Sheet1!$H$42:$H$43</c:f>
              <c:numCache>
                <c:formatCode>0.00%</c:formatCode>
                <c:ptCount val="2"/>
                <c:pt idx="0">
                  <c:v>0.32911392405063289</c:v>
                </c:pt>
                <c:pt idx="1">
                  <c:v>1.2658227848101266E-2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7-4013-8F4D-DAED47B1E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16255"/>
        <c:axId val="484115839"/>
      </c:lineChart>
      <c:catAx>
        <c:axId val="48411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9167"/>
        <c:crosses val="autoZero"/>
        <c:auto val="1"/>
        <c:lblAlgn val="ctr"/>
        <c:lblOffset val="100"/>
        <c:noMultiLvlLbl val="0"/>
      </c:catAx>
      <c:valAx>
        <c:axId val="48411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1263"/>
        <c:crosses val="autoZero"/>
        <c:crossBetween val="between"/>
      </c:valAx>
      <c:valAx>
        <c:axId val="4841158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6255"/>
        <c:crosses val="max"/>
        <c:crossBetween val="between"/>
      </c:valAx>
      <c:catAx>
        <c:axId val="4841162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41158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Sheet1!$F$45:$F$46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Sheet1!$G$45:$G$46</c:f>
              <c:numCache>
                <c:formatCode>General</c:formatCode>
                <c:ptCount val="2"/>
                <c:pt idx="0">
                  <c:v>15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0-41D0-993C-7DF2ECDB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20415"/>
        <c:axId val="4841166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Sheet1!$F$45:$F$46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Sheet1!$H$45:$H$46</c:f>
              <c:numCache>
                <c:formatCode>0.00%</c:formatCode>
                <c:ptCount val="2"/>
                <c:pt idx="0">
                  <c:v>0.19736842105263158</c:v>
                </c:pt>
                <c:pt idx="1">
                  <c:v>1.3157894736842105E-2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80-41D0-993C-7DF2ECDB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12095"/>
        <c:axId val="484122079"/>
      </c:lineChart>
      <c:catAx>
        <c:axId val="48412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6671"/>
        <c:crosses val="autoZero"/>
        <c:auto val="1"/>
        <c:lblAlgn val="ctr"/>
        <c:lblOffset val="100"/>
        <c:noMultiLvlLbl val="0"/>
      </c:catAx>
      <c:valAx>
        <c:axId val="48411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0415"/>
        <c:crosses val="autoZero"/>
        <c:crossBetween val="between"/>
      </c:valAx>
      <c:valAx>
        <c:axId val="4841220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2095"/>
        <c:crosses val="max"/>
        <c:crossBetween val="between"/>
      </c:valAx>
      <c:catAx>
        <c:axId val="484112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41220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Sheet1!$F$48:$F$50</c:f>
              <c:strCache>
                <c:ptCount val="3"/>
                <c:pt idx="0">
                  <c:v>[j]</c:v>
                </c:pt>
                <c:pt idx="1">
                  <c:v>[w]</c:v>
                </c:pt>
                <c:pt idx="2">
                  <c:v>[ʔ]</c:v>
                </c:pt>
              </c:strCache>
            </c:strRef>
          </c:cat>
          <c:val>
            <c:numRef>
              <c:f>Sheet1!$G$48:$G$50</c:f>
              <c:numCache>
                <c:formatCode>General</c:formatCode>
                <c:ptCount val="3"/>
                <c:pt idx="0">
                  <c:v>10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5-4FD6-BCCB-2061D1128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422207"/>
        <c:axId val="47742470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Sheet1!$F$48:$F$50</c:f>
              <c:strCache>
                <c:ptCount val="3"/>
                <c:pt idx="0">
                  <c:v>[j]</c:v>
                </c:pt>
                <c:pt idx="1">
                  <c:v>[w]</c:v>
                </c:pt>
                <c:pt idx="2">
                  <c:v>[ʔ]</c:v>
                </c:pt>
              </c:strCache>
            </c:strRef>
          </c:cat>
          <c:val>
            <c:numRef>
              <c:f>Sheet1!$H$48:$H$50</c:f>
              <c:numCache>
                <c:formatCode>0.00%</c:formatCode>
                <c:ptCount val="3"/>
                <c:pt idx="0">
                  <c:v>4.784688995215311E-2</c:v>
                </c:pt>
                <c:pt idx="1">
                  <c:v>1.9138755980861243E-2</c:v>
                </c:pt>
                <c:pt idx="2">
                  <c:v>9.5693779904306216E-3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5-4FD6-BCCB-2061D1128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427199"/>
        <c:axId val="477425535"/>
      </c:lineChart>
      <c:catAx>
        <c:axId val="47742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4703"/>
        <c:crosses val="autoZero"/>
        <c:auto val="1"/>
        <c:lblAlgn val="ctr"/>
        <c:lblOffset val="100"/>
        <c:noMultiLvlLbl val="0"/>
      </c:catAx>
      <c:valAx>
        <c:axId val="4774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2207"/>
        <c:crosses val="autoZero"/>
        <c:crossBetween val="between"/>
      </c:valAx>
      <c:valAx>
        <c:axId val="4774255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7199"/>
        <c:crosses val="max"/>
        <c:crossBetween val="between"/>
      </c:valAx>
      <c:catAx>
        <c:axId val="477427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742553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Sheet1!$F$54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Sheet1!$G$54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F-470A-91C1-3F8569175B4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Sheet1!$F$54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Sheet1!$H$54</c:f>
              <c:numCache>
                <c:formatCode>0.00%</c:formatCode>
                <c:ptCount val="1"/>
                <c:pt idx="0">
                  <c:v>2.6143790849673203E-2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F-470A-91C1-3F8569175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424287"/>
        <c:axId val="477418463"/>
      </c:barChart>
      <c:catAx>
        <c:axId val="47742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18463"/>
        <c:crosses val="autoZero"/>
        <c:auto val="1"/>
        <c:lblAlgn val="ctr"/>
        <c:lblOffset val="100"/>
        <c:noMultiLvlLbl val="0"/>
      </c:catAx>
      <c:valAx>
        <c:axId val="4774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4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[m]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Sheet1!$F$56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Sheet1!$G$56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5-478A-ABE9-1DE3DE13412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Sheet1!$F$56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Sheet1!$H$56</c:f>
              <c:numCache>
                <c:formatCode>0.00%</c:formatCode>
                <c:ptCount val="1"/>
                <c:pt idx="0">
                  <c:v>4.7393364928909956E-3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5-478A-ABE9-1DE3DE134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12927"/>
        <c:axId val="484124575"/>
      </c:barChart>
      <c:catAx>
        <c:axId val="48411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4575"/>
        <c:crosses val="autoZero"/>
        <c:auto val="1"/>
        <c:lblAlgn val="ctr"/>
        <c:lblOffset val="100"/>
        <c:noMultiLvlLbl val="0"/>
      </c:catAx>
      <c:valAx>
        <c:axId val="48412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2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Sheet1!$F$58:$F$59</c:f>
              <c:strCache>
                <c:ptCount val="2"/>
                <c:pt idx="0">
                  <c:v>[p]</c:v>
                </c:pt>
                <c:pt idx="1">
                  <c:v>[pʰ]</c:v>
                </c:pt>
              </c:strCache>
            </c:strRef>
          </c:cat>
          <c:val>
            <c:numRef>
              <c:f>Sheet1!$G$58:$G$59</c:f>
              <c:numCache>
                <c:formatCode>General</c:formatCode>
                <c:ptCount val="2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C-4D4C-97F4-0FE763C6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421375"/>
        <c:axId val="4774238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Sheet1!$F$58:$F$59</c:f>
              <c:strCache>
                <c:ptCount val="2"/>
                <c:pt idx="0">
                  <c:v>[p]</c:v>
                </c:pt>
                <c:pt idx="1">
                  <c:v>[pʰ]</c:v>
                </c:pt>
              </c:strCache>
            </c:strRef>
          </c:cat>
          <c:val>
            <c:numRef>
              <c:f>Sheet1!$H$58:$H$59</c:f>
              <c:numCache>
                <c:formatCode>0.00%</c:formatCode>
                <c:ptCount val="2"/>
                <c:pt idx="0">
                  <c:v>5.5555555555555552E-2</c:v>
                </c:pt>
                <c:pt idx="1">
                  <c:v>6.1728395061728392E-3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C-4D4C-97F4-0FE763C6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427615"/>
        <c:axId val="477418047"/>
      </c:lineChart>
      <c:catAx>
        <c:axId val="4774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3871"/>
        <c:crosses val="autoZero"/>
        <c:auto val="1"/>
        <c:lblAlgn val="ctr"/>
        <c:lblOffset val="100"/>
        <c:noMultiLvlLbl val="0"/>
      </c:catAx>
      <c:valAx>
        <c:axId val="4774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1375"/>
        <c:crosses val="autoZero"/>
        <c:crossBetween val="between"/>
      </c:valAx>
      <c:valAx>
        <c:axId val="4774180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7615"/>
        <c:crosses val="max"/>
        <c:crossBetween val="between"/>
      </c:valAx>
      <c:catAx>
        <c:axId val="477427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74180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Sheet1!$F$61:$F$64</c:f>
              <c:strCache>
                <c:ptCount val="4"/>
                <c:pt idx="0">
                  <c:v>[t]</c:v>
                </c:pt>
                <c:pt idx="1">
                  <c:v>[ðˤ]</c:v>
                </c:pt>
                <c:pt idx="2">
                  <c:v>[tʰ]</c:v>
                </c:pt>
                <c:pt idx="3">
                  <c:v>[d]</c:v>
                </c:pt>
              </c:strCache>
            </c:strRef>
          </c:cat>
          <c:val>
            <c:numRef>
              <c:f>Sheet1!$G$61:$G$64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4-400D-9D4D-C203E8E51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624015"/>
        <c:axId val="51562484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Sheet1!$F$61:$F$64</c:f>
              <c:strCache>
                <c:ptCount val="4"/>
                <c:pt idx="0">
                  <c:v>[t]</c:v>
                </c:pt>
                <c:pt idx="1">
                  <c:v>[ðˤ]</c:v>
                </c:pt>
                <c:pt idx="2">
                  <c:v>[tʰ]</c:v>
                </c:pt>
                <c:pt idx="3">
                  <c:v>[d]</c:v>
                </c:pt>
              </c:strCache>
            </c:strRef>
          </c:cat>
          <c:val>
            <c:numRef>
              <c:f>Sheet1!$H$61:$H$64</c:f>
              <c:numCache>
                <c:formatCode>0.00%</c:formatCode>
                <c:ptCount val="4"/>
                <c:pt idx="0">
                  <c:v>5.5555555555555552E-2</c:v>
                </c:pt>
                <c:pt idx="1">
                  <c:v>1.8518518518518517E-2</c:v>
                </c:pt>
                <c:pt idx="2">
                  <c:v>1.8518518518518517E-2</c:v>
                </c:pt>
                <c:pt idx="3">
                  <c:v>1.8518518518518517E-2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4-400D-9D4D-C203E8E51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626927"/>
        <c:axId val="515634415"/>
      </c:lineChart>
      <c:catAx>
        <c:axId val="51562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4847"/>
        <c:crosses val="autoZero"/>
        <c:auto val="1"/>
        <c:lblAlgn val="ctr"/>
        <c:lblOffset val="100"/>
        <c:noMultiLvlLbl val="0"/>
      </c:catAx>
      <c:valAx>
        <c:axId val="51562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4015"/>
        <c:crosses val="autoZero"/>
        <c:crossBetween val="between"/>
      </c:valAx>
      <c:valAx>
        <c:axId val="51563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6927"/>
        <c:crosses val="max"/>
        <c:crossBetween val="between"/>
      </c:valAx>
      <c:catAx>
        <c:axId val="515626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56344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Sheet1!$F$66:$F$69</c:f>
              <c:strCache>
                <c:ptCount val="4"/>
                <c:pt idx="0">
                  <c:v>[t͡s]</c:v>
                </c:pt>
                <c:pt idx="1">
                  <c:v>[tʰ]</c:v>
                </c:pt>
                <c:pt idx="2">
                  <c:v>[d]</c:v>
                </c:pt>
                <c:pt idx="3">
                  <c:v>[b]</c:v>
                </c:pt>
              </c:strCache>
            </c:strRef>
          </c:cat>
          <c:val>
            <c:numRef>
              <c:f>Sheet1!$G$66:$G$69</c:f>
              <c:numCache>
                <c:formatCode>General</c:formatCode>
                <c:ptCount val="4"/>
                <c:pt idx="0">
                  <c:v>19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7-4D55-8845-CBD83A6FA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419295"/>
        <c:axId val="47742303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Sheet1!$F$66:$F$69</c:f>
              <c:strCache>
                <c:ptCount val="4"/>
                <c:pt idx="0">
                  <c:v>[t͡s]</c:v>
                </c:pt>
                <c:pt idx="1">
                  <c:v>[tʰ]</c:v>
                </c:pt>
                <c:pt idx="2">
                  <c:v>[d]</c:v>
                </c:pt>
                <c:pt idx="3">
                  <c:v>[b]</c:v>
                </c:pt>
              </c:strCache>
            </c:strRef>
          </c:cat>
          <c:val>
            <c:numRef>
              <c:f>Sheet1!$H$66:$H$69</c:f>
              <c:numCache>
                <c:formatCode>0.00%</c:formatCode>
                <c:ptCount val="4"/>
                <c:pt idx="0">
                  <c:v>0.12751677852348994</c:v>
                </c:pt>
                <c:pt idx="1">
                  <c:v>6.7114093959731544E-2</c:v>
                </c:pt>
                <c:pt idx="2">
                  <c:v>6.7114093959731542E-3</c:v>
                </c:pt>
                <c:pt idx="3">
                  <c:v>6.7114093959731542E-3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7-4D55-8845-CBD83A6FA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420127"/>
        <c:axId val="477430943"/>
      </c:lineChart>
      <c:catAx>
        <c:axId val="47741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3039"/>
        <c:crosses val="autoZero"/>
        <c:auto val="1"/>
        <c:lblAlgn val="ctr"/>
        <c:lblOffset val="100"/>
        <c:noMultiLvlLbl val="0"/>
      </c:catAx>
      <c:valAx>
        <c:axId val="47742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19295"/>
        <c:crosses val="autoZero"/>
        <c:crossBetween val="between"/>
      </c:valAx>
      <c:valAx>
        <c:axId val="4774309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0127"/>
        <c:crosses val="max"/>
        <c:crossBetween val="between"/>
      </c:valAx>
      <c:catAx>
        <c:axId val="477420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74309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Sheet1!$F$71:$F$75</c:f>
              <c:strCache>
                <c:ptCount val="5"/>
                <c:pt idx="0">
                  <c:v>[d̥]</c:v>
                </c:pt>
                <c:pt idx="1">
                  <c:v>[t]</c:v>
                </c:pt>
                <c:pt idx="2">
                  <c:v>[tʰ]</c:v>
                </c:pt>
                <c:pt idx="3">
                  <c:v>[dˤ]</c:v>
                </c:pt>
                <c:pt idx="4">
                  <c:v>[d]</c:v>
                </c:pt>
              </c:strCache>
            </c:strRef>
          </c:cat>
          <c:val>
            <c:numRef>
              <c:f>Sheet1!$G$71:$G$75</c:f>
              <c:numCache>
                <c:formatCode>General</c:formatCode>
                <c:ptCount val="5"/>
                <c:pt idx="0">
                  <c:v>9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2-4ABB-AD8C-02D07C0CD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323151"/>
        <c:axId val="3383281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Sheet1!$F$71:$F$75</c:f>
              <c:strCache>
                <c:ptCount val="5"/>
                <c:pt idx="0">
                  <c:v>[d̥]</c:v>
                </c:pt>
                <c:pt idx="1">
                  <c:v>[t]</c:v>
                </c:pt>
                <c:pt idx="2">
                  <c:v>[tʰ]</c:v>
                </c:pt>
                <c:pt idx="3">
                  <c:v>[dˤ]</c:v>
                </c:pt>
                <c:pt idx="4">
                  <c:v>[d]</c:v>
                </c:pt>
              </c:strCache>
            </c:strRef>
          </c:cat>
          <c:val>
            <c:numRef>
              <c:f>Sheet1!$H$71:$H$75</c:f>
              <c:numCache>
                <c:formatCode>0.00%</c:formatCode>
                <c:ptCount val="5"/>
                <c:pt idx="0">
                  <c:v>6.569343065693431E-2</c:v>
                </c:pt>
                <c:pt idx="1">
                  <c:v>5.8394160583941604E-2</c:v>
                </c:pt>
                <c:pt idx="2">
                  <c:v>7.2992700729927005E-3</c:v>
                </c:pt>
                <c:pt idx="3">
                  <c:v>7.2992700729927005E-3</c:v>
                </c:pt>
                <c:pt idx="4">
                  <c:v>7.2992700729927005E-3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2-4ABB-AD8C-02D07C0CD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325231"/>
        <c:axId val="338324399"/>
      </c:lineChart>
      <c:catAx>
        <c:axId val="33832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28143"/>
        <c:crosses val="autoZero"/>
        <c:auto val="1"/>
        <c:lblAlgn val="ctr"/>
        <c:lblOffset val="100"/>
        <c:noMultiLvlLbl val="0"/>
      </c:catAx>
      <c:valAx>
        <c:axId val="3383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23151"/>
        <c:crosses val="autoZero"/>
        <c:crossBetween val="between"/>
      </c:valAx>
      <c:valAx>
        <c:axId val="3383243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25231"/>
        <c:crosses val="max"/>
        <c:crossBetween val="between"/>
      </c:valAx>
      <c:catAx>
        <c:axId val="338325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83243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Sheet1!$F$77:$F$80</c:f>
              <c:strCache>
                <c:ptCount val="4"/>
                <c:pt idx="0">
                  <c:v>[d]</c:v>
                </c:pt>
                <c:pt idx="1">
                  <c:v>[tˤ]</c:v>
                </c:pt>
                <c:pt idx="2">
                  <c:v>[tˤ]</c:v>
                </c:pt>
                <c:pt idx="3">
                  <c:v>[t]</c:v>
                </c:pt>
              </c:strCache>
            </c:strRef>
          </c:cat>
          <c:val>
            <c:numRef>
              <c:f>Sheet1!$G$77:$G$80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0-4577-A034-662BB29A4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17503"/>
        <c:axId val="48411791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Sheet1!$F$77:$F$80</c:f>
              <c:strCache>
                <c:ptCount val="4"/>
                <c:pt idx="0">
                  <c:v>[d]</c:v>
                </c:pt>
                <c:pt idx="1">
                  <c:v>[tˤ]</c:v>
                </c:pt>
                <c:pt idx="2">
                  <c:v>[tˤ]</c:v>
                </c:pt>
                <c:pt idx="3">
                  <c:v>[t]</c:v>
                </c:pt>
              </c:strCache>
            </c:strRef>
          </c:cat>
          <c:val>
            <c:numRef>
              <c:f>Sheet1!$H$77:$H$80</c:f>
              <c:numCache>
                <c:formatCode>0.00%</c:formatCode>
                <c:ptCount val="4"/>
                <c:pt idx="0">
                  <c:v>0.16129032258064516</c:v>
                </c:pt>
                <c:pt idx="1">
                  <c:v>9.6774193548387094E-2</c:v>
                </c:pt>
                <c:pt idx="2">
                  <c:v>6.4516129032258063E-2</c:v>
                </c:pt>
                <c:pt idx="3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0-4577-A034-662BB29A4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19583"/>
        <c:axId val="484111679"/>
      </c:lineChart>
      <c:catAx>
        <c:axId val="48411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7919"/>
        <c:crosses val="autoZero"/>
        <c:auto val="1"/>
        <c:lblAlgn val="ctr"/>
        <c:lblOffset val="100"/>
        <c:noMultiLvlLbl val="0"/>
      </c:catAx>
      <c:valAx>
        <c:axId val="48411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7503"/>
        <c:crosses val="autoZero"/>
        <c:crossBetween val="between"/>
      </c:valAx>
      <c:valAx>
        <c:axId val="4841116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19583"/>
        <c:crosses val="max"/>
        <c:crossBetween val="between"/>
      </c:valAx>
      <c:catAx>
        <c:axId val="484119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41116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Sheet1!$F$82:$F$82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Sheet1!$G$82:$G$82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B-4927-84F7-BE03419D4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135423"/>
        <c:axId val="2841333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Sheet1!$F$82:$F$82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Sheet1!$H$82:$H$82</c:f>
              <c:numCache>
                <c:formatCode>0.00%</c:formatCode>
                <c:ptCount val="1"/>
                <c:pt idx="0">
                  <c:v>1.0638297872340425E-2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B-4927-84F7-BE03419D4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65631"/>
        <c:axId val="518664799"/>
      </c:lineChart>
      <c:catAx>
        <c:axId val="28413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33343"/>
        <c:crosses val="autoZero"/>
        <c:auto val="1"/>
        <c:lblAlgn val="ctr"/>
        <c:lblOffset val="100"/>
        <c:noMultiLvlLbl val="0"/>
      </c:catAx>
      <c:valAx>
        <c:axId val="28413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35423"/>
        <c:crosses val="autoZero"/>
        <c:crossBetween val="between"/>
      </c:valAx>
      <c:valAx>
        <c:axId val="5186647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65631"/>
        <c:crosses val="max"/>
        <c:crossBetween val="between"/>
      </c:valAx>
      <c:catAx>
        <c:axId val="518665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8664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Sheet2!$D$2:$D$18</c:f>
              <c:strCache>
                <c:ptCount val="17"/>
                <c:pt idx="0">
                  <c:v>degemination(reduce consonant cluster to one single consonant)</c:v>
                </c:pt>
                <c:pt idx="1">
                  <c:v>Diphthongization</c:v>
                </c:pt>
                <c:pt idx="2">
                  <c:v>Epenthesis(insert diphthong [i:] between  consnant cluster)</c:v>
                </c:pt>
                <c:pt idx="3">
                  <c:v>Epenthesis(insert vowel [ʊ]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germination</c:v>
                </c:pt>
                <c:pt idx="8">
                  <c:v>syllable structure process(final syllable deletion)</c:v>
                </c:pt>
                <c:pt idx="9">
                  <c:v>final consonant deletion</c:v>
                </c:pt>
                <c:pt idx="10">
                  <c:v>Vowelization</c:v>
                </c:pt>
                <c:pt idx="11">
                  <c:v>Monophthongization </c:v>
                </c:pt>
                <c:pt idx="12">
                  <c:v>Metathesis</c:v>
                </c:pt>
                <c:pt idx="13">
                  <c:v>syllable structure process (weak syllable deletion)</c:v>
                </c:pt>
                <c:pt idx="14">
                  <c:v>Vowel  nasalization</c:v>
                </c:pt>
                <c:pt idx="15">
                  <c:v>syllable structure process (consonant insertion of  [w] phone)</c:v>
                </c:pt>
                <c:pt idx="16">
                  <c:v>syllable structure process (consonant insertion of  [l] phone)</c:v>
                </c:pt>
              </c:strCache>
            </c:strRef>
          </c:cat>
          <c:val>
            <c:numRef>
              <c:f>Sheet2!$E$2:$E$18</c:f>
              <c:numCache>
                <c:formatCode>General</c:formatCode>
                <c:ptCount val="17"/>
                <c:pt idx="0">
                  <c:v>50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15</c:v>
                </c:pt>
                <c:pt idx="5">
                  <c:v>17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3-4E9E-B2C3-757194BD3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671455"/>
        <c:axId val="51866271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Sheet2!$D$2:$D$18</c:f>
              <c:strCache>
                <c:ptCount val="17"/>
                <c:pt idx="0">
                  <c:v>degemination(reduce consonant cluster to one single consonant)</c:v>
                </c:pt>
                <c:pt idx="1">
                  <c:v>Diphthongization</c:v>
                </c:pt>
                <c:pt idx="2">
                  <c:v>Epenthesis(insert diphthong [i:] between  consnant cluster)</c:v>
                </c:pt>
                <c:pt idx="3">
                  <c:v>Epenthesis(insert vowel [ʊ]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germination</c:v>
                </c:pt>
                <c:pt idx="8">
                  <c:v>syllable structure process(final syllable deletion)</c:v>
                </c:pt>
                <c:pt idx="9">
                  <c:v>final consonant deletion</c:v>
                </c:pt>
                <c:pt idx="10">
                  <c:v>Vowelization</c:v>
                </c:pt>
                <c:pt idx="11">
                  <c:v>Monophthongization </c:v>
                </c:pt>
                <c:pt idx="12">
                  <c:v>Metathesis</c:v>
                </c:pt>
                <c:pt idx="13">
                  <c:v>syllable structure process (weak syllable deletion)</c:v>
                </c:pt>
                <c:pt idx="14">
                  <c:v>Vowel  nasalization</c:v>
                </c:pt>
                <c:pt idx="15">
                  <c:v>syllable structure process (consonant insertion of  [w] phone)</c:v>
                </c:pt>
                <c:pt idx="16">
                  <c:v>syllable structure process (consonant insertion of  [l] phone)</c:v>
                </c:pt>
              </c:strCache>
            </c:strRef>
          </c:cat>
          <c:val>
            <c:numRef>
              <c:f>Sheet2!$F$2:$F$18</c:f>
              <c:numCache>
                <c:formatCode>0.00%</c:formatCode>
                <c:ptCount val="17"/>
                <c:pt idx="0">
                  <c:v>0.625</c:v>
                </c:pt>
                <c:pt idx="2">
                  <c:v>4.11522633744856E-3</c:v>
                </c:pt>
                <c:pt idx="3">
                  <c:v>8.23045267489712E-3</c:v>
                </c:pt>
                <c:pt idx="4">
                  <c:v>6.1728395061728392E-2</c:v>
                </c:pt>
                <c:pt idx="5">
                  <c:v>6.9958847736625515E-2</c:v>
                </c:pt>
                <c:pt idx="6">
                  <c:v>1.2345679012345678E-2</c:v>
                </c:pt>
                <c:pt idx="9">
                  <c:v>9.5923261390887284E-3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3-4E9E-B2C3-757194BD3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417631"/>
        <c:axId val="477416383"/>
      </c:lineChart>
      <c:catAx>
        <c:axId val="51867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62719"/>
        <c:crosses val="autoZero"/>
        <c:auto val="1"/>
        <c:lblAlgn val="ctr"/>
        <c:lblOffset val="100"/>
        <c:noMultiLvlLbl val="0"/>
      </c:catAx>
      <c:valAx>
        <c:axId val="51866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71455"/>
        <c:crosses val="autoZero"/>
        <c:crossBetween val="between"/>
      </c:valAx>
      <c:valAx>
        <c:axId val="477416383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477417631"/>
        <c:crosses val="max"/>
        <c:crossBetween val="between"/>
      </c:valAx>
      <c:catAx>
        <c:axId val="477417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74163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Sheet3!$D$2:$D$18</c:f>
              <c:strCache>
                <c:ptCount val="17"/>
                <c:pt idx="0">
                  <c:v>Definite Article deletion</c:v>
                </c:pt>
                <c:pt idx="1">
                  <c:v>replace the Modern Standard Arabic diphthong [æw]with the colloquial arabic vowel[o:]</c:v>
                </c:pt>
                <c:pt idx="2">
                  <c:v>consonant deletion  of [ʔ] phone affected by colloquial Arabic</c:v>
                </c:pt>
                <c:pt idx="3">
                  <c:v>Deletion of feminine marker</c:v>
                </c:pt>
                <c:pt idx="4">
                  <c:v>replace  [ʔ]with  [j] affected by colloquial arabic</c:v>
                </c:pt>
                <c:pt idx="5">
                  <c:v>replace  [j]with  [i:] affected by colloquial Arabic</c:v>
                </c:pt>
                <c:pt idx="6">
                  <c:v>insertion of  Definite Article[æl] to the following word</c:v>
                </c:pt>
                <c:pt idx="7">
                  <c:v>insertion of  Definite Article</c:v>
                </c:pt>
                <c:pt idx="8">
                  <c:v>replace the Modern Standard Arabic diphthong [æw]with the colloquial arabic vowel[u:]</c:v>
                </c:pt>
                <c:pt idx="9">
                  <c:v>misreading</c:v>
                </c:pt>
                <c:pt idx="10">
                  <c:v>replace the Modern Standard Arabic diphthong [æj]with the colloquial arabic vowel[e:]</c:v>
                </c:pt>
                <c:pt idx="11">
                  <c:v>replace the Modern Standard Arabic diphthong [ɑw]with the colloquial arabic vowel[o:]</c:v>
                </c:pt>
                <c:pt idx="12">
                  <c:v>replace the Modern Standard Arabic consonant [θ]with the colloquial arabic consonant [s]</c:v>
                </c:pt>
                <c:pt idx="13">
                  <c:v>replace the Modern Standard Arabic consonant [ðˤ]with the colloquial arabic consonant [zˤ]</c:v>
                </c:pt>
                <c:pt idx="14">
                  <c:v>replace the Modern Standard Arabic consonant [ð]with the colloquial arabic consonant [z]</c:v>
                </c:pt>
                <c:pt idx="15">
                  <c:v>replace feminine with masculine</c:v>
                </c:pt>
                <c:pt idx="16">
                  <c:v>replace adjective with noun</c:v>
                </c:pt>
              </c:strCache>
            </c:strRef>
          </c:cat>
          <c:val>
            <c:numRef>
              <c:f>Sheet3!$E$2:$E$18</c:f>
              <c:numCache>
                <c:formatCode>General</c:formatCode>
                <c:ptCount val="17"/>
                <c:pt idx="0">
                  <c:v>41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2-4F7B-A865-61264F00B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628175"/>
        <c:axId val="51562942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Sheet3!$D$2:$D$18</c:f>
              <c:strCache>
                <c:ptCount val="17"/>
                <c:pt idx="0">
                  <c:v>Definite Article deletion</c:v>
                </c:pt>
                <c:pt idx="1">
                  <c:v>replace the Modern Standard Arabic diphthong [æw]with the colloquial arabic vowel[o:]</c:v>
                </c:pt>
                <c:pt idx="2">
                  <c:v>consonant deletion  of [ʔ] phone affected by colloquial Arabic</c:v>
                </c:pt>
                <c:pt idx="3">
                  <c:v>Deletion of feminine marker</c:v>
                </c:pt>
                <c:pt idx="4">
                  <c:v>replace  [ʔ]with  [j] affected by colloquial arabic</c:v>
                </c:pt>
                <c:pt idx="5">
                  <c:v>replace  [j]with  [i:] affected by colloquial Arabic</c:v>
                </c:pt>
                <c:pt idx="6">
                  <c:v>insertion of  Definite Article[æl] to the following word</c:v>
                </c:pt>
                <c:pt idx="7">
                  <c:v>insertion of  Definite Article</c:v>
                </c:pt>
                <c:pt idx="8">
                  <c:v>replace the Modern Standard Arabic diphthong [æw]with the colloquial arabic vowel[u:]</c:v>
                </c:pt>
                <c:pt idx="9">
                  <c:v>misreading</c:v>
                </c:pt>
                <c:pt idx="10">
                  <c:v>replace the Modern Standard Arabic diphthong [æj]with the colloquial arabic vowel[e:]</c:v>
                </c:pt>
                <c:pt idx="11">
                  <c:v>replace the Modern Standard Arabic diphthong [ɑw]with the colloquial arabic vowel[o:]</c:v>
                </c:pt>
                <c:pt idx="12">
                  <c:v>replace the Modern Standard Arabic consonant [θ]with the colloquial arabic consonant [s]</c:v>
                </c:pt>
                <c:pt idx="13">
                  <c:v>replace the Modern Standard Arabic consonant [ðˤ]with the colloquial arabic consonant [zˤ]</c:v>
                </c:pt>
                <c:pt idx="14">
                  <c:v>replace the Modern Standard Arabic consonant [ð]with the colloquial arabic consonant [z]</c:v>
                </c:pt>
                <c:pt idx="15">
                  <c:v>replace feminine with masculine</c:v>
                </c:pt>
                <c:pt idx="16">
                  <c:v>replace adjective with noun</c:v>
                </c:pt>
              </c:strCache>
            </c:strRef>
          </c:cat>
          <c:val>
            <c:numRef>
              <c:f>Sheet3!$F$2:$F$18</c:f>
              <c:numCache>
                <c:formatCode>0.00%</c:formatCode>
                <c:ptCount val="17"/>
                <c:pt idx="0">
                  <c:v>0.28671328671328672</c:v>
                </c:pt>
                <c:pt idx="1">
                  <c:v>0.33333333333333331</c:v>
                </c:pt>
                <c:pt idx="10">
                  <c:v>4.1666666666666664E-2</c:v>
                </c:pt>
                <c:pt idx="11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2-4F7B-A865-61264F00B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633167"/>
        <c:axId val="515624431"/>
      </c:lineChart>
      <c:catAx>
        <c:axId val="51562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9423"/>
        <c:crosses val="autoZero"/>
        <c:auto val="1"/>
        <c:lblAlgn val="ctr"/>
        <c:lblOffset val="100"/>
        <c:noMultiLvlLbl val="0"/>
      </c:catAx>
      <c:valAx>
        <c:axId val="51562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8175"/>
        <c:crosses val="autoZero"/>
        <c:crossBetween val="between"/>
      </c:valAx>
      <c:valAx>
        <c:axId val="515624431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515633167"/>
        <c:crosses val="max"/>
        <c:crossBetween val="between"/>
      </c:valAx>
      <c:catAx>
        <c:axId val="5156331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56244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11306</xdr:colOff>
      <xdr:row>0</xdr:row>
      <xdr:rowOff>681823</xdr:rowOff>
    </xdr:from>
    <xdr:to>
      <xdr:col>15</xdr:col>
      <xdr:colOff>316106</xdr:colOff>
      <xdr:row>2</xdr:row>
      <xdr:rowOff>738554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24493</xdr:colOff>
      <xdr:row>4</xdr:row>
      <xdr:rowOff>41031</xdr:rowOff>
    </xdr:from>
    <xdr:to>
      <xdr:col>15</xdr:col>
      <xdr:colOff>329293</xdr:colOff>
      <xdr:row>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29936</xdr:colOff>
      <xdr:row>7</xdr:row>
      <xdr:rowOff>52754</xdr:rowOff>
    </xdr:from>
    <xdr:to>
      <xdr:col>15</xdr:col>
      <xdr:colOff>334736</xdr:colOff>
      <xdr:row>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24493</xdr:colOff>
      <xdr:row>9</xdr:row>
      <xdr:rowOff>23447</xdr:rowOff>
    </xdr:from>
    <xdr:to>
      <xdr:col>15</xdr:col>
      <xdr:colOff>329293</xdr:colOff>
      <xdr:row>10</xdr:row>
      <xdr:rowOff>1025770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67408</xdr:colOff>
      <xdr:row>12</xdr:row>
      <xdr:rowOff>26377</xdr:rowOff>
    </xdr:from>
    <xdr:to>
      <xdr:col>15</xdr:col>
      <xdr:colOff>372208</xdr:colOff>
      <xdr:row>12</xdr:row>
      <xdr:rowOff>1611923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14654</xdr:colOff>
      <xdr:row>14</xdr:row>
      <xdr:rowOff>213947</xdr:rowOff>
    </xdr:from>
    <xdr:to>
      <xdr:col>15</xdr:col>
      <xdr:colOff>319454</xdr:colOff>
      <xdr:row>15</xdr:row>
      <xdr:rowOff>1606062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26377</xdr:colOff>
      <xdr:row>17</xdr:row>
      <xdr:rowOff>82061</xdr:rowOff>
    </xdr:from>
    <xdr:to>
      <xdr:col>15</xdr:col>
      <xdr:colOff>331177</xdr:colOff>
      <xdr:row>17</xdr:row>
      <xdr:rowOff>1594338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2931</xdr:colOff>
      <xdr:row>19</xdr:row>
      <xdr:rowOff>82060</xdr:rowOff>
    </xdr:from>
    <xdr:to>
      <xdr:col>15</xdr:col>
      <xdr:colOff>307731</xdr:colOff>
      <xdr:row>20</xdr:row>
      <xdr:rowOff>1541585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26377</xdr:colOff>
      <xdr:row>22</xdr:row>
      <xdr:rowOff>41030</xdr:rowOff>
    </xdr:from>
    <xdr:to>
      <xdr:col>15</xdr:col>
      <xdr:colOff>331177</xdr:colOff>
      <xdr:row>26</xdr:row>
      <xdr:rowOff>732691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26377</xdr:colOff>
      <xdr:row>28</xdr:row>
      <xdr:rowOff>82061</xdr:rowOff>
    </xdr:from>
    <xdr:to>
      <xdr:col>15</xdr:col>
      <xdr:colOff>331177</xdr:colOff>
      <xdr:row>30</xdr:row>
      <xdr:rowOff>744415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49824</xdr:colOff>
      <xdr:row>32</xdr:row>
      <xdr:rowOff>82061</xdr:rowOff>
    </xdr:from>
    <xdr:to>
      <xdr:col>15</xdr:col>
      <xdr:colOff>354624</xdr:colOff>
      <xdr:row>32</xdr:row>
      <xdr:rowOff>1811216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26377</xdr:colOff>
      <xdr:row>34</xdr:row>
      <xdr:rowOff>196362</xdr:rowOff>
    </xdr:from>
    <xdr:to>
      <xdr:col>15</xdr:col>
      <xdr:colOff>331177</xdr:colOff>
      <xdr:row>37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8793</xdr:colOff>
      <xdr:row>38</xdr:row>
      <xdr:rowOff>41030</xdr:rowOff>
    </xdr:from>
    <xdr:to>
      <xdr:col>15</xdr:col>
      <xdr:colOff>313593</xdr:colOff>
      <xdr:row>39</xdr:row>
      <xdr:rowOff>914400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32239</xdr:colOff>
      <xdr:row>41</xdr:row>
      <xdr:rowOff>14654</xdr:rowOff>
    </xdr:from>
    <xdr:to>
      <xdr:col>15</xdr:col>
      <xdr:colOff>337039</xdr:colOff>
      <xdr:row>44</xdr:row>
      <xdr:rowOff>29308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589084</xdr:colOff>
      <xdr:row>44</xdr:row>
      <xdr:rowOff>8792</xdr:rowOff>
    </xdr:from>
    <xdr:to>
      <xdr:col>15</xdr:col>
      <xdr:colOff>301869</xdr:colOff>
      <xdr:row>45</xdr:row>
      <xdr:rowOff>1488831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583223</xdr:colOff>
      <xdr:row>47</xdr:row>
      <xdr:rowOff>58615</xdr:rowOff>
    </xdr:from>
    <xdr:to>
      <xdr:col>15</xdr:col>
      <xdr:colOff>296008</xdr:colOff>
      <xdr:row>49</xdr:row>
      <xdr:rowOff>738553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8791</xdr:colOff>
      <xdr:row>53</xdr:row>
      <xdr:rowOff>2932</xdr:rowOff>
    </xdr:from>
    <xdr:to>
      <xdr:col>15</xdr:col>
      <xdr:colOff>322384</xdr:colOff>
      <xdr:row>53</xdr:row>
      <xdr:rowOff>1840523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2931</xdr:colOff>
      <xdr:row>55</xdr:row>
      <xdr:rowOff>70338</xdr:rowOff>
    </xdr:from>
    <xdr:to>
      <xdr:col>15</xdr:col>
      <xdr:colOff>307731</xdr:colOff>
      <xdr:row>55</xdr:row>
      <xdr:rowOff>2050473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8793</xdr:colOff>
      <xdr:row>57</xdr:row>
      <xdr:rowOff>8791</xdr:rowOff>
    </xdr:from>
    <xdr:to>
      <xdr:col>15</xdr:col>
      <xdr:colOff>313593</xdr:colOff>
      <xdr:row>58</xdr:row>
      <xdr:rowOff>1359876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14654</xdr:colOff>
      <xdr:row>60</xdr:row>
      <xdr:rowOff>27709</xdr:rowOff>
    </xdr:from>
    <xdr:to>
      <xdr:col>15</xdr:col>
      <xdr:colOff>319454</xdr:colOff>
      <xdr:row>63</xdr:row>
      <xdr:rowOff>761999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8793</xdr:colOff>
      <xdr:row>65</xdr:row>
      <xdr:rowOff>69272</xdr:rowOff>
    </xdr:from>
    <xdr:to>
      <xdr:col>15</xdr:col>
      <xdr:colOff>313593</xdr:colOff>
      <xdr:row>68</xdr:row>
      <xdr:rowOff>713509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2931</xdr:colOff>
      <xdr:row>70</xdr:row>
      <xdr:rowOff>2930</xdr:rowOff>
    </xdr:from>
    <xdr:to>
      <xdr:col>15</xdr:col>
      <xdr:colOff>307731</xdr:colOff>
      <xdr:row>74</xdr:row>
      <xdr:rowOff>678873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8793</xdr:colOff>
      <xdr:row>76</xdr:row>
      <xdr:rowOff>26375</xdr:rowOff>
    </xdr:from>
    <xdr:to>
      <xdr:col>15</xdr:col>
      <xdr:colOff>313593</xdr:colOff>
      <xdr:row>79</xdr:row>
      <xdr:rowOff>720968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2932</xdr:colOff>
      <xdr:row>81</xdr:row>
      <xdr:rowOff>0</xdr:rowOff>
    </xdr:from>
    <xdr:to>
      <xdr:col>15</xdr:col>
      <xdr:colOff>307732</xdr:colOff>
      <xdr:row>81</xdr:row>
      <xdr:rowOff>1617785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21166</xdr:colOff>
      <xdr:row>0</xdr:row>
      <xdr:rowOff>42333</xdr:rowOff>
    </xdr:from>
    <xdr:to>
      <xdr:col>20</xdr:col>
      <xdr:colOff>126999</xdr:colOff>
      <xdr:row>18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598170</xdr:colOff>
      <xdr:row>0</xdr:row>
      <xdr:rowOff>0</xdr:rowOff>
    </xdr:from>
    <xdr:to>
      <xdr:col>18</xdr:col>
      <xdr:colOff>30480</xdr:colOff>
      <xdr:row>17</xdr:row>
      <xdr:rowOff>220980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45"/>
  <sheetViews>
    <sheetView tabSelected="1" zoomScale="110" zoomScaleNormal="110" workbookViewId="0">
      <selection activeCell="K1" sqref="K1"/>
    </sheetView>
  </sheetViews>
  <sheetFormatPr defaultRowHeight="60" customHeight="1" x14ac:dyDescent="0.3"/>
  <cols>
    <col min="2" max="3" width="11.21875" customWidth="1"/>
    <col min="4" max="4" width="10.33203125" customWidth="1"/>
    <col min="5" max="5" width="42.33203125" style="16" customWidth="1"/>
    <col min="6" max="6" width="7.33203125" customWidth="1"/>
    <col min="7" max="7" width="10.77734375" customWidth="1"/>
    <col min="8" max="8" width="8.6640625" style="83" customWidth="1"/>
  </cols>
  <sheetData>
    <row r="1" spans="2:8" s="9" customFormat="1" ht="60" customHeight="1" thickTop="1" thickBot="1" x14ac:dyDescent="0.45">
      <c r="B1" s="20" t="s">
        <v>120</v>
      </c>
      <c r="C1" s="20" t="s">
        <v>142</v>
      </c>
      <c r="D1" s="20" t="s">
        <v>121</v>
      </c>
      <c r="E1" s="21" t="s">
        <v>122</v>
      </c>
      <c r="F1" s="20"/>
      <c r="G1" s="20" t="s">
        <v>132</v>
      </c>
      <c r="H1" s="91" t="s">
        <v>188</v>
      </c>
    </row>
    <row r="2" spans="2:8" ht="60" customHeight="1" thickTop="1" thickBot="1" x14ac:dyDescent="0.35">
      <c r="B2" s="125" t="s">
        <v>93</v>
      </c>
      <c r="C2" s="125">
        <v>225</v>
      </c>
      <c r="D2" s="129" t="s">
        <v>91</v>
      </c>
      <c r="E2" s="22" t="s">
        <v>47</v>
      </c>
      <c r="F2" s="23" t="s">
        <v>215</v>
      </c>
      <c r="G2" s="23">
        <v>3</v>
      </c>
      <c r="H2" s="71">
        <f>G2/225</f>
        <v>1.3333333333333334E-2</v>
      </c>
    </row>
    <row r="3" spans="2:8" ht="60" customHeight="1" thickTop="1" thickBot="1" x14ac:dyDescent="0.35">
      <c r="B3" s="125"/>
      <c r="C3" s="125"/>
      <c r="D3" s="129"/>
      <c r="E3" s="22" t="s">
        <v>133</v>
      </c>
      <c r="F3" s="23" t="s">
        <v>156</v>
      </c>
      <c r="G3" s="23">
        <v>1</v>
      </c>
      <c r="H3" s="71">
        <f>G3/225</f>
        <v>4.4444444444444444E-3</v>
      </c>
    </row>
    <row r="4" spans="2:8" ht="25.8" customHeight="1" thickTop="1" thickBot="1" x14ac:dyDescent="0.35">
      <c r="B4" s="102" t="s">
        <v>191</v>
      </c>
      <c r="C4" s="102">
        <v>225</v>
      </c>
      <c r="D4" s="101"/>
      <c r="E4" s="22"/>
      <c r="F4" s="23"/>
      <c r="G4" s="23">
        <f>SUM(G2:G3)</f>
        <v>4</v>
      </c>
      <c r="H4" s="71">
        <f>G4/225</f>
        <v>1.7777777777777778E-2</v>
      </c>
    </row>
    <row r="5" spans="2:8" ht="60" customHeight="1" thickTop="1" thickBot="1" x14ac:dyDescent="0.35">
      <c r="B5" s="126" t="s">
        <v>94</v>
      </c>
      <c r="C5" s="126">
        <v>309</v>
      </c>
      <c r="D5" s="128" t="s">
        <v>92</v>
      </c>
      <c r="E5" s="24" t="s">
        <v>6</v>
      </c>
      <c r="F5" s="25" t="s">
        <v>155</v>
      </c>
      <c r="G5" s="25">
        <v>3</v>
      </c>
      <c r="H5" s="72">
        <f>G5/309</f>
        <v>9.7087378640776691E-3</v>
      </c>
    </row>
    <row r="6" spans="2:8" ht="60" customHeight="1" thickTop="1" thickBot="1" x14ac:dyDescent="0.35">
      <c r="B6" s="126"/>
      <c r="C6" s="126"/>
      <c r="D6" s="128"/>
      <c r="E6" s="24" t="s">
        <v>149</v>
      </c>
      <c r="F6" s="25" t="s">
        <v>157</v>
      </c>
      <c r="G6" s="25">
        <v>1</v>
      </c>
      <c r="H6" s="72">
        <f t="shared" ref="H6:H7" si="0">G6/309</f>
        <v>3.2362459546925568E-3</v>
      </c>
    </row>
    <row r="7" spans="2:8" ht="22.8" customHeight="1" thickTop="1" thickBot="1" x14ac:dyDescent="0.35">
      <c r="B7" s="100" t="s">
        <v>192</v>
      </c>
      <c r="C7" s="100">
        <v>309</v>
      </c>
      <c r="D7" s="99"/>
      <c r="E7" s="24"/>
      <c r="F7" s="25"/>
      <c r="G7" s="25">
        <f>SUM(G5:G6)</f>
        <v>4</v>
      </c>
      <c r="H7" s="72">
        <f t="shared" si="0"/>
        <v>1.2944983818770227E-2</v>
      </c>
    </row>
    <row r="8" spans="2:8" ht="120.6" customHeight="1" thickTop="1" thickBot="1" x14ac:dyDescent="0.35">
      <c r="B8" s="26" t="s">
        <v>95</v>
      </c>
      <c r="C8" s="26">
        <v>124</v>
      </c>
      <c r="D8" s="27" t="s">
        <v>66</v>
      </c>
      <c r="E8" s="28" t="s">
        <v>138</v>
      </c>
      <c r="F8" s="29" t="s">
        <v>158</v>
      </c>
      <c r="G8" s="29">
        <v>1</v>
      </c>
      <c r="H8" s="73">
        <f>G8/C8</f>
        <v>8.0645161290322578E-3</v>
      </c>
    </row>
    <row r="9" spans="2:8" ht="22.8" customHeight="1" thickTop="1" thickBot="1" x14ac:dyDescent="0.35">
      <c r="B9" s="104" t="s">
        <v>193</v>
      </c>
      <c r="C9" s="104">
        <v>124</v>
      </c>
      <c r="D9" s="105"/>
      <c r="E9" s="28"/>
      <c r="F9" s="29"/>
      <c r="G9" s="29">
        <f>SUM(G8)</f>
        <v>1</v>
      </c>
      <c r="H9" s="73">
        <f>G9/C9</f>
        <v>8.0645161290322578E-3</v>
      </c>
    </row>
    <row r="10" spans="2:8" ht="82.2" customHeight="1" thickTop="1" thickBot="1" x14ac:dyDescent="0.35">
      <c r="B10" s="127" t="s">
        <v>96</v>
      </c>
      <c r="C10" s="127">
        <v>23</v>
      </c>
      <c r="D10" s="130" t="s">
        <v>67</v>
      </c>
      <c r="E10" s="30" t="s">
        <v>128</v>
      </c>
      <c r="F10" s="31" t="s">
        <v>159</v>
      </c>
      <c r="G10" s="31">
        <v>3</v>
      </c>
      <c r="H10" s="74">
        <f>G10/23</f>
        <v>0.13043478260869565</v>
      </c>
    </row>
    <row r="11" spans="2:8" ht="84.6" customHeight="1" thickTop="1" thickBot="1" x14ac:dyDescent="0.35">
      <c r="B11" s="127"/>
      <c r="C11" s="127"/>
      <c r="D11" s="130"/>
      <c r="E11" s="30" t="s">
        <v>134</v>
      </c>
      <c r="F11" s="31" t="s">
        <v>160</v>
      </c>
      <c r="G11" s="31">
        <v>2</v>
      </c>
      <c r="H11" s="74">
        <f>G11/23</f>
        <v>8.6956521739130432E-2</v>
      </c>
    </row>
    <row r="12" spans="2:8" ht="23.4" customHeight="1" thickTop="1" thickBot="1" x14ac:dyDescent="0.35">
      <c r="B12" s="115" t="s">
        <v>194</v>
      </c>
      <c r="C12" s="111">
        <v>23</v>
      </c>
      <c r="D12" s="112"/>
      <c r="E12" s="30"/>
      <c r="F12" s="31"/>
      <c r="G12" s="31">
        <f>SUM(G10:G11)</f>
        <v>5</v>
      </c>
      <c r="H12" s="74">
        <f>G12/23</f>
        <v>0.21739130434782608</v>
      </c>
    </row>
    <row r="13" spans="2:8" ht="129.6" customHeight="1" thickTop="1" thickBot="1" x14ac:dyDescent="0.35">
      <c r="B13" s="32" t="s">
        <v>97</v>
      </c>
      <c r="C13" s="32">
        <v>55</v>
      </c>
      <c r="D13" s="33" t="s">
        <v>68</v>
      </c>
      <c r="E13" s="34" t="s">
        <v>19</v>
      </c>
      <c r="F13" s="35" t="s">
        <v>159</v>
      </c>
      <c r="G13" s="35">
        <v>5</v>
      </c>
      <c r="H13" s="75">
        <f>G13/C13</f>
        <v>9.0909090909090912E-2</v>
      </c>
    </row>
    <row r="14" spans="2:8" ht="23.4" customHeight="1" thickTop="1" thickBot="1" x14ac:dyDescent="0.35">
      <c r="B14" s="100" t="s">
        <v>195</v>
      </c>
      <c r="C14" s="100">
        <v>55</v>
      </c>
      <c r="D14" s="99"/>
      <c r="E14" s="34"/>
      <c r="F14" s="35"/>
      <c r="G14" s="35">
        <v>5</v>
      </c>
      <c r="H14" s="75">
        <f>G14/C14</f>
        <v>9.0909090909090912E-2</v>
      </c>
    </row>
    <row r="15" spans="2:8" ht="18" customHeight="1" thickTop="1" thickBot="1" x14ac:dyDescent="0.35">
      <c r="B15" s="26" t="s">
        <v>98</v>
      </c>
      <c r="C15" s="26">
        <v>27</v>
      </c>
      <c r="D15" s="27" t="s">
        <v>69</v>
      </c>
      <c r="E15" s="36" t="s">
        <v>10</v>
      </c>
      <c r="F15" s="37" t="s">
        <v>161</v>
      </c>
      <c r="G15" s="37"/>
      <c r="H15" s="76">
        <f t="shared" ref="H15" si="1">G15/C15</f>
        <v>0</v>
      </c>
    </row>
    <row r="16" spans="2:8" ht="129" customHeight="1" thickTop="1" thickBot="1" x14ac:dyDescent="0.35">
      <c r="B16" s="38" t="s">
        <v>99</v>
      </c>
      <c r="C16" s="38">
        <v>19</v>
      </c>
      <c r="D16" s="39" t="s">
        <v>70</v>
      </c>
      <c r="E16" s="22" t="s">
        <v>20</v>
      </c>
      <c r="F16" s="23" t="s">
        <v>161</v>
      </c>
      <c r="G16" s="23">
        <v>1</v>
      </c>
      <c r="H16" s="71">
        <f>G16/C16</f>
        <v>5.2631578947368418E-2</v>
      </c>
    </row>
    <row r="17" spans="2:8" ht="22.2" customHeight="1" thickTop="1" thickBot="1" x14ac:dyDescent="0.35">
      <c r="B17" s="102" t="s">
        <v>196</v>
      </c>
      <c r="C17" s="102">
        <v>19</v>
      </c>
      <c r="D17" s="101"/>
      <c r="E17" s="22"/>
      <c r="F17" s="23"/>
      <c r="G17" s="23">
        <v>1</v>
      </c>
      <c r="H17" s="71">
        <f>G17/C17</f>
        <v>5.2631578947368418E-2</v>
      </c>
    </row>
    <row r="18" spans="2:8" ht="127.8" customHeight="1" thickTop="1" thickBot="1" x14ac:dyDescent="0.35">
      <c r="B18" s="115" t="s">
        <v>100</v>
      </c>
      <c r="C18" s="40">
        <v>36</v>
      </c>
      <c r="D18" s="40" t="s">
        <v>71</v>
      </c>
      <c r="E18" s="41" t="s">
        <v>14</v>
      </c>
      <c r="F18" s="42" t="s">
        <v>162</v>
      </c>
      <c r="G18" s="42">
        <v>1</v>
      </c>
      <c r="H18" s="77">
        <f>G18/C18</f>
        <v>2.7777777777777776E-2</v>
      </c>
    </row>
    <row r="19" spans="2:8" ht="18.600000000000001" customHeight="1" thickTop="1" thickBot="1" x14ac:dyDescent="0.35">
      <c r="B19" s="115" t="s">
        <v>197</v>
      </c>
      <c r="C19" s="111">
        <v>36</v>
      </c>
      <c r="D19" s="111"/>
      <c r="E19" s="41"/>
      <c r="F19" s="42"/>
      <c r="G19" s="42">
        <v>1</v>
      </c>
      <c r="H19" s="77">
        <f>G19/C19</f>
        <v>2.7777777777777776E-2</v>
      </c>
    </row>
    <row r="20" spans="2:8" ht="60" customHeight="1" thickTop="1" thickBot="1" x14ac:dyDescent="0.35">
      <c r="B20" s="126" t="s">
        <v>101</v>
      </c>
      <c r="C20" s="126">
        <v>84</v>
      </c>
      <c r="D20" s="128" t="s">
        <v>72</v>
      </c>
      <c r="E20" s="43" t="s">
        <v>17</v>
      </c>
      <c r="F20" s="25" t="s">
        <v>163</v>
      </c>
      <c r="G20" s="25">
        <v>36</v>
      </c>
      <c r="H20" s="72">
        <f>G20/C20</f>
        <v>0.42857142857142855</v>
      </c>
    </row>
    <row r="21" spans="2:8" ht="124.8" customHeight="1" thickTop="1" thickBot="1" x14ac:dyDescent="0.35">
      <c r="B21" s="126"/>
      <c r="C21" s="126"/>
      <c r="D21" s="128"/>
      <c r="E21" s="24" t="s">
        <v>15</v>
      </c>
      <c r="F21" s="25" t="s">
        <v>164</v>
      </c>
      <c r="G21" s="25">
        <v>1</v>
      </c>
      <c r="H21" s="72">
        <f>G21/84</f>
        <v>1.1904761904761904E-2</v>
      </c>
    </row>
    <row r="22" spans="2:8" ht="22.2" customHeight="1" thickTop="1" thickBot="1" x14ac:dyDescent="0.35">
      <c r="B22" s="100" t="s">
        <v>198</v>
      </c>
      <c r="C22" s="100">
        <v>84</v>
      </c>
      <c r="D22" s="99"/>
      <c r="E22" s="24"/>
      <c r="F22" s="25"/>
      <c r="G22" s="25">
        <f>SUM(G20:G21)</f>
        <v>37</v>
      </c>
      <c r="H22" s="72">
        <f>G22/84</f>
        <v>0.44047619047619047</v>
      </c>
    </row>
    <row r="23" spans="2:8" ht="60" customHeight="1" thickTop="1" thickBot="1" x14ac:dyDescent="0.35">
      <c r="B23" s="132" t="s">
        <v>102</v>
      </c>
      <c r="C23" s="132">
        <v>72</v>
      </c>
      <c r="D23" s="131" t="s">
        <v>73</v>
      </c>
      <c r="E23" s="44" t="s">
        <v>135</v>
      </c>
      <c r="F23" s="37" t="s">
        <v>165</v>
      </c>
      <c r="G23" s="37">
        <v>19</v>
      </c>
      <c r="H23" s="76">
        <f>G23/72</f>
        <v>0.2638888888888889</v>
      </c>
    </row>
    <row r="24" spans="2:8" ht="60" customHeight="1" thickTop="1" thickBot="1" x14ac:dyDescent="0.35">
      <c r="B24" s="132"/>
      <c r="C24" s="132"/>
      <c r="D24" s="131"/>
      <c r="E24" s="44" t="s">
        <v>31</v>
      </c>
      <c r="F24" s="37" t="s">
        <v>166</v>
      </c>
      <c r="G24" s="37">
        <v>3</v>
      </c>
      <c r="H24" s="76">
        <f t="shared" ref="H24:H28" si="2">G24/72</f>
        <v>4.1666666666666664E-2</v>
      </c>
    </row>
    <row r="25" spans="2:8" ht="60" customHeight="1" thickTop="1" thickBot="1" x14ac:dyDescent="0.35">
      <c r="B25" s="132"/>
      <c r="C25" s="132"/>
      <c r="D25" s="131"/>
      <c r="E25" s="36" t="s">
        <v>26</v>
      </c>
      <c r="F25" s="37" t="s">
        <v>167</v>
      </c>
      <c r="G25" s="37">
        <v>2</v>
      </c>
      <c r="H25" s="76">
        <f t="shared" si="2"/>
        <v>2.7777777777777776E-2</v>
      </c>
    </row>
    <row r="26" spans="2:8" ht="60" customHeight="1" thickTop="1" thickBot="1" x14ac:dyDescent="0.35">
      <c r="B26" s="132"/>
      <c r="C26" s="132"/>
      <c r="D26" s="131"/>
      <c r="E26" s="36" t="s">
        <v>38</v>
      </c>
      <c r="F26" s="37" t="s">
        <v>168</v>
      </c>
      <c r="G26" s="37">
        <v>1</v>
      </c>
      <c r="H26" s="76">
        <f t="shared" si="2"/>
        <v>1.3888888888888888E-2</v>
      </c>
    </row>
    <row r="27" spans="2:8" ht="60" customHeight="1" thickTop="1" thickBot="1" x14ac:dyDescent="0.35">
      <c r="B27" s="132"/>
      <c r="C27" s="132"/>
      <c r="D27" s="131"/>
      <c r="E27" s="44" t="s">
        <v>127</v>
      </c>
      <c r="F27" s="37" t="s">
        <v>169</v>
      </c>
      <c r="G27" s="37">
        <v>1</v>
      </c>
      <c r="H27" s="76">
        <f t="shared" si="2"/>
        <v>1.3888888888888888E-2</v>
      </c>
    </row>
    <row r="28" spans="2:8" ht="23.4" customHeight="1" thickTop="1" thickBot="1" x14ac:dyDescent="0.35">
      <c r="B28" s="104" t="s">
        <v>199</v>
      </c>
      <c r="C28" s="104">
        <v>72</v>
      </c>
      <c r="D28" s="105"/>
      <c r="E28" s="44"/>
      <c r="F28" s="37"/>
      <c r="G28" s="37">
        <f>SUM(G23:G27)</f>
        <v>26</v>
      </c>
      <c r="H28" s="76">
        <f t="shared" si="2"/>
        <v>0.3611111111111111</v>
      </c>
    </row>
    <row r="29" spans="2:8" ht="60" customHeight="1" thickTop="1" thickBot="1" x14ac:dyDescent="0.35">
      <c r="B29" s="125" t="s">
        <v>103</v>
      </c>
      <c r="C29" s="125">
        <v>56</v>
      </c>
      <c r="D29" s="129" t="s">
        <v>74</v>
      </c>
      <c r="E29" s="22" t="s">
        <v>7</v>
      </c>
      <c r="F29" s="23" t="s">
        <v>170</v>
      </c>
      <c r="G29" s="23">
        <v>29</v>
      </c>
      <c r="H29" s="71">
        <f>G29/56</f>
        <v>0.5178571428571429</v>
      </c>
    </row>
    <row r="30" spans="2:8" ht="60" customHeight="1" thickTop="1" thickBot="1" x14ac:dyDescent="0.35">
      <c r="B30" s="125"/>
      <c r="C30" s="125"/>
      <c r="D30" s="129"/>
      <c r="E30" s="22" t="s">
        <v>8</v>
      </c>
      <c r="F30" s="23" t="s">
        <v>169</v>
      </c>
      <c r="G30" s="23">
        <v>1</v>
      </c>
      <c r="H30" s="71">
        <f t="shared" ref="H30:H32" si="3">G30/56</f>
        <v>1.7857142857142856E-2</v>
      </c>
    </row>
    <row r="31" spans="2:8" ht="60" customHeight="1" thickTop="1" thickBot="1" x14ac:dyDescent="0.35">
      <c r="B31" s="125"/>
      <c r="C31" s="125"/>
      <c r="D31" s="129"/>
      <c r="E31" s="22" t="s">
        <v>148</v>
      </c>
      <c r="F31" s="23" t="s">
        <v>157</v>
      </c>
      <c r="G31" s="23">
        <v>1</v>
      </c>
      <c r="H31" s="71">
        <f t="shared" si="3"/>
        <v>1.7857142857142856E-2</v>
      </c>
    </row>
    <row r="32" spans="2:8" ht="19.8" customHeight="1" thickTop="1" thickBot="1" x14ac:dyDescent="0.35">
      <c r="B32" s="102" t="s">
        <v>200</v>
      </c>
      <c r="C32" s="102">
        <v>56</v>
      </c>
      <c r="D32" s="101"/>
      <c r="E32" s="22"/>
      <c r="F32" s="23"/>
      <c r="G32" s="23">
        <f>SUM(G29:G31)</f>
        <v>31</v>
      </c>
      <c r="H32" s="71">
        <f t="shared" si="3"/>
        <v>0.5535714285714286</v>
      </c>
    </row>
    <row r="33" spans="2:8" ht="145.19999999999999" customHeight="1" thickTop="1" thickBot="1" x14ac:dyDescent="0.35">
      <c r="B33" s="116" t="s">
        <v>104</v>
      </c>
      <c r="C33" s="45">
        <v>48</v>
      </c>
      <c r="D33" s="46" t="s">
        <v>75</v>
      </c>
      <c r="E33" s="57" t="s">
        <v>21</v>
      </c>
      <c r="F33" s="48" t="s">
        <v>159</v>
      </c>
      <c r="G33" s="48">
        <v>1</v>
      </c>
      <c r="H33" s="78">
        <f>G33/C33</f>
        <v>2.0833333333333332E-2</v>
      </c>
    </row>
    <row r="34" spans="2:8" ht="21" customHeight="1" thickTop="1" thickBot="1" x14ac:dyDescent="0.35">
      <c r="B34" s="116" t="s">
        <v>201</v>
      </c>
      <c r="C34" s="114">
        <v>48</v>
      </c>
      <c r="D34" s="46"/>
      <c r="E34" s="57"/>
      <c r="F34" s="48"/>
      <c r="G34" s="48">
        <v>1</v>
      </c>
      <c r="H34" s="78">
        <f>G34/C34</f>
        <v>2.0833333333333332E-2</v>
      </c>
    </row>
    <row r="35" spans="2:8" ht="19.8" customHeight="1" thickTop="1" thickBot="1" x14ac:dyDescent="0.35">
      <c r="B35" s="32" t="s">
        <v>105</v>
      </c>
      <c r="C35" s="32">
        <v>41</v>
      </c>
      <c r="D35" s="33" t="s">
        <v>76</v>
      </c>
      <c r="E35" s="24" t="s">
        <v>125</v>
      </c>
      <c r="F35" s="25" t="s">
        <v>164</v>
      </c>
      <c r="G35" s="25">
        <v>0</v>
      </c>
      <c r="H35" s="72">
        <v>0</v>
      </c>
    </row>
    <row r="36" spans="2:8" ht="60" customHeight="1" thickTop="1" thickBot="1" x14ac:dyDescent="0.35">
      <c r="B36" s="133" t="s">
        <v>106</v>
      </c>
      <c r="C36" s="134">
        <v>39</v>
      </c>
      <c r="D36" s="138" t="s">
        <v>77</v>
      </c>
      <c r="E36" s="49" t="s">
        <v>40</v>
      </c>
      <c r="F36" s="50" t="s">
        <v>171</v>
      </c>
      <c r="G36" s="50">
        <v>36</v>
      </c>
      <c r="H36" s="79">
        <f>G36/39</f>
        <v>0.92307692307692313</v>
      </c>
    </row>
    <row r="37" spans="2:8" ht="60" customHeight="1" thickTop="1" thickBot="1" x14ac:dyDescent="0.35">
      <c r="B37" s="134"/>
      <c r="C37" s="134"/>
      <c r="D37" s="138"/>
      <c r="E37" s="51" t="s">
        <v>16</v>
      </c>
      <c r="F37" s="50" t="s">
        <v>172</v>
      </c>
      <c r="G37" s="50">
        <v>2</v>
      </c>
      <c r="H37" s="79">
        <f t="shared" ref="H37:H38" si="4">G37/39</f>
        <v>5.128205128205128E-2</v>
      </c>
    </row>
    <row r="38" spans="2:8" ht="24" customHeight="1" thickTop="1" thickBot="1" x14ac:dyDescent="0.35">
      <c r="B38" s="117" t="s">
        <v>202</v>
      </c>
      <c r="C38" s="107">
        <v>39</v>
      </c>
      <c r="D38" s="110"/>
      <c r="E38" s="51"/>
      <c r="F38" s="50"/>
      <c r="G38" s="50">
        <f>SUM(G36:G37)</f>
        <v>38</v>
      </c>
      <c r="H38" s="79">
        <f t="shared" si="4"/>
        <v>0.97435897435897434</v>
      </c>
    </row>
    <row r="39" spans="2:8" ht="88.8" customHeight="1" thickTop="1" thickBot="1" x14ac:dyDescent="0.35">
      <c r="B39" s="136" t="s">
        <v>107</v>
      </c>
      <c r="C39" s="137">
        <v>109</v>
      </c>
      <c r="D39" s="135" t="s">
        <v>78</v>
      </c>
      <c r="E39" s="53" t="s">
        <v>4</v>
      </c>
      <c r="F39" s="52" t="s">
        <v>173</v>
      </c>
      <c r="G39" s="52">
        <v>22</v>
      </c>
      <c r="H39" s="80">
        <f>G39/109</f>
        <v>0.20183486238532111</v>
      </c>
    </row>
    <row r="40" spans="2:8" ht="75" customHeight="1" thickTop="1" thickBot="1" x14ac:dyDescent="0.35">
      <c r="B40" s="137"/>
      <c r="C40" s="137"/>
      <c r="D40" s="135"/>
      <c r="E40" s="53" t="s">
        <v>150</v>
      </c>
      <c r="F40" s="52" t="s">
        <v>157</v>
      </c>
      <c r="G40" s="52">
        <v>1</v>
      </c>
      <c r="H40" s="80">
        <f>G40/109</f>
        <v>9.1743119266055051E-3</v>
      </c>
    </row>
    <row r="41" spans="2:8" ht="22.2" customHeight="1" thickTop="1" thickBot="1" x14ac:dyDescent="0.35">
      <c r="B41" s="118" t="s">
        <v>203</v>
      </c>
      <c r="C41" s="109">
        <v>109</v>
      </c>
      <c r="D41" s="108"/>
      <c r="E41" s="53"/>
      <c r="F41" s="52"/>
      <c r="G41" s="52">
        <f>SUM(G39:G40)</f>
        <v>23</v>
      </c>
      <c r="H41" s="80">
        <f>G41/109</f>
        <v>0.21100917431192662</v>
      </c>
    </row>
    <row r="42" spans="2:8" ht="100.8" customHeight="1" thickTop="1" thickBot="1" x14ac:dyDescent="0.35">
      <c r="B42" s="132" t="s">
        <v>108</v>
      </c>
      <c r="C42" s="132">
        <v>79</v>
      </c>
      <c r="D42" s="131" t="s">
        <v>79</v>
      </c>
      <c r="E42" s="36" t="s">
        <v>34</v>
      </c>
      <c r="F42" s="37" t="s">
        <v>164</v>
      </c>
      <c r="G42" s="37">
        <v>26</v>
      </c>
      <c r="H42" s="76">
        <f>G42/79</f>
        <v>0.32911392405063289</v>
      </c>
    </row>
    <row r="43" spans="2:8" ht="108" customHeight="1" thickTop="1" thickBot="1" x14ac:dyDescent="0.35">
      <c r="B43" s="132"/>
      <c r="C43" s="132"/>
      <c r="D43" s="131"/>
      <c r="E43" s="36" t="s">
        <v>32</v>
      </c>
      <c r="F43" s="37" t="s">
        <v>171</v>
      </c>
      <c r="G43" s="37">
        <v>1</v>
      </c>
      <c r="H43" s="76">
        <f>G43/79</f>
        <v>1.2658227848101266E-2</v>
      </c>
    </row>
    <row r="44" spans="2:8" ht="19.8" customHeight="1" thickTop="1" thickBot="1" x14ac:dyDescent="0.35">
      <c r="B44" s="104" t="s">
        <v>204</v>
      </c>
      <c r="C44" s="119">
        <v>79</v>
      </c>
      <c r="D44" s="105"/>
      <c r="E44" s="36"/>
      <c r="F44" s="37"/>
      <c r="G44" s="37">
        <f>SUM(G42:G43)</f>
        <v>27</v>
      </c>
      <c r="H44" s="76">
        <f>G44/79</f>
        <v>0.34177215189873417</v>
      </c>
    </row>
    <row r="45" spans="2:8" ht="120" customHeight="1" thickTop="1" thickBot="1" x14ac:dyDescent="0.35">
      <c r="B45" s="144" t="s">
        <v>109</v>
      </c>
      <c r="C45" s="146">
        <v>76</v>
      </c>
      <c r="D45" s="145" t="s">
        <v>80</v>
      </c>
      <c r="E45" s="54" t="s">
        <v>35</v>
      </c>
      <c r="F45" s="55" t="s">
        <v>174</v>
      </c>
      <c r="G45" s="55">
        <v>15</v>
      </c>
      <c r="H45" s="81">
        <f>G45/76</f>
        <v>0.19736842105263158</v>
      </c>
    </row>
    <row r="46" spans="2:8" ht="120.6" customHeight="1" thickTop="1" thickBot="1" x14ac:dyDescent="0.35">
      <c r="B46" s="144"/>
      <c r="C46" s="147"/>
      <c r="D46" s="145"/>
      <c r="E46" s="54" t="s">
        <v>33</v>
      </c>
      <c r="F46" s="55" t="s">
        <v>171</v>
      </c>
      <c r="G46" s="55">
        <v>1</v>
      </c>
      <c r="H46" s="81">
        <f>G46/76</f>
        <v>1.3157894736842105E-2</v>
      </c>
    </row>
    <row r="47" spans="2:8" ht="26.4" customHeight="1" thickTop="1" thickBot="1" x14ac:dyDescent="0.35">
      <c r="B47" s="120" t="s">
        <v>205</v>
      </c>
      <c r="C47" s="113">
        <v>76</v>
      </c>
      <c r="D47" s="103"/>
      <c r="E47" s="54"/>
      <c r="F47" s="55"/>
      <c r="G47" s="55">
        <f>SUM(G45:G46)</f>
        <v>16</v>
      </c>
      <c r="H47" s="81">
        <f>G47/76</f>
        <v>0.21052631578947367</v>
      </c>
    </row>
    <row r="48" spans="2:8" ht="60" customHeight="1" thickTop="1" thickBot="1" x14ac:dyDescent="0.35">
      <c r="B48" s="126" t="s">
        <v>110</v>
      </c>
      <c r="C48" s="126">
        <v>209</v>
      </c>
      <c r="D48" s="128" t="s">
        <v>81</v>
      </c>
      <c r="E48" s="24" t="s">
        <v>147</v>
      </c>
      <c r="F48" s="25" t="s">
        <v>157</v>
      </c>
      <c r="G48" s="25">
        <v>10</v>
      </c>
      <c r="H48" s="72">
        <f>G48/209</f>
        <v>4.784688995215311E-2</v>
      </c>
    </row>
    <row r="49" spans="2:8" ht="60" customHeight="1" thickTop="1" thickBot="1" x14ac:dyDescent="0.35">
      <c r="B49" s="126"/>
      <c r="C49" s="126"/>
      <c r="D49" s="128"/>
      <c r="E49" s="24" t="s">
        <v>146</v>
      </c>
      <c r="F49" s="25" t="s">
        <v>175</v>
      </c>
      <c r="G49" s="25">
        <v>4</v>
      </c>
      <c r="H49" s="72">
        <f t="shared" ref="H49:H51" si="5">G49/209</f>
        <v>1.9138755980861243E-2</v>
      </c>
    </row>
    <row r="50" spans="2:8" ht="60" customHeight="1" thickTop="1" thickBot="1" x14ac:dyDescent="0.35">
      <c r="B50" s="126"/>
      <c r="C50" s="126"/>
      <c r="D50" s="128"/>
      <c r="E50" s="24" t="s">
        <v>45</v>
      </c>
      <c r="F50" s="25" t="s">
        <v>173</v>
      </c>
      <c r="G50" s="25">
        <v>2</v>
      </c>
      <c r="H50" s="72">
        <f t="shared" si="5"/>
        <v>9.5693779904306216E-3</v>
      </c>
    </row>
    <row r="51" spans="2:8" ht="18" customHeight="1" thickTop="1" thickBot="1" x14ac:dyDescent="0.35">
      <c r="B51" s="100" t="s">
        <v>206</v>
      </c>
      <c r="C51" s="100">
        <v>209</v>
      </c>
      <c r="D51" s="99"/>
      <c r="E51" s="24"/>
      <c r="F51" s="25"/>
      <c r="G51" s="25">
        <f>SUM(G48:G50)</f>
        <v>16</v>
      </c>
      <c r="H51" s="72">
        <f t="shared" si="5"/>
        <v>7.6555023923444973E-2</v>
      </c>
    </row>
    <row r="52" spans="2:8" ht="22.8" customHeight="1" thickTop="1" thickBot="1" x14ac:dyDescent="0.35">
      <c r="B52" s="38" t="s">
        <v>111</v>
      </c>
      <c r="C52" s="38">
        <v>127</v>
      </c>
      <c r="D52" s="39" t="s">
        <v>82</v>
      </c>
      <c r="E52" s="22">
        <v>0</v>
      </c>
      <c r="F52" s="23">
        <v>0</v>
      </c>
      <c r="G52" s="23">
        <v>0</v>
      </c>
      <c r="H52" s="71">
        <v>0</v>
      </c>
    </row>
    <row r="53" spans="2:8" ht="18" customHeight="1" thickTop="1" thickBot="1" x14ac:dyDescent="0.35">
      <c r="B53" s="26" t="s">
        <v>130</v>
      </c>
      <c r="C53" s="26"/>
      <c r="D53" s="27" t="s">
        <v>130</v>
      </c>
      <c r="E53" s="36">
        <v>0</v>
      </c>
      <c r="F53" s="37">
        <v>0</v>
      </c>
      <c r="G53" s="37">
        <v>0</v>
      </c>
      <c r="H53" s="76">
        <v>0</v>
      </c>
    </row>
    <row r="54" spans="2:8" ht="148.80000000000001" customHeight="1" thickTop="1" thickBot="1" x14ac:dyDescent="0.35">
      <c r="B54" s="45" t="s">
        <v>112</v>
      </c>
      <c r="C54" s="45">
        <v>153</v>
      </c>
      <c r="D54" s="46" t="s">
        <v>83</v>
      </c>
      <c r="E54" s="47" t="s">
        <v>131</v>
      </c>
      <c r="F54" s="48" t="s">
        <v>176</v>
      </c>
      <c r="G54" s="48">
        <v>4</v>
      </c>
      <c r="H54" s="78">
        <f>G54/C54</f>
        <v>2.6143790849673203E-2</v>
      </c>
    </row>
    <row r="55" spans="2:8" ht="20.399999999999999" customHeight="1" thickTop="1" thickBot="1" x14ac:dyDescent="0.35">
      <c r="B55" s="116" t="s">
        <v>207</v>
      </c>
      <c r="C55" s="114">
        <v>153</v>
      </c>
      <c r="D55" s="46"/>
      <c r="E55" s="47"/>
      <c r="F55" s="48"/>
      <c r="G55" s="48">
        <f>SUM(G54)</f>
        <v>4</v>
      </c>
      <c r="H55" s="78">
        <f>G55/C55</f>
        <v>2.6143790849673203E-2</v>
      </c>
    </row>
    <row r="56" spans="2:8" ht="162.6" customHeight="1" thickTop="1" thickBot="1" x14ac:dyDescent="0.35">
      <c r="B56" s="26" t="s">
        <v>113</v>
      </c>
      <c r="C56" s="26">
        <v>211</v>
      </c>
      <c r="D56" s="27" t="s">
        <v>84</v>
      </c>
      <c r="E56" s="36" t="s">
        <v>141</v>
      </c>
      <c r="F56" s="37" t="s">
        <v>177</v>
      </c>
      <c r="G56" s="37">
        <v>1</v>
      </c>
      <c r="H56" s="76">
        <f>G56/211</f>
        <v>4.7393364928909956E-3</v>
      </c>
    </row>
    <row r="57" spans="2:8" ht="25.2" customHeight="1" thickTop="1" thickBot="1" x14ac:dyDescent="0.35">
      <c r="B57" s="104" t="s">
        <v>208</v>
      </c>
      <c r="C57" s="104">
        <v>211</v>
      </c>
      <c r="D57" s="105"/>
      <c r="E57" s="36"/>
      <c r="F57" s="37"/>
      <c r="G57" s="37">
        <v>1</v>
      </c>
      <c r="H57" s="76">
        <f>G57/211</f>
        <v>4.7393364928909956E-3</v>
      </c>
    </row>
    <row r="58" spans="2:8" ht="120" customHeight="1" thickTop="1" thickBot="1" x14ac:dyDescent="0.35">
      <c r="B58" s="125" t="s">
        <v>114</v>
      </c>
      <c r="C58" s="125">
        <v>162</v>
      </c>
      <c r="D58" s="129" t="s">
        <v>85</v>
      </c>
      <c r="E58" s="22" t="s">
        <v>43</v>
      </c>
      <c r="F58" s="23" t="s">
        <v>178</v>
      </c>
      <c r="G58" s="23">
        <v>9</v>
      </c>
      <c r="H58" s="71">
        <f>G58/162</f>
        <v>5.5555555555555552E-2</v>
      </c>
    </row>
    <row r="59" spans="2:8" ht="109.8" customHeight="1" thickTop="1" thickBot="1" x14ac:dyDescent="0.35">
      <c r="B59" s="125"/>
      <c r="C59" s="125"/>
      <c r="D59" s="129"/>
      <c r="E59" s="56" t="s">
        <v>42</v>
      </c>
      <c r="F59" s="23" t="s">
        <v>179</v>
      </c>
      <c r="G59" s="23">
        <v>1</v>
      </c>
      <c r="H59" s="71">
        <f>G59/162</f>
        <v>6.1728395061728392E-3</v>
      </c>
    </row>
    <row r="60" spans="2:8" ht="28.2" customHeight="1" thickTop="1" thickBot="1" x14ac:dyDescent="0.35">
      <c r="B60" s="102" t="s">
        <v>209</v>
      </c>
      <c r="C60" s="102">
        <v>162</v>
      </c>
      <c r="D60" s="101"/>
      <c r="E60" s="56"/>
      <c r="F60" s="23"/>
      <c r="G60" s="23">
        <f>SUM(G58:G59)</f>
        <v>10</v>
      </c>
      <c r="H60" s="71">
        <f>G60/162</f>
        <v>6.1728395061728392E-2</v>
      </c>
    </row>
    <row r="61" spans="2:8" ht="60" customHeight="1" thickTop="1" thickBot="1" x14ac:dyDescent="0.35">
      <c r="B61" s="126" t="s">
        <v>115</v>
      </c>
      <c r="C61" s="126">
        <v>54</v>
      </c>
      <c r="D61" s="128" t="s">
        <v>86</v>
      </c>
      <c r="E61" s="24" t="s">
        <v>124</v>
      </c>
      <c r="F61" s="25" t="s">
        <v>177</v>
      </c>
      <c r="G61" s="25">
        <v>3</v>
      </c>
      <c r="H61" s="72">
        <f>G61/54</f>
        <v>5.5555555555555552E-2</v>
      </c>
    </row>
    <row r="62" spans="2:8" ht="60" customHeight="1" thickTop="1" thickBot="1" x14ac:dyDescent="0.35">
      <c r="B62" s="126"/>
      <c r="C62" s="126"/>
      <c r="D62" s="128"/>
      <c r="E62" s="24" t="s">
        <v>50</v>
      </c>
      <c r="F62" s="25" t="s">
        <v>180</v>
      </c>
      <c r="G62" s="25">
        <v>1</v>
      </c>
      <c r="H62" s="72">
        <f>G62/54</f>
        <v>1.8518518518518517E-2</v>
      </c>
    </row>
    <row r="63" spans="2:8" ht="60" customHeight="1" thickTop="1" thickBot="1" x14ac:dyDescent="0.35">
      <c r="B63" s="126"/>
      <c r="C63" s="126"/>
      <c r="D63" s="128"/>
      <c r="E63" s="24" t="s">
        <v>25</v>
      </c>
      <c r="F63" s="25" t="s">
        <v>181</v>
      </c>
      <c r="G63" s="25">
        <v>1</v>
      </c>
      <c r="H63" s="72">
        <f t="shared" ref="H63:H65" si="6">G63/54</f>
        <v>1.8518518518518517E-2</v>
      </c>
    </row>
    <row r="64" spans="2:8" ht="60" customHeight="1" thickTop="1" thickBot="1" x14ac:dyDescent="0.35">
      <c r="B64" s="126"/>
      <c r="C64" s="126"/>
      <c r="D64" s="128"/>
      <c r="E64" s="24" t="s">
        <v>22</v>
      </c>
      <c r="F64" s="25" t="s">
        <v>182</v>
      </c>
      <c r="G64" s="25">
        <v>1</v>
      </c>
      <c r="H64" s="72">
        <f t="shared" si="6"/>
        <v>1.8518518518518517E-2</v>
      </c>
    </row>
    <row r="65" spans="2:8" ht="18.600000000000001" customHeight="1" thickTop="1" thickBot="1" x14ac:dyDescent="0.35">
      <c r="B65" s="100" t="s">
        <v>210</v>
      </c>
      <c r="C65" s="100">
        <v>54</v>
      </c>
      <c r="D65" s="99"/>
      <c r="E65" s="24"/>
      <c r="F65" s="25"/>
      <c r="G65" s="25">
        <f>SUM(G61:G64)</f>
        <v>6</v>
      </c>
      <c r="H65" s="72">
        <f t="shared" si="6"/>
        <v>0.1111111111111111</v>
      </c>
    </row>
    <row r="66" spans="2:8" ht="60" customHeight="1" thickTop="1" thickBot="1" x14ac:dyDescent="0.35">
      <c r="B66" s="125" t="s">
        <v>116</v>
      </c>
      <c r="C66" s="125">
        <v>149</v>
      </c>
      <c r="D66" s="129" t="s">
        <v>87</v>
      </c>
      <c r="E66" s="22" t="s">
        <v>123</v>
      </c>
      <c r="F66" s="23" t="s">
        <v>183</v>
      </c>
      <c r="G66" s="23">
        <v>19</v>
      </c>
      <c r="H66" s="71">
        <f>G66/149</f>
        <v>0.12751677852348994</v>
      </c>
    </row>
    <row r="67" spans="2:8" ht="60" customHeight="1" thickTop="1" thickBot="1" x14ac:dyDescent="0.35">
      <c r="B67" s="125"/>
      <c r="C67" s="125"/>
      <c r="D67" s="129"/>
      <c r="E67" s="22" t="s">
        <v>18</v>
      </c>
      <c r="F67" s="23" t="s">
        <v>181</v>
      </c>
      <c r="G67" s="23">
        <v>10</v>
      </c>
      <c r="H67" s="71">
        <f t="shared" ref="H67:H70" si="7">G67/149</f>
        <v>6.7114093959731544E-2</v>
      </c>
    </row>
    <row r="68" spans="2:8" ht="60" customHeight="1" thickTop="1" thickBot="1" x14ac:dyDescent="0.35">
      <c r="B68" s="125"/>
      <c r="C68" s="125"/>
      <c r="D68" s="129"/>
      <c r="E68" s="22" t="s">
        <v>9</v>
      </c>
      <c r="F68" s="23" t="s">
        <v>182</v>
      </c>
      <c r="G68" s="23">
        <v>1</v>
      </c>
      <c r="H68" s="71">
        <f t="shared" si="7"/>
        <v>6.7114093959731542E-3</v>
      </c>
    </row>
    <row r="69" spans="2:8" ht="60" customHeight="1" thickTop="1" thickBot="1" x14ac:dyDescent="0.35">
      <c r="B69" s="125"/>
      <c r="C69" s="125"/>
      <c r="D69" s="129"/>
      <c r="E69" s="22" t="s">
        <v>145</v>
      </c>
      <c r="F69" s="23" t="s">
        <v>184</v>
      </c>
      <c r="G69" s="23">
        <v>1</v>
      </c>
      <c r="H69" s="71">
        <f t="shared" si="7"/>
        <v>6.7114093959731542E-3</v>
      </c>
    </row>
    <row r="70" spans="2:8" ht="26.4" customHeight="1" thickTop="1" thickBot="1" x14ac:dyDescent="0.35">
      <c r="B70" s="102" t="s">
        <v>211</v>
      </c>
      <c r="C70" s="102">
        <v>149</v>
      </c>
      <c r="D70" s="101"/>
      <c r="E70" s="22"/>
      <c r="F70" s="23"/>
      <c r="G70" s="23">
        <f>SUM(G66:G69)</f>
        <v>31</v>
      </c>
      <c r="H70" s="71">
        <f t="shared" si="7"/>
        <v>0.20805369127516779</v>
      </c>
    </row>
    <row r="71" spans="2:8" ht="60" customHeight="1" thickTop="1" thickBot="1" x14ac:dyDescent="0.35">
      <c r="B71" s="132" t="s">
        <v>117</v>
      </c>
      <c r="C71" s="132">
        <v>137</v>
      </c>
      <c r="D71" s="131" t="s">
        <v>88</v>
      </c>
      <c r="E71" s="44" t="s">
        <v>126</v>
      </c>
      <c r="F71" s="37" t="s">
        <v>185</v>
      </c>
      <c r="G71" s="37">
        <v>9</v>
      </c>
      <c r="H71" s="76">
        <f>G71/137</f>
        <v>6.569343065693431E-2</v>
      </c>
    </row>
    <row r="72" spans="2:8" ht="60" customHeight="1" thickTop="1" thickBot="1" x14ac:dyDescent="0.35">
      <c r="B72" s="132"/>
      <c r="C72" s="132"/>
      <c r="D72" s="131"/>
      <c r="E72" s="36" t="s">
        <v>39</v>
      </c>
      <c r="F72" s="37" t="s">
        <v>177</v>
      </c>
      <c r="G72" s="37">
        <v>8</v>
      </c>
      <c r="H72" s="76">
        <f t="shared" ref="H72:H76" si="8">G72/137</f>
        <v>5.8394160583941604E-2</v>
      </c>
    </row>
    <row r="73" spans="2:8" ht="60" customHeight="1" thickTop="1" thickBot="1" x14ac:dyDescent="0.35">
      <c r="B73" s="132"/>
      <c r="C73" s="132"/>
      <c r="D73" s="131"/>
      <c r="E73" s="36" t="s">
        <v>44</v>
      </c>
      <c r="F73" s="37" t="s">
        <v>181</v>
      </c>
      <c r="G73" s="37">
        <v>1</v>
      </c>
      <c r="H73" s="76">
        <f t="shared" si="8"/>
        <v>7.2992700729927005E-3</v>
      </c>
    </row>
    <row r="74" spans="2:8" ht="60" customHeight="1" thickTop="1" thickBot="1" x14ac:dyDescent="0.35">
      <c r="B74" s="132"/>
      <c r="C74" s="132"/>
      <c r="D74" s="131"/>
      <c r="E74" s="36" t="s">
        <v>23</v>
      </c>
      <c r="F74" s="37" t="s">
        <v>186</v>
      </c>
      <c r="G74" s="37">
        <v>1</v>
      </c>
      <c r="H74" s="76">
        <f t="shared" si="8"/>
        <v>7.2992700729927005E-3</v>
      </c>
    </row>
    <row r="75" spans="2:8" ht="60" customHeight="1" thickTop="1" thickBot="1" x14ac:dyDescent="0.35">
      <c r="B75" s="132"/>
      <c r="C75" s="132"/>
      <c r="D75" s="131"/>
      <c r="E75" s="36" t="s">
        <v>139</v>
      </c>
      <c r="F75" s="37" t="s">
        <v>182</v>
      </c>
      <c r="G75" s="37">
        <v>1</v>
      </c>
      <c r="H75" s="76">
        <f t="shared" si="8"/>
        <v>7.2992700729927005E-3</v>
      </c>
    </row>
    <row r="76" spans="2:8" ht="25.8" customHeight="1" thickTop="1" thickBot="1" x14ac:dyDescent="0.35">
      <c r="B76" s="119" t="s">
        <v>212</v>
      </c>
      <c r="C76" s="104">
        <v>137</v>
      </c>
      <c r="D76" s="121"/>
      <c r="E76" s="36"/>
      <c r="F76" s="37"/>
      <c r="G76" s="37">
        <f>SUM(G71:G75)</f>
        <v>20</v>
      </c>
      <c r="H76" s="76">
        <f t="shared" si="8"/>
        <v>0.145985401459854</v>
      </c>
    </row>
    <row r="77" spans="2:8" ht="60" customHeight="1" thickTop="1" thickBot="1" x14ac:dyDescent="0.35">
      <c r="B77" s="141" t="s">
        <v>118</v>
      </c>
      <c r="C77" s="143">
        <v>31</v>
      </c>
      <c r="D77" s="139" t="s">
        <v>89</v>
      </c>
      <c r="E77" s="47" t="s">
        <v>24</v>
      </c>
      <c r="F77" s="48" t="s">
        <v>182</v>
      </c>
      <c r="G77" s="48">
        <v>5</v>
      </c>
      <c r="H77" s="78">
        <f>G77/31</f>
        <v>0.16129032258064516</v>
      </c>
    </row>
    <row r="78" spans="2:8" ht="60" customHeight="1" thickTop="1" thickBot="1" x14ac:dyDescent="0.35">
      <c r="B78" s="142"/>
      <c r="C78" s="143"/>
      <c r="D78" s="140"/>
      <c r="E78" s="47" t="s">
        <v>129</v>
      </c>
      <c r="F78" s="48" t="s">
        <v>187</v>
      </c>
      <c r="G78" s="48">
        <v>3</v>
      </c>
      <c r="H78" s="78">
        <f>G78/31</f>
        <v>9.6774193548387094E-2</v>
      </c>
    </row>
    <row r="79" spans="2:8" ht="60" customHeight="1" thickTop="1" thickBot="1" x14ac:dyDescent="0.35">
      <c r="B79" s="142"/>
      <c r="C79" s="143"/>
      <c r="D79" s="140"/>
      <c r="E79" s="57" t="s">
        <v>136</v>
      </c>
      <c r="F79" s="48" t="s">
        <v>187</v>
      </c>
      <c r="G79" s="48">
        <v>2</v>
      </c>
      <c r="H79" s="78">
        <f t="shared" ref="H79:H81" si="9">G79/31</f>
        <v>6.4516129032258063E-2</v>
      </c>
    </row>
    <row r="80" spans="2:8" ht="60" customHeight="1" thickTop="1" thickBot="1" x14ac:dyDescent="0.35">
      <c r="B80" s="142"/>
      <c r="C80" s="143"/>
      <c r="D80" s="140"/>
      <c r="E80" s="57" t="s">
        <v>27</v>
      </c>
      <c r="F80" s="48" t="s">
        <v>177</v>
      </c>
      <c r="G80" s="48">
        <v>1</v>
      </c>
      <c r="H80" s="78">
        <f t="shared" si="9"/>
        <v>3.2258064516129031E-2</v>
      </c>
    </row>
    <row r="81" spans="2:13" ht="30.6" customHeight="1" thickTop="1" thickBot="1" x14ac:dyDescent="0.35">
      <c r="B81" s="122" t="s">
        <v>213</v>
      </c>
      <c r="C81" s="114">
        <v>31</v>
      </c>
      <c r="D81" s="106"/>
      <c r="E81" s="57"/>
      <c r="F81" s="48"/>
      <c r="G81" s="48">
        <f>SUM(G77:G80)</f>
        <v>11</v>
      </c>
      <c r="H81" s="78">
        <f t="shared" si="9"/>
        <v>0.35483870967741937</v>
      </c>
    </row>
    <row r="82" spans="2:13" ht="129.6" customHeight="1" thickTop="1" thickBot="1" x14ac:dyDescent="0.35">
      <c r="B82" s="124"/>
      <c r="C82" s="124"/>
      <c r="D82" s="123"/>
      <c r="E82" s="22" t="s">
        <v>5</v>
      </c>
      <c r="F82" s="23" t="s">
        <v>173</v>
      </c>
      <c r="G82" s="23">
        <v>1</v>
      </c>
      <c r="H82" s="71">
        <f>G82/94</f>
        <v>1.0638297872340425E-2</v>
      </c>
    </row>
    <row r="83" spans="2:13" ht="23.4" customHeight="1" thickTop="1" thickBot="1" x14ac:dyDescent="0.35">
      <c r="B83" s="102" t="s">
        <v>214</v>
      </c>
      <c r="C83" s="102">
        <v>94</v>
      </c>
      <c r="D83" s="101"/>
      <c r="E83" s="22"/>
      <c r="F83" s="23"/>
      <c r="G83" s="23">
        <f>SUM(G82:G82)</f>
        <v>1</v>
      </c>
      <c r="H83" s="71">
        <f>G83/94</f>
        <v>1.0638297872340425E-2</v>
      </c>
    </row>
    <row r="84" spans="2:13" ht="12" customHeight="1" thickTop="1" thickBot="1" x14ac:dyDescent="0.35">
      <c r="B84" s="32" t="s">
        <v>119</v>
      </c>
      <c r="C84" s="32">
        <v>97</v>
      </c>
      <c r="D84" s="33" t="s">
        <v>90</v>
      </c>
      <c r="E84" s="24" t="s">
        <v>41</v>
      </c>
      <c r="F84" s="25" t="s">
        <v>166</v>
      </c>
      <c r="G84" s="25">
        <v>0</v>
      </c>
      <c r="H84" s="72">
        <v>0</v>
      </c>
    </row>
    <row r="85" spans="2:13" ht="60" customHeight="1" thickTop="1" x14ac:dyDescent="0.3">
      <c r="E85" s="10"/>
      <c r="F85" s="1"/>
      <c r="G85" s="1">
        <f>SUM(G2:G84)</f>
        <v>640</v>
      </c>
      <c r="H85" s="82"/>
      <c r="M85" t="s">
        <v>142</v>
      </c>
    </row>
    <row r="127" spans="5:8" ht="60" customHeight="1" x14ac:dyDescent="0.3">
      <c r="E127" s="10"/>
      <c r="F127" s="1"/>
      <c r="G127" s="1"/>
      <c r="H127" s="82"/>
    </row>
    <row r="128" spans="5:8" ht="60" customHeight="1" x14ac:dyDescent="0.3">
      <c r="E128" s="10"/>
      <c r="F128" s="1"/>
      <c r="G128" s="1"/>
      <c r="H128" s="82"/>
    </row>
    <row r="129" spans="5:8" ht="60" customHeight="1" x14ac:dyDescent="0.3">
      <c r="E129" s="10"/>
      <c r="F129" s="1"/>
      <c r="G129" s="1"/>
      <c r="H129" s="82"/>
    </row>
    <row r="130" spans="5:8" ht="60" customHeight="1" x14ac:dyDescent="0.3">
      <c r="E130" s="10"/>
      <c r="F130" s="1"/>
      <c r="G130" s="1"/>
      <c r="H130" s="82"/>
    </row>
    <row r="131" spans="5:8" ht="60" customHeight="1" x14ac:dyDescent="0.3">
      <c r="E131" s="10"/>
      <c r="F131" s="1"/>
      <c r="G131" s="1"/>
      <c r="H131" s="82"/>
    </row>
    <row r="132" spans="5:8" ht="60" customHeight="1" x14ac:dyDescent="0.3">
      <c r="E132" s="10"/>
      <c r="F132" s="1"/>
      <c r="G132" s="1"/>
      <c r="H132" s="82"/>
    </row>
    <row r="133" spans="5:8" ht="60" customHeight="1" x14ac:dyDescent="0.3">
      <c r="E133" s="10"/>
      <c r="F133" s="1"/>
      <c r="G133" s="1"/>
      <c r="H133" s="82"/>
    </row>
    <row r="134" spans="5:8" ht="60" customHeight="1" x14ac:dyDescent="0.3">
      <c r="E134" s="10"/>
      <c r="F134" s="1"/>
      <c r="G134" s="1"/>
      <c r="H134" s="82"/>
    </row>
    <row r="135" spans="5:8" ht="60" customHeight="1" x14ac:dyDescent="0.3">
      <c r="E135" s="10"/>
      <c r="F135" s="1"/>
      <c r="G135" s="1"/>
      <c r="H135" s="82"/>
    </row>
    <row r="136" spans="5:8" ht="60" customHeight="1" x14ac:dyDescent="0.3">
      <c r="E136" s="10"/>
      <c r="F136" s="1"/>
      <c r="G136" s="1"/>
      <c r="H136" s="82"/>
    </row>
    <row r="137" spans="5:8" ht="60" customHeight="1" x14ac:dyDescent="0.3">
      <c r="E137" s="10"/>
      <c r="F137" s="1"/>
      <c r="G137" s="1"/>
      <c r="H137" s="82"/>
    </row>
    <row r="138" spans="5:8" ht="60" customHeight="1" x14ac:dyDescent="0.3">
      <c r="E138" s="11"/>
      <c r="F138" s="1"/>
      <c r="G138" s="1"/>
      <c r="H138" s="82"/>
    </row>
    <row r="139" spans="5:8" ht="60" customHeight="1" x14ac:dyDescent="0.3">
      <c r="E139" s="11"/>
      <c r="F139" s="3"/>
      <c r="G139" s="3"/>
      <c r="H139" s="84"/>
    </row>
    <row r="140" spans="5:8" ht="60" customHeight="1" x14ac:dyDescent="0.3">
      <c r="E140" s="11"/>
      <c r="F140" s="3"/>
      <c r="G140" s="3"/>
      <c r="H140" s="84"/>
    </row>
    <row r="141" spans="5:8" ht="60" customHeight="1" x14ac:dyDescent="0.3">
      <c r="E141" s="11"/>
      <c r="F141" s="3"/>
      <c r="G141" s="3"/>
      <c r="H141" s="84"/>
    </row>
    <row r="142" spans="5:8" ht="60" customHeight="1" x14ac:dyDescent="0.3">
      <c r="E142" s="11"/>
      <c r="F142" s="3"/>
      <c r="G142" s="3"/>
      <c r="H142" s="84"/>
    </row>
    <row r="143" spans="5:8" ht="60" customHeight="1" x14ac:dyDescent="0.3">
      <c r="E143" s="10"/>
      <c r="F143" s="3"/>
      <c r="G143" s="3"/>
      <c r="H143" s="84"/>
    </row>
    <row r="144" spans="5:8" ht="60" customHeight="1" x14ac:dyDescent="0.3">
      <c r="E144" s="10"/>
      <c r="F144" s="1"/>
      <c r="G144" s="1"/>
      <c r="H144" s="82"/>
    </row>
    <row r="145" spans="5:8" ht="60" customHeight="1" x14ac:dyDescent="0.3">
      <c r="E145" s="10"/>
      <c r="F145" s="1"/>
      <c r="G145" s="1"/>
      <c r="H145" s="82"/>
    </row>
    <row r="146" spans="5:8" ht="60" customHeight="1" x14ac:dyDescent="0.3">
      <c r="E146" s="10"/>
      <c r="F146" s="1"/>
      <c r="G146" s="1"/>
      <c r="H146" s="82"/>
    </row>
    <row r="147" spans="5:8" ht="60" customHeight="1" x14ac:dyDescent="0.3">
      <c r="E147" s="11"/>
      <c r="F147" s="1"/>
      <c r="G147" s="1"/>
      <c r="H147" s="82"/>
    </row>
    <row r="148" spans="5:8" ht="60" customHeight="1" x14ac:dyDescent="0.3">
      <c r="E148" s="11"/>
      <c r="F148" s="3"/>
      <c r="G148" s="3"/>
      <c r="H148" s="84"/>
    </row>
    <row r="149" spans="5:8" ht="60" customHeight="1" x14ac:dyDescent="0.3">
      <c r="E149" s="10"/>
      <c r="F149" s="3"/>
      <c r="G149" s="3"/>
      <c r="H149" s="84"/>
    </row>
    <row r="150" spans="5:8" ht="60" customHeight="1" x14ac:dyDescent="0.3">
      <c r="E150" s="11"/>
      <c r="F150" s="1"/>
      <c r="G150" s="1"/>
      <c r="H150" s="82"/>
    </row>
    <row r="151" spans="5:8" ht="60" customHeight="1" x14ac:dyDescent="0.3">
      <c r="E151" s="15"/>
      <c r="F151" s="3"/>
      <c r="G151" s="3"/>
      <c r="H151" s="84"/>
    </row>
    <row r="152" spans="5:8" ht="60" customHeight="1" x14ac:dyDescent="0.3">
      <c r="E152" s="11"/>
      <c r="F152" s="2"/>
      <c r="G152" s="2"/>
      <c r="H152" s="85"/>
    </row>
    <row r="153" spans="5:8" ht="60" customHeight="1" x14ac:dyDescent="0.3">
      <c r="E153" s="11"/>
      <c r="F153" s="3"/>
      <c r="G153" s="3"/>
      <c r="H153" s="84"/>
    </row>
    <row r="154" spans="5:8" ht="60" customHeight="1" x14ac:dyDescent="0.3">
      <c r="E154" s="11"/>
      <c r="F154" s="3"/>
      <c r="G154" s="3"/>
      <c r="H154" s="84"/>
    </row>
    <row r="155" spans="5:8" ht="60" customHeight="1" x14ac:dyDescent="0.3">
      <c r="E155" s="10"/>
      <c r="F155" s="3"/>
      <c r="G155" s="3"/>
      <c r="H155" s="84"/>
    </row>
    <row r="156" spans="5:8" ht="60" customHeight="1" x14ac:dyDescent="0.3">
      <c r="E156" s="10"/>
      <c r="F156" s="1"/>
      <c r="G156" s="1"/>
      <c r="H156" s="82"/>
    </row>
    <row r="157" spans="5:8" ht="60" customHeight="1" x14ac:dyDescent="0.3">
      <c r="E157" s="10"/>
      <c r="F157" s="1"/>
      <c r="G157" s="1"/>
      <c r="H157" s="82"/>
    </row>
    <row r="158" spans="5:8" ht="60" customHeight="1" x14ac:dyDescent="0.3">
      <c r="E158" s="10"/>
      <c r="F158" s="1"/>
      <c r="G158" s="1"/>
      <c r="H158" s="82"/>
    </row>
    <row r="159" spans="5:8" ht="60" customHeight="1" x14ac:dyDescent="0.3">
      <c r="E159" s="10"/>
      <c r="F159" s="1"/>
      <c r="G159" s="1"/>
      <c r="H159" s="82"/>
    </row>
    <row r="160" spans="5:8" ht="60" customHeight="1" x14ac:dyDescent="0.3">
      <c r="E160" s="15"/>
      <c r="F160" s="1"/>
      <c r="G160" s="1"/>
      <c r="H160" s="82"/>
    </row>
    <row r="161" spans="5:8" ht="60" customHeight="1" x14ac:dyDescent="0.3">
      <c r="E161" s="15"/>
      <c r="F161" s="2"/>
      <c r="G161" s="2"/>
      <c r="H161" s="85"/>
    </row>
    <row r="162" spans="5:8" ht="60" customHeight="1" x14ac:dyDescent="0.3">
      <c r="E162" s="10"/>
      <c r="F162" s="2"/>
      <c r="G162" s="2"/>
      <c r="H162" s="85"/>
    </row>
    <row r="163" spans="5:8" ht="60" customHeight="1" x14ac:dyDescent="0.3">
      <c r="E163" s="11"/>
      <c r="F163" s="1"/>
      <c r="G163" s="1"/>
      <c r="H163" s="82"/>
    </row>
    <row r="164" spans="5:8" ht="60" customHeight="1" x14ac:dyDescent="0.3">
      <c r="E164" s="11"/>
      <c r="F164" s="3"/>
      <c r="G164" s="3"/>
      <c r="H164" s="84"/>
    </row>
    <row r="165" spans="5:8" ht="60" customHeight="1" x14ac:dyDescent="0.3">
      <c r="E165" s="10"/>
      <c r="F165" s="3"/>
      <c r="G165" s="3"/>
      <c r="H165" s="84"/>
    </row>
    <row r="166" spans="5:8" ht="60" customHeight="1" x14ac:dyDescent="0.3">
      <c r="E166" s="10"/>
      <c r="F166" s="1"/>
      <c r="G166" s="1"/>
      <c r="H166" s="82"/>
    </row>
    <row r="167" spans="5:8" ht="60" customHeight="1" x14ac:dyDescent="0.3">
      <c r="E167" s="10"/>
      <c r="F167" s="1"/>
      <c r="G167" s="1"/>
      <c r="H167" s="82"/>
    </row>
    <row r="168" spans="5:8" ht="60" customHeight="1" x14ac:dyDescent="0.3">
      <c r="E168" s="10"/>
      <c r="F168" s="1"/>
      <c r="G168" s="1"/>
      <c r="H168" s="82"/>
    </row>
    <row r="169" spans="5:8" ht="60" customHeight="1" x14ac:dyDescent="0.3">
      <c r="E169" s="11"/>
      <c r="F169" s="1"/>
      <c r="G169" s="1"/>
      <c r="H169" s="82"/>
    </row>
    <row r="170" spans="5:8" ht="60" customHeight="1" x14ac:dyDescent="0.3">
      <c r="E170" s="10"/>
      <c r="F170" s="3"/>
      <c r="G170" s="3"/>
      <c r="H170" s="84"/>
    </row>
    <row r="171" spans="5:8" ht="60" customHeight="1" x14ac:dyDescent="0.3">
      <c r="E171" s="11"/>
      <c r="F171" s="1"/>
      <c r="G171" s="1"/>
      <c r="H171" s="82"/>
    </row>
    <row r="172" spans="5:8" ht="60" customHeight="1" x14ac:dyDescent="0.3">
      <c r="E172" s="11"/>
      <c r="F172" s="3"/>
      <c r="G172" s="3"/>
      <c r="H172" s="84"/>
    </row>
    <row r="173" spans="5:8" ht="60" customHeight="1" x14ac:dyDescent="0.3">
      <c r="E173" s="11"/>
      <c r="F173" s="3"/>
      <c r="G173" s="3"/>
      <c r="H173" s="84"/>
    </row>
    <row r="174" spans="5:8" ht="60" customHeight="1" x14ac:dyDescent="0.3">
      <c r="E174" s="10"/>
      <c r="F174" s="3"/>
      <c r="G174" s="3"/>
      <c r="H174" s="84"/>
    </row>
    <row r="175" spans="5:8" ht="60" customHeight="1" x14ac:dyDescent="0.3">
      <c r="E175" s="11"/>
      <c r="F175" s="1"/>
      <c r="G175" s="1"/>
      <c r="H175" s="82"/>
    </row>
    <row r="176" spans="5:8" ht="60" customHeight="1" x14ac:dyDescent="0.3">
      <c r="E176" s="10"/>
      <c r="F176" s="3"/>
      <c r="G176" s="3"/>
      <c r="H176" s="84"/>
    </row>
    <row r="177" spans="5:8" ht="60" customHeight="1" x14ac:dyDescent="0.3">
      <c r="E177" s="11"/>
      <c r="F177" s="1"/>
      <c r="G177" s="1"/>
      <c r="H177" s="82"/>
    </row>
    <row r="178" spans="5:8" ht="60" customHeight="1" x14ac:dyDescent="0.3">
      <c r="E178" s="11"/>
      <c r="F178" s="3"/>
      <c r="G178" s="3"/>
      <c r="H178" s="84"/>
    </row>
    <row r="179" spans="5:8" ht="60" customHeight="1" x14ac:dyDescent="0.3">
      <c r="E179" s="10"/>
      <c r="F179" s="3"/>
      <c r="G179" s="3"/>
      <c r="H179" s="84"/>
    </row>
    <row r="180" spans="5:8" ht="60" customHeight="1" x14ac:dyDescent="0.3">
      <c r="E180" s="10"/>
      <c r="F180" s="1"/>
      <c r="G180" s="1"/>
      <c r="H180" s="82"/>
    </row>
    <row r="181" spans="5:8" ht="60" customHeight="1" x14ac:dyDescent="0.3">
      <c r="E181" s="10"/>
      <c r="F181" s="1"/>
      <c r="G181" s="1"/>
      <c r="H181" s="82"/>
    </row>
    <row r="182" spans="5:8" ht="60" customHeight="1" x14ac:dyDescent="0.3">
      <c r="E182" s="10"/>
      <c r="F182" s="1"/>
      <c r="G182" s="1"/>
      <c r="H182" s="82"/>
    </row>
    <row r="183" spans="5:8" ht="60" customHeight="1" x14ac:dyDescent="0.3">
      <c r="E183" s="11"/>
      <c r="F183" s="1"/>
      <c r="G183" s="1"/>
      <c r="H183" s="82"/>
    </row>
    <row r="184" spans="5:8" ht="60" customHeight="1" x14ac:dyDescent="0.3">
      <c r="E184" s="11"/>
      <c r="F184" s="3"/>
      <c r="G184" s="3"/>
      <c r="H184" s="84"/>
    </row>
    <row r="185" spans="5:8" ht="60" customHeight="1" x14ac:dyDescent="0.3">
      <c r="E185" s="11"/>
      <c r="F185" s="3"/>
      <c r="G185" s="3"/>
      <c r="H185" s="84"/>
    </row>
    <row r="186" spans="5:8" ht="60" customHeight="1" x14ac:dyDescent="0.3">
      <c r="E186" s="11"/>
      <c r="F186" s="3"/>
      <c r="G186" s="3"/>
      <c r="H186" s="84"/>
    </row>
    <row r="187" spans="5:8" ht="60" customHeight="1" x14ac:dyDescent="0.3">
      <c r="E187" s="10"/>
      <c r="F187" s="3"/>
      <c r="G187" s="3"/>
      <c r="H187" s="84"/>
    </row>
    <row r="188" spans="5:8" ht="60" customHeight="1" x14ac:dyDescent="0.3">
      <c r="E188" s="11"/>
      <c r="F188" s="1"/>
      <c r="G188" s="1"/>
      <c r="H188" s="82"/>
    </row>
    <row r="189" spans="5:8" ht="60" customHeight="1" x14ac:dyDescent="0.3">
      <c r="E189" s="11"/>
      <c r="F189" s="3"/>
      <c r="G189" s="3"/>
      <c r="H189" s="84"/>
    </row>
    <row r="190" spans="5:8" ht="60" customHeight="1" x14ac:dyDescent="0.3">
      <c r="E190" s="11"/>
      <c r="F190" s="3"/>
      <c r="G190" s="3"/>
      <c r="H190" s="84"/>
    </row>
    <row r="191" spans="5:8" ht="60" customHeight="1" x14ac:dyDescent="0.3">
      <c r="E191" s="11"/>
      <c r="F191" s="3"/>
      <c r="G191" s="3"/>
      <c r="H191" s="84"/>
    </row>
    <row r="192" spans="5:8" ht="60" customHeight="1" x14ac:dyDescent="0.3">
      <c r="E192" s="11"/>
      <c r="F192" s="3"/>
      <c r="G192" s="3"/>
      <c r="H192" s="84"/>
    </row>
    <row r="193" spans="5:8" ht="60" customHeight="1" x14ac:dyDescent="0.3">
      <c r="E193" s="10"/>
      <c r="F193" s="3"/>
      <c r="G193" s="3"/>
      <c r="H193" s="84"/>
    </row>
    <row r="194" spans="5:8" ht="60" customHeight="1" x14ac:dyDescent="0.3">
      <c r="E194" s="11"/>
      <c r="F194" s="1"/>
      <c r="G194" s="1"/>
      <c r="H194" s="82"/>
    </row>
    <row r="195" spans="5:8" ht="60" customHeight="1" x14ac:dyDescent="0.3">
      <c r="E195" s="11"/>
      <c r="F195" s="3"/>
      <c r="G195" s="3"/>
      <c r="H195" s="84"/>
    </row>
    <row r="196" spans="5:8" ht="60" customHeight="1" x14ac:dyDescent="0.3">
      <c r="E196" s="11"/>
      <c r="F196" s="3"/>
      <c r="G196" s="3"/>
      <c r="H196" s="84"/>
    </row>
    <row r="197" spans="5:8" ht="60" customHeight="1" x14ac:dyDescent="0.3">
      <c r="E197" s="11"/>
      <c r="F197" s="3"/>
      <c r="G197" s="3"/>
      <c r="H197" s="84"/>
    </row>
    <row r="198" spans="5:8" ht="60" customHeight="1" x14ac:dyDescent="0.3">
      <c r="E198" s="11"/>
      <c r="F198" s="3"/>
      <c r="G198" s="3"/>
      <c r="H198" s="84"/>
    </row>
    <row r="199" spans="5:8" ht="60" customHeight="1" x14ac:dyDescent="0.3">
      <c r="E199" s="10"/>
      <c r="F199" s="3"/>
      <c r="G199" s="3"/>
      <c r="H199" s="84"/>
    </row>
    <row r="200" spans="5:8" ht="60" customHeight="1" x14ac:dyDescent="0.3">
      <c r="E200" s="11"/>
      <c r="F200" s="1"/>
      <c r="G200" s="1"/>
      <c r="H200" s="82"/>
    </row>
    <row r="201" spans="5:8" ht="60" customHeight="1" x14ac:dyDescent="0.3">
      <c r="E201" s="10"/>
      <c r="F201" s="3"/>
      <c r="G201" s="3"/>
      <c r="H201" s="84"/>
    </row>
    <row r="202" spans="5:8" ht="60" customHeight="1" x14ac:dyDescent="0.3">
      <c r="E202" s="10"/>
      <c r="F202" s="1"/>
      <c r="G202" s="1"/>
      <c r="H202" s="82"/>
    </row>
    <row r="203" spans="5:8" ht="60" customHeight="1" x14ac:dyDescent="0.3">
      <c r="E203" s="10"/>
      <c r="F203" s="1"/>
      <c r="G203" s="1"/>
      <c r="H203" s="82"/>
    </row>
    <row r="204" spans="5:8" ht="60" customHeight="1" x14ac:dyDescent="0.3">
      <c r="E204" s="10"/>
      <c r="F204" s="1"/>
      <c r="G204" s="1"/>
      <c r="H204" s="82"/>
    </row>
    <row r="205" spans="5:8" ht="60" customHeight="1" x14ac:dyDescent="0.3">
      <c r="E205" s="10"/>
      <c r="F205" s="1"/>
      <c r="G205" s="1"/>
      <c r="H205" s="82"/>
    </row>
    <row r="206" spans="5:8" ht="60" customHeight="1" x14ac:dyDescent="0.3">
      <c r="E206" s="10"/>
      <c r="F206" s="1"/>
      <c r="G206" s="1"/>
      <c r="H206" s="82"/>
    </row>
    <row r="207" spans="5:8" ht="60" customHeight="1" x14ac:dyDescent="0.3">
      <c r="E207" s="10"/>
      <c r="F207" s="1"/>
      <c r="G207" s="1"/>
      <c r="H207" s="82"/>
    </row>
    <row r="208" spans="5:8" ht="60" customHeight="1" x14ac:dyDescent="0.3">
      <c r="E208" s="11"/>
      <c r="F208" s="1"/>
      <c r="G208" s="1"/>
      <c r="H208" s="82"/>
    </row>
    <row r="209" spans="5:8" ht="60" customHeight="1" x14ac:dyDescent="0.3">
      <c r="E209" s="11"/>
      <c r="F209" s="3"/>
      <c r="G209" s="3"/>
      <c r="H209" s="84"/>
    </row>
    <row r="210" spans="5:8" ht="60" customHeight="1" x14ac:dyDescent="0.3">
      <c r="E210" s="11"/>
      <c r="F210" s="3"/>
      <c r="G210" s="3"/>
      <c r="H210" s="84"/>
    </row>
    <row r="211" spans="5:8" ht="60" customHeight="1" x14ac:dyDescent="0.3">
      <c r="E211" s="10"/>
      <c r="F211" s="3"/>
      <c r="G211" s="3"/>
      <c r="H211" s="84"/>
    </row>
    <row r="212" spans="5:8" ht="60" customHeight="1" x14ac:dyDescent="0.3">
      <c r="E212" s="11"/>
      <c r="F212" s="1"/>
      <c r="G212" s="1"/>
      <c r="H212" s="82"/>
    </row>
    <row r="213" spans="5:8" ht="60" customHeight="1" x14ac:dyDescent="0.3">
      <c r="E213" s="14"/>
      <c r="F213" s="3"/>
      <c r="G213" s="3"/>
      <c r="H213" s="84"/>
    </row>
    <row r="214" spans="5:8" ht="60" customHeight="1" x14ac:dyDescent="0.3">
      <c r="E214" s="14"/>
      <c r="F214" s="4"/>
      <c r="G214" s="4"/>
      <c r="H214" s="86"/>
    </row>
    <row r="215" spans="5:8" ht="60" customHeight="1" x14ac:dyDescent="0.3">
      <c r="E215" s="14"/>
      <c r="F215" s="4"/>
      <c r="G215" s="4"/>
      <c r="H215" s="86"/>
    </row>
    <row r="216" spans="5:8" ht="60" customHeight="1" x14ac:dyDescent="0.3">
      <c r="E216" s="14"/>
      <c r="F216" s="4"/>
      <c r="G216" s="4"/>
      <c r="H216" s="86"/>
    </row>
    <row r="217" spans="5:8" ht="60" customHeight="1" x14ac:dyDescent="0.3">
      <c r="E217" s="14"/>
      <c r="F217" s="4"/>
      <c r="G217" s="4"/>
      <c r="H217" s="86"/>
    </row>
    <row r="218" spans="5:8" ht="60" customHeight="1" x14ac:dyDescent="0.3">
      <c r="E218" s="14"/>
      <c r="F218" s="4"/>
      <c r="G218" s="4"/>
      <c r="H218" s="86"/>
    </row>
    <row r="219" spans="5:8" ht="60" customHeight="1" x14ac:dyDescent="0.3">
      <c r="E219" s="14"/>
      <c r="F219" s="4"/>
      <c r="G219" s="4"/>
      <c r="H219" s="86"/>
    </row>
    <row r="220" spans="5:8" ht="60" customHeight="1" x14ac:dyDescent="0.3">
      <c r="E220" s="14"/>
      <c r="F220" s="4"/>
      <c r="G220" s="4"/>
      <c r="H220" s="86"/>
    </row>
    <row r="221" spans="5:8" ht="60" customHeight="1" x14ac:dyDescent="0.3">
      <c r="E221" s="14"/>
      <c r="F221" s="4"/>
      <c r="G221" s="4"/>
      <c r="H221" s="86"/>
    </row>
    <row r="222" spans="5:8" ht="60" customHeight="1" x14ac:dyDescent="0.3">
      <c r="E222" s="14"/>
      <c r="F222" s="4"/>
      <c r="G222" s="4"/>
      <c r="H222" s="86"/>
    </row>
    <row r="223" spans="5:8" ht="60" customHeight="1" x14ac:dyDescent="0.3">
      <c r="E223" s="11"/>
      <c r="F223" s="4"/>
      <c r="G223" s="4"/>
      <c r="H223" s="86"/>
    </row>
    <row r="224" spans="5:8" ht="60" customHeight="1" x14ac:dyDescent="0.3">
      <c r="E224" s="11"/>
      <c r="F224" s="3"/>
      <c r="G224" s="3"/>
      <c r="H224" s="84"/>
    </row>
    <row r="225" spans="5:8" ht="60" customHeight="1" x14ac:dyDescent="0.3">
      <c r="E225" s="10"/>
      <c r="F225" s="3"/>
      <c r="G225" s="3"/>
      <c r="H225" s="84"/>
    </row>
    <row r="226" spans="5:8" ht="60" customHeight="1" x14ac:dyDescent="0.3">
      <c r="E226" s="11"/>
      <c r="F226" s="1"/>
      <c r="G226" s="1"/>
      <c r="H226" s="82"/>
    </row>
    <row r="227" spans="5:8" ht="60" customHeight="1" x14ac:dyDescent="0.3">
      <c r="E227" s="11"/>
      <c r="F227" s="3"/>
      <c r="G227" s="3"/>
      <c r="H227" s="84"/>
    </row>
    <row r="228" spans="5:8" ht="60" customHeight="1" x14ac:dyDescent="0.3">
      <c r="E228" s="11"/>
      <c r="F228" s="3"/>
      <c r="G228" s="3"/>
      <c r="H228" s="84"/>
    </row>
    <row r="229" spans="5:8" ht="60" customHeight="1" x14ac:dyDescent="0.3">
      <c r="E229" s="11"/>
      <c r="F229" s="3"/>
      <c r="G229" s="3"/>
      <c r="H229" s="84"/>
    </row>
    <row r="230" spans="5:8" ht="60" customHeight="1" x14ac:dyDescent="0.3">
      <c r="E230" s="11"/>
      <c r="F230" s="3"/>
      <c r="G230" s="3"/>
      <c r="H230" s="84"/>
    </row>
    <row r="231" spans="5:8" ht="60" customHeight="1" x14ac:dyDescent="0.3">
      <c r="E231" s="11"/>
      <c r="F231" s="3"/>
      <c r="G231" s="3"/>
      <c r="H231" s="84"/>
    </row>
    <row r="232" spans="5:8" ht="60" customHeight="1" x14ac:dyDescent="0.3">
      <c r="E232" s="11"/>
      <c r="F232" s="3"/>
      <c r="G232" s="3"/>
      <c r="H232" s="84"/>
    </row>
    <row r="233" spans="5:8" ht="60" customHeight="1" x14ac:dyDescent="0.3">
      <c r="E233" s="11"/>
      <c r="F233" s="3"/>
      <c r="G233" s="3"/>
      <c r="H233" s="84"/>
    </row>
    <row r="234" spans="5:8" ht="60" customHeight="1" x14ac:dyDescent="0.3">
      <c r="E234" s="11"/>
      <c r="F234" s="3"/>
      <c r="G234" s="3"/>
      <c r="H234" s="84"/>
    </row>
    <row r="235" spans="5:8" ht="60" customHeight="1" x14ac:dyDescent="0.3">
      <c r="E235" s="11"/>
      <c r="F235" s="3"/>
      <c r="G235" s="3"/>
      <c r="H235" s="84"/>
    </row>
    <row r="236" spans="5:8" ht="60" customHeight="1" x14ac:dyDescent="0.3">
      <c r="E236" s="10"/>
      <c r="F236" s="3"/>
      <c r="G236" s="3"/>
      <c r="H236" s="84"/>
    </row>
    <row r="237" spans="5:8" ht="60" customHeight="1" x14ac:dyDescent="0.3">
      <c r="E237" s="10"/>
      <c r="F237" s="1"/>
      <c r="G237" s="1"/>
      <c r="H237" s="82"/>
    </row>
    <row r="238" spans="5:8" ht="60" customHeight="1" x14ac:dyDescent="0.3">
      <c r="E238" s="10"/>
      <c r="F238" s="1"/>
      <c r="G238" s="1"/>
      <c r="H238" s="82"/>
    </row>
    <row r="239" spans="5:8" ht="60" customHeight="1" x14ac:dyDescent="0.3">
      <c r="E239" s="11"/>
      <c r="F239" s="1"/>
      <c r="G239" s="1"/>
      <c r="H239" s="82"/>
    </row>
    <row r="240" spans="5:8" ht="60" customHeight="1" x14ac:dyDescent="0.3">
      <c r="E240" s="11"/>
      <c r="F240" s="3"/>
      <c r="G240" s="3"/>
      <c r="H240" s="84"/>
    </row>
    <row r="241" spans="5:8" ht="60" customHeight="1" x14ac:dyDescent="0.3">
      <c r="E241" s="19"/>
      <c r="F241" s="3"/>
      <c r="G241" s="3"/>
      <c r="H241" s="84"/>
    </row>
    <row r="242" spans="5:8" ht="60" customHeight="1" x14ac:dyDescent="0.3">
      <c r="E242" s="11"/>
      <c r="F242" s="5"/>
      <c r="G242" s="5"/>
      <c r="H242" s="87"/>
    </row>
    <row r="243" spans="5:8" ht="60" customHeight="1" x14ac:dyDescent="0.3">
      <c r="E243" s="11"/>
      <c r="F243" s="3"/>
      <c r="G243" s="3"/>
      <c r="H243" s="84"/>
    </row>
    <row r="244" spans="5:8" ht="60" customHeight="1" x14ac:dyDescent="0.3">
      <c r="E244" s="10"/>
      <c r="F244" s="3"/>
      <c r="G244" s="3"/>
      <c r="H244" s="84"/>
    </row>
    <row r="245" spans="5:8" ht="60" customHeight="1" x14ac:dyDescent="0.3">
      <c r="E245" s="11"/>
      <c r="F245" s="1"/>
      <c r="G245" s="1"/>
      <c r="H245" s="82"/>
    </row>
    <row r="246" spans="5:8" ht="60" customHeight="1" x14ac:dyDescent="0.3">
      <c r="E246" s="11"/>
      <c r="F246" s="3"/>
      <c r="G246" s="3"/>
      <c r="H246" s="84"/>
    </row>
    <row r="247" spans="5:8" ht="60" customHeight="1" x14ac:dyDescent="0.3">
      <c r="E247" s="10"/>
      <c r="F247" s="3"/>
      <c r="G247" s="3"/>
      <c r="H247" s="84"/>
    </row>
    <row r="248" spans="5:8" ht="60" customHeight="1" x14ac:dyDescent="0.3">
      <c r="E248" s="10"/>
      <c r="F248" s="1"/>
      <c r="G248" s="1"/>
      <c r="H248" s="82"/>
    </row>
    <row r="249" spans="5:8" ht="60" customHeight="1" x14ac:dyDescent="0.3">
      <c r="E249" s="13"/>
      <c r="F249" s="1"/>
      <c r="G249" s="1"/>
      <c r="H249" s="82"/>
    </row>
    <row r="250" spans="5:8" ht="60" customHeight="1" x14ac:dyDescent="0.3">
      <c r="E250" s="13"/>
      <c r="F250" s="6"/>
      <c r="G250" s="6"/>
      <c r="H250" s="88"/>
    </row>
    <row r="251" spans="5:8" ht="60" customHeight="1" x14ac:dyDescent="0.3">
      <c r="E251" s="11"/>
      <c r="F251" s="6"/>
      <c r="G251" s="6"/>
      <c r="H251" s="88"/>
    </row>
    <row r="252" spans="5:8" ht="60" customHeight="1" x14ac:dyDescent="0.3">
      <c r="E252" s="11"/>
      <c r="F252" s="3"/>
      <c r="G252" s="3"/>
      <c r="H252" s="84"/>
    </row>
    <row r="253" spans="5:8" ht="60" customHeight="1" x14ac:dyDescent="0.3">
      <c r="E253" s="11"/>
      <c r="F253" s="3"/>
      <c r="G253" s="3"/>
      <c r="H253" s="84"/>
    </row>
    <row r="254" spans="5:8" ht="60" customHeight="1" x14ac:dyDescent="0.3">
      <c r="E254" s="11"/>
      <c r="F254" s="3"/>
      <c r="G254" s="3"/>
      <c r="H254" s="84"/>
    </row>
    <row r="255" spans="5:8" ht="60" customHeight="1" x14ac:dyDescent="0.3">
      <c r="E255" s="11"/>
      <c r="F255" s="3"/>
      <c r="G255" s="3"/>
      <c r="H255" s="84"/>
    </row>
    <row r="256" spans="5:8" ht="60" customHeight="1" x14ac:dyDescent="0.3">
      <c r="E256" s="11"/>
      <c r="F256" s="3"/>
      <c r="G256" s="3"/>
      <c r="H256" s="84"/>
    </row>
    <row r="257" spans="5:8" ht="60" customHeight="1" x14ac:dyDescent="0.3">
      <c r="E257" s="11"/>
      <c r="F257" s="3"/>
      <c r="G257" s="3"/>
      <c r="H257" s="84"/>
    </row>
    <row r="258" spans="5:8" ht="60" customHeight="1" x14ac:dyDescent="0.3">
      <c r="E258" s="11"/>
      <c r="F258" s="3"/>
      <c r="G258" s="3"/>
      <c r="H258" s="84"/>
    </row>
    <row r="259" spans="5:8" ht="60" customHeight="1" x14ac:dyDescent="0.3">
      <c r="E259" s="11"/>
      <c r="F259" s="3"/>
      <c r="G259" s="3"/>
      <c r="H259" s="84"/>
    </row>
    <row r="260" spans="5:8" ht="60" customHeight="1" x14ac:dyDescent="0.3">
      <c r="E260" s="11"/>
      <c r="F260" s="3"/>
      <c r="G260" s="3"/>
      <c r="H260" s="84"/>
    </row>
    <row r="261" spans="5:8" ht="60" customHeight="1" x14ac:dyDescent="0.3">
      <c r="E261" s="11"/>
      <c r="F261" s="3"/>
      <c r="G261" s="3"/>
      <c r="H261" s="84"/>
    </row>
    <row r="262" spans="5:8" ht="60" customHeight="1" x14ac:dyDescent="0.3">
      <c r="E262" s="10"/>
      <c r="F262" s="3"/>
      <c r="G262" s="3"/>
      <c r="H262" s="84"/>
    </row>
    <row r="263" spans="5:8" ht="60" customHeight="1" x14ac:dyDescent="0.3">
      <c r="E263" s="10"/>
      <c r="F263" s="1"/>
      <c r="G263" s="1"/>
      <c r="H263" s="82"/>
    </row>
    <row r="264" spans="5:8" ht="60" customHeight="1" x14ac:dyDescent="0.3">
      <c r="E264" s="10"/>
      <c r="F264" s="1"/>
      <c r="G264" s="1"/>
      <c r="H264" s="82"/>
    </row>
    <row r="265" spans="5:8" ht="60" customHeight="1" x14ac:dyDescent="0.3">
      <c r="E265" s="17"/>
      <c r="F265" s="1"/>
      <c r="G265" s="1"/>
      <c r="H265" s="82"/>
    </row>
    <row r="266" spans="5:8" ht="60" customHeight="1" x14ac:dyDescent="0.3">
      <c r="E266" s="10"/>
      <c r="F266" s="7"/>
      <c r="G266" s="7"/>
      <c r="H266" s="89"/>
    </row>
    <row r="267" spans="5:8" ht="60" customHeight="1" x14ac:dyDescent="0.3">
      <c r="E267" s="10"/>
      <c r="F267" s="1"/>
      <c r="G267" s="1"/>
      <c r="H267" s="82"/>
    </row>
    <row r="268" spans="5:8" ht="60" customHeight="1" x14ac:dyDescent="0.3">
      <c r="E268" s="10"/>
      <c r="F268" s="1"/>
      <c r="G268" s="1"/>
      <c r="H268" s="82"/>
    </row>
    <row r="269" spans="5:8" ht="60" customHeight="1" x14ac:dyDescent="0.3">
      <c r="E269" s="10"/>
      <c r="F269" s="1"/>
      <c r="G269" s="1"/>
      <c r="H269" s="82"/>
    </row>
    <row r="270" spans="5:8" ht="60" customHeight="1" x14ac:dyDescent="0.3">
      <c r="E270" s="10"/>
      <c r="F270" s="1"/>
      <c r="G270" s="1"/>
      <c r="H270" s="82"/>
    </row>
    <row r="271" spans="5:8" ht="60" customHeight="1" x14ac:dyDescent="0.3">
      <c r="E271" s="11"/>
      <c r="F271" s="1"/>
      <c r="G271" s="1"/>
      <c r="H271" s="82"/>
    </row>
    <row r="272" spans="5:8" ht="60" customHeight="1" x14ac:dyDescent="0.3">
      <c r="E272" s="11"/>
      <c r="F272" s="3"/>
      <c r="G272" s="3"/>
      <c r="H272" s="84"/>
    </row>
    <row r="273" spans="5:8" ht="60" customHeight="1" x14ac:dyDescent="0.3">
      <c r="E273" s="11"/>
      <c r="F273" s="3"/>
      <c r="G273" s="3"/>
      <c r="H273" s="84"/>
    </row>
    <row r="274" spans="5:8" ht="60" customHeight="1" x14ac:dyDescent="0.3">
      <c r="E274" s="11"/>
      <c r="F274" s="3"/>
      <c r="G274" s="3"/>
      <c r="H274" s="84"/>
    </row>
    <row r="275" spans="5:8" ht="60" customHeight="1" x14ac:dyDescent="0.3">
      <c r="E275" s="11"/>
      <c r="F275" s="3"/>
      <c r="G275" s="3"/>
      <c r="H275" s="84"/>
    </row>
    <row r="276" spans="5:8" ht="60" customHeight="1" x14ac:dyDescent="0.3">
      <c r="E276" s="11"/>
      <c r="F276" s="3"/>
      <c r="G276" s="3"/>
      <c r="H276" s="84"/>
    </row>
    <row r="277" spans="5:8" ht="60" customHeight="1" x14ac:dyDescent="0.3">
      <c r="E277" s="11"/>
      <c r="F277" s="3"/>
      <c r="G277" s="3"/>
      <c r="H277" s="84"/>
    </row>
    <row r="278" spans="5:8" ht="60" customHeight="1" x14ac:dyDescent="0.3">
      <c r="E278" s="10"/>
      <c r="F278" s="3"/>
      <c r="G278" s="3"/>
      <c r="H278" s="84"/>
    </row>
    <row r="279" spans="5:8" ht="60" customHeight="1" x14ac:dyDescent="0.3">
      <c r="E279" s="11"/>
      <c r="F279" s="1"/>
      <c r="G279" s="1"/>
      <c r="H279" s="82"/>
    </row>
    <row r="280" spans="5:8" ht="60" customHeight="1" x14ac:dyDescent="0.3">
      <c r="E280" s="11"/>
      <c r="F280" s="3"/>
      <c r="G280" s="3"/>
      <c r="H280" s="84"/>
    </row>
    <row r="281" spans="5:8" ht="60" customHeight="1" x14ac:dyDescent="0.3">
      <c r="E281" s="11"/>
      <c r="F281" s="3"/>
      <c r="G281" s="3"/>
      <c r="H281" s="84"/>
    </row>
    <row r="282" spans="5:8" ht="60" customHeight="1" x14ac:dyDescent="0.3">
      <c r="E282" s="11"/>
      <c r="F282" s="3"/>
      <c r="G282" s="3"/>
      <c r="H282" s="84"/>
    </row>
    <row r="283" spans="5:8" ht="60" customHeight="1" x14ac:dyDescent="0.3">
      <c r="E283" s="11"/>
      <c r="F283" s="3"/>
      <c r="G283" s="3"/>
      <c r="H283" s="84"/>
    </row>
    <row r="284" spans="5:8" ht="60" customHeight="1" x14ac:dyDescent="0.3">
      <c r="E284" s="11"/>
      <c r="F284" s="3"/>
      <c r="G284" s="3"/>
      <c r="H284" s="84"/>
    </row>
    <row r="285" spans="5:8" ht="60" customHeight="1" x14ac:dyDescent="0.3">
      <c r="E285" s="11"/>
      <c r="F285" s="3"/>
      <c r="G285" s="3"/>
      <c r="H285" s="84"/>
    </row>
    <row r="286" spans="5:8" ht="60" customHeight="1" x14ac:dyDescent="0.3">
      <c r="E286" s="11"/>
      <c r="F286" s="3"/>
      <c r="G286" s="3"/>
      <c r="H286" s="84"/>
    </row>
    <row r="287" spans="5:8" ht="60" customHeight="1" x14ac:dyDescent="0.3">
      <c r="E287" s="11"/>
      <c r="F287" s="3"/>
      <c r="G287" s="3"/>
      <c r="H287" s="84"/>
    </row>
    <row r="288" spans="5:8" ht="60" customHeight="1" x14ac:dyDescent="0.3">
      <c r="E288" s="11"/>
      <c r="F288" s="3"/>
      <c r="G288" s="3"/>
      <c r="H288" s="84"/>
    </row>
    <row r="289" spans="5:8" ht="60" customHeight="1" x14ac:dyDescent="0.3">
      <c r="E289" s="10"/>
      <c r="F289" s="3"/>
      <c r="G289" s="3"/>
      <c r="H289" s="84"/>
    </row>
    <row r="290" spans="5:8" ht="60" customHeight="1" x14ac:dyDescent="0.3">
      <c r="E290" s="11"/>
      <c r="F290" s="1"/>
      <c r="G290" s="1"/>
      <c r="H290" s="82"/>
    </row>
    <row r="291" spans="5:8" ht="60" customHeight="1" x14ac:dyDescent="0.3">
      <c r="E291" s="11"/>
      <c r="F291" s="3"/>
      <c r="G291" s="3"/>
      <c r="H291" s="84"/>
    </row>
    <row r="292" spans="5:8" ht="60" customHeight="1" x14ac:dyDescent="0.3">
      <c r="E292" s="11"/>
      <c r="F292" s="3"/>
      <c r="G292" s="3"/>
      <c r="H292" s="84"/>
    </row>
    <row r="293" spans="5:8" ht="60" customHeight="1" x14ac:dyDescent="0.3">
      <c r="E293" s="11"/>
      <c r="F293" s="3"/>
      <c r="G293" s="3"/>
      <c r="H293" s="84"/>
    </row>
    <row r="294" spans="5:8" ht="60" customHeight="1" x14ac:dyDescent="0.3">
      <c r="E294" s="11"/>
      <c r="F294" s="3"/>
      <c r="G294" s="3"/>
      <c r="H294" s="84"/>
    </row>
    <row r="295" spans="5:8" ht="60" customHeight="1" x14ac:dyDescent="0.3">
      <c r="E295" s="11"/>
      <c r="F295" s="3"/>
      <c r="G295" s="3"/>
      <c r="H295" s="84"/>
    </row>
    <row r="296" spans="5:8" ht="60" customHeight="1" x14ac:dyDescent="0.3">
      <c r="E296" s="11"/>
      <c r="F296" s="3"/>
      <c r="G296" s="3"/>
      <c r="H296" s="84"/>
    </row>
    <row r="297" spans="5:8" ht="60" customHeight="1" x14ac:dyDescent="0.3">
      <c r="E297" s="11"/>
      <c r="F297" s="3"/>
      <c r="G297" s="3"/>
      <c r="H297" s="84"/>
    </row>
    <row r="298" spans="5:8" ht="60" customHeight="1" x14ac:dyDescent="0.3">
      <c r="E298" s="10"/>
      <c r="F298" s="3"/>
      <c r="G298" s="3"/>
      <c r="H298" s="84"/>
    </row>
    <row r="299" spans="5:8" ht="60" customHeight="1" x14ac:dyDescent="0.3">
      <c r="E299" s="10"/>
      <c r="F299" s="1"/>
      <c r="G299" s="1"/>
      <c r="H299" s="82"/>
    </row>
    <row r="300" spans="5:8" ht="60" customHeight="1" x14ac:dyDescent="0.3">
      <c r="E300" s="10"/>
      <c r="F300" s="1"/>
      <c r="G300" s="1"/>
      <c r="H300" s="82"/>
    </row>
    <row r="301" spans="5:8" ht="60" customHeight="1" x14ac:dyDescent="0.3">
      <c r="E301" s="10"/>
      <c r="F301" s="1"/>
      <c r="G301" s="1"/>
      <c r="H301" s="82"/>
    </row>
    <row r="302" spans="5:8" ht="60" customHeight="1" x14ac:dyDescent="0.3">
      <c r="E302" s="10"/>
      <c r="F302" s="1"/>
      <c r="G302" s="1"/>
      <c r="H302" s="82"/>
    </row>
    <row r="303" spans="5:8" ht="60" customHeight="1" x14ac:dyDescent="0.3">
      <c r="E303" s="11"/>
      <c r="F303" s="1"/>
      <c r="G303" s="1"/>
      <c r="H303" s="82"/>
    </row>
    <row r="304" spans="5:8" ht="60" customHeight="1" x14ac:dyDescent="0.3">
      <c r="E304" s="11"/>
      <c r="F304" s="3"/>
      <c r="G304" s="3"/>
      <c r="H304" s="84"/>
    </row>
    <row r="305" spans="5:8" ht="60" customHeight="1" x14ac:dyDescent="0.3">
      <c r="E305" s="18"/>
      <c r="F305" s="3"/>
      <c r="G305" s="3"/>
      <c r="H305" s="84"/>
    </row>
    <row r="306" spans="5:8" ht="60" customHeight="1" x14ac:dyDescent="0.3">
      <c r="E306" s="11"/>
      <c r="F306" s="8"/>
      <c r="G306" s="8"/>
      <c r="H306" s="90"/>
    </row>
    <row r="307" spans="5:8" ht="60" customHeight="1" x14ac:dyDescent="0.3">
      <c r="E307" s="11"/>
      <c r="F307" s="3"/>
      <c r="G307" s="3"/>
      <c r="H307" s="84"/>
    </row>
    <row r="308" spans="5:8" ht="60" customHeight="1" x14ac:dyDescent="0.3">
      <c r="E308" s="11"/>
      <c r="F308" s="3"/>
      <c r="G308" s="3"/>
      <c r="H308" s="84"/>
    </row>
    <row r="309" spans="5:8" ht="60" customHeight="1" x14ac:dyDescent="0.3">
      <c r="E309" s="11"/>
      <c r="F309" s="3"/>
      <c r="G309" s="3"/>
      <c r="H309" s="84"/>
    </row>
    <row r="310" spans="5:8" ht="60" customHeight="1" x14ac:dyDescent="0.3">
      <c r="E310" s="11"/>
      <c r="F310" s="3"/>
      <c r="G310" s="3"/>
      <c r="H310" s="84"/>
    </row>
    <row r="311" spans="5:8" ht="60" customHeight="1" x14ac:dyDescent="0.3">
      <c r="E311" s="11"/>
      <c r="F311" s="3"/>
      <c r="G311" s="3"/>
      <c r="H311" s="84"/>
    </row>
    <row r="312" spans="5:8" ht="60" customHeight="1" x14ac:dyDescent="0.3">
      <c r="E312" s="11"/>
      <c r="F312" s="3"/>
      <c r="G312" s="3"/>
      <c r="H312" s="84"/>
    </row>
    <row r="313" spans="5:8" ht="60" customHeight="1" x14ac:dyDescent="0.3">
      <c r="E313" s="11"/>
      <c r="F313" s="3"/>
      <c r="G313" s="3"/>
      <c r="H313" s="84"/>
    </row>
    <row r="314" spans="5:8" ht="60" customHeight="1" x14ac:dyDescent="0.3">
      <c r="E314" s="10"/>
      <c r="F314" s="3"/>
      <c r="G314" s="3"/>
      <c r="H314" s="84"/>
    </row>
    <row r="315" spans="5:8" ht="60" customHeight="1" x14ac:dyDescent="0.3">
      <c r="E315" s="11"/>
      <c r="F315" s="1"/>
      <c r="G315" s="1"/>
      <c r="H315" s="82"/>
    </row>
    <row r="316" spans="5:8" ht="60" customHeight="1" x14ac:dyDescent="0.3">
      <c r="E316" s="10"/>
      <c r="F316" s="3"/>
      <c r="G316" s="3"/>
      <c r="H316" s="84"/>
    </row>
    <row r="317" spans="5:8" ht="60" customHeight="1" x14ac:dyDescent="0.3">
      <c r="E317" s="10"/>
      <c r="F317" s="1"/>
      <c r="G317" s="1"/>
      <c r="H317" s="82"/>
    </row>
    <row r="318" spans="5:8" ht="60" customHeight="1" x14ac:dyDescent="0.3">
      <c r="E318" s="11"/>
      <c r="F318" s="1"/>
      <c r="G318" s="1"/>
      <c r="H318" s="82"/>
    </row>
    <row r="319" spans="5:8" ht="60" customHeight="1" x14ac:dyDescent="0.3">
      <c r="E319" s="11"/>
      <c r="F319" s="3"/>
      <c r="G319" s="3"/>
      <c r="H319" s="84"/>
    </row>
    <row r="320" spans="5:8" ht="60" customHeight="1" x14ac:dyDescent="0.3">
      <c r="E320" s="11"/>
      <c r="F320" s="3"/>
      <c r="G320" s="3"/>
      <c r="H320" s="84"/>
    </row>
    <row r="321" spans="5:8" ht="60" customHeight="1" x14ac:dyDescent="0.3">
      <c r="E321" s="11"/>
      <c r="F321" s="3"/>
      <c r="G321" s="3"/>
      <c r="H321" s="84"/>
    </row>
    <row r="322" spans="5:8" ht="60" customHeight="1" x14ac:dyDescent="0.3">
      <c r="E322" s="11"/>
      <c r="F322" s="3"/>
      <c r="G322" s="3"/>
      <c r="H322" s="84"/>
    </row>
    <row r="323" spans="5:8" ht="60" customHeight="1" x14ac:dyDescent="0.3">
      <c r="E323" s="11"/>
      <c r="F323" s="3"/>
      <c r="G323" s="3"/>
      <c r="H323" s="84"/>
    </row>
    <row r="324" spans="5:8" ht="60" customHeight="1" x14ac:dyDescent="0.3">
      <c r="E324" s="11"/>
      <c r="F324" s="3"/>
      <c r="G324" s="3"/>
      <c r="H324" s="84"/>
    </row>
    <row r="325" spans="5:8" ht="60" customHeight="1" x14ac:dyDescent="0.3">
      <c r="E325" s="11"/>
      <c r="F325" s="3"/>
      <c r="G325" s="3"/>
      <c r="H325" s="84"/>
    </row>
    <row r="326" spans="5:8" ht="60" customHeight="1" x14ac:dyDescent="0.3">
      <c r="E326" s="11"/>
      <c r="F326" s="3"/>
      <c r="G326" s="3"/>
      <c r="H326" s="84"/>
    </row>
    <row r="327" spans="5:8" ht="60" customHeight="1" x14ac:dyDescent="0.3">
      <c r="E327" s="11"/>
      <c r="F327" s="3"/>
      <c r="G327" s="3"/>
      <c r="H327" s="84"/>
    </row>
    <row r="328" spans="5:8" ht="60" customHeight="1" x14ac:dyDescent="0.3">
      <c r="E328" s="10"/>
      <c r="F328" s="3"/>
      <c r="G328" s="3"/>
      <c r="H328" s="84"/>
    </row>
    <row r="329" spans="5:8" ht="60" customHeight="1" x14ac:dyDescent="0.3">
      <c r="E329" s="11"/>
      <c r="F329" s="1"/>
      <c r="G329" s="1"/>
      <c r="H329" s="82"/>
    </row>
    <row r="330" spans="5:8" ht="60" customHeight="1" x14ac:dyDescent="0.3">
      <c r="E330" s="11"/>
      <c r="F330" s="3"/>
      <c r="G330" s="3"/>
      <c r="H330" s="84"/>
    </row>
    <row r="331" spans="5:8" ht="60" customHeight="1" x14ac:dyDescent="0.3">
      <c r="E331" s="11"/>
      <c r="F331" s="3"/>
      <c r="G331" s="3"/>
      <c r="H331" s="84"/>
    </row>
    <row r="332" spans="5:8" ht="60" customHeight="1" x14ac:dyDescent="0.3">
      <c r="E332" s="11"/>
      <c r="F332" s="3"/>
      <c r="G332" s="3"/>
      <c r="H332" s="84"/>
    </row>
    <row r="333" spans="5:8" ht="60" customHeight="1" x14ac:dyDescent="0.3">
      <c r="E333" s="11"/>
      <c r="F333" s="3"/>
      <c r="G333" s="3"/>
      <c r="H333" s="84"/>
    </row>
    <row r="334" spans="5:8" ht="60" customHeight="1" x14ac:dyDescent="0.3">
      <c r="E334" s="10"/>
      <c r="F334" s="3"/>
      <c r="G334" s="3"/>
      <c r="H334" s="84"/>
    </row>
    <row r="335" spans="5:8" ht="60" customHeight="1" x14ac:dyDescent="0.3">
      <c r="E335" s="11"/>
      <c r="F335" s="1"/>
      <c r="G335" s="1"/>
      <c r="H335" s="82"/>
    </row>
    <row r="336" spans="5:8" ht="60" customHeight="1" x14ac:dyDescent="0.3">
      <c r="E336" s="11"/>
      <c r="F336" s="3"/>
      <c r="G336" s="3"/>
      <c r="H336" s="84"/>
    </row>
    <row r="337" spans="5:8" ht="60" customHeight="1" x14ac:dyDescent="0.3">
      <c r="E337" s="11"/>
      <c r="F337" s="3"/>
      <c r="G337" s="3"/>
      <c r="H337" s="84"/>
    </row>
    <row r="338" spans="5:8" ht="60" customHeight="1" x14ac:dyDescent="0.3">
      <c r="E338" s="10"/>
      <c r="F338" s="3"/>
      <c r="G338" s="3"/>
      <c r="H338" s="84"/>
    </row>
    <row r="339" spans="5:8" ht="60" customHeight="1" x14ac:dyDescent="0.3">
      <c r="E339" s="11"/>
      <c r="F339" s="1"/>
      <c r="G339" s="1"/>
      <c r="H339" s="82"/>
    </row>
    <row r="340" spans="5:8" ht="60" customHeight="1" x14ac:dyDescent="0.3">
      <c r="E340" s="10"/>
      <c r="F340" s="3"/>
      <c r="G340" s="3"/>
      <c r="H340" s="84"/>
    </row>
    <row r="341" spans="5:8" ht="60" customHeight="1" x14ac:dyDescent="0.3">
      <c r="E341" s="10"/>
      <c r="F341" s="1"/>
      <c r="G341" s="1"/>
      <c r="H341" s="82"/>
    </row>
    <row r="342" spans="5:8" ht="60" customHeight="1" x14ac:dyDescent="0.3">
      <c r="E342" s="10"/>
      <c r="F342" s="1"/>
      <c r="G342" s="1"/>
      <c r="H342" s="82"/>
    </row>
    <row r="343" spans="5:8" ht="60" customHeight="1" x14ac:dyDescent="0.3">
      <c r="E343" s="10"/>
      <c r="F343" s="1"/>
      <c r="G343" s="1"/>
      <c r="H343" s="82"/>
    </row>
    <row r="344" spans="5:8" ht="60" customHeight="1" x14ac:dyDescent="0.3">
      <c r="E344" s="10"/>
      <c r="F344" s="1"/>
      <c r="G344" s="1"/>
      <c r="H344" s="82"/>
    </row>
    <row r="345" spans="5:8" ht="60" customHeight="1" x14ac:dyDescent="0.3">
      <c r="F345" s="1"/>
      <c r="G345" s="1"/>
      <c r="H345" s="82"/>
    </row>
  </sheetData>
  <sortState ref="E62:G63">
    <sortCondition descending="1" ref="G62:G63"/>
  </sortState>
  <mergeCells count="48">
    <mergeCell ref="D61:D64"/>
    <mergeCell ref="B61:B64"/>
    <mergeCell ref="D66:D69"/>
    <mergeCell ref="B66:B69"/>
    <mergeCell ref="B58:B59"/>
    <mergeCell ref="D58:D59"/>
    <mergeCell ref="C58:C59"/>
    <mergeCell ref="C61:C64"/>
    <mergeCell ref="C66:C69"/>
    <mergeCell ref="B45:B46"/>
    <mergeCell ref="D45:D46"/>
    <mergeCell ref="D48:D50"/>
    <mergeCell ref="B48:B50"/>
    <mergeCell ref="B42:B43"/>
    <mergeCell ref="D42:D43"/>
    <mergeCell ref="C42:C43"/>
    <mergeCell ref="C48:C50"/>
    <mergeCell ref="C45:C46"/>
    <mergeCell ref="B71:B75"/>
    <mergeCell ref="D71:D75"/>
    <mergeCell ref="D77:D80"/>
    <mergeCell ref="B77:B80"/>
    <mergeCell ref="C71:C75"/>
    <mergeCell ref="C77:C80"/>
    <mergeCell ref="D23:D27"/>
    <mergeCell ref="B23:B27"/>
    <mergeCell ref="B36:B37"/>
    <mergeCell ref="D39:D40"/>
    <mergeCell ref="B39:B40"/>
    <mergeCell ref="B29:B31"/>
    <mergeCell ref="D29:D31"/>
    <mergeCell ref="D36:D37"/>
    <mergeCell ref="C23:C27"/>
    <mergeCell ref="C29:C31"/>
    <mergeCell ref="C36:C37"/>
    <mergeCell ref="C39:C40"/>
    <mergeCell ref="C2:C3"/>
    <mergeCell ref="C5:C6"/>
    <mergeCell ref="C10:C11"/>
    <mergeCell ref="D20:D21"/>
    <mergeCell ref="B20:B21"/>
    <mergeCell ref="D2:D3"/>
    <mergeCell ref="B2:B3"/>
    <mergeCell ref="D5:D6"/>
    <mergeCell ref="B5:B6"/>
    <mergeCell ref="D10:D11"/>
    <mergeCell ref="B10:B11"/>
    <mergeCell ref="C20:C2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350"/>
  <sheetViews>
    <sheetView topLeftCell="A7" zoomScale="90" zoomScaleNormal="90" workbookViewId="0">
      <selection activeCell="E23" sqref="E23"/>
    </sheetView>
  </sheetViews>
  <sheetFormatPr defaultRowHeight="14.4" x14ac:dyDescent="0.3"/>
  <cols>
    <col min="3" max="3" width="9" style="16" customWidth="1"/>
    <col min="4" max="4" width="41.88671875" style="16" customWidth="1"/>
    <col min="5" max="5" width="12.21875" customWidth="1"/>
    <col min="6" max="6" width="8.88671875" style="69"/>
  </cols>
  <sheetData>
    <row r="1" spans="3:6" ht="45" customHeight="1" thickTop="1" thickBot="1" x14ac:dyDescent="0.45">
      <c r="C1" s="58" t="s">
        <v>142</v>
      </c>
      <c r="D1" s="58" t="s">
        <v>151</v>
      </c>
      <c r="E1" s="59" t="s">
        <v>152</v>
      </c>
      <c r="F1" s="92" t="s">
        <v>189</v>
      </c>
    </row>
    <row r="2" spans="3:6" ht="32.4" thickTop="1" thickBot="1" x14ac:dyDescent="0.35">
      <c r="C2" s="60">
        <v>80</v>
      </c>
      <c r="D2" s="60" t="s">
        <v>28</v>
      </c>
      <c r="E2" s="61">
        <v>50</v>
      </c>
      <c r="F2" s="70">
        <f>E2/C2</f>
        <v>0.625</v>
      </c>
    </row>
    <row r="3" spans="3:6" ht="16.2" thickTop="1" thickBot="1" x14ac:dyDescent="0.35">
      <c r="C3" s="62"/>
      <c r="D3" s="62" t="s">
        <v>3</v>
      </c>
      <c r="E3" s="61">
        <v>2</v>
      </c>
      <c r="F3" s="70"/>
    </row>
    <row r="4" spans="3:6" ht="31.2" thickTop="1" thickBot="1" x14ac:dyDescent="0.35">
      <c r="C4" s="148">
        <v>243</v>
      </c>
      <c r="D4" s="63" t="s">
        <v>37</v>
      </c>
      <c r="E4" s="61">
        <v>1</v>
      </c>
      <c r="F4" s="70">
        <f>E4/243</f>
        <v>4.11522633744856E-3</v>
      </c>
    </row>
    <row r="5" spans="3:6" ht="31.2" thickTop="1" thickBot="1" x14ac:dyDescent="0.35">
      <c r="C5" s="148"/>
      <c r="D5" s="63" t="s">
        <v>36</v>
      </c>
      <c r="E5" s="61">
        <v>2</v>
      </c>
      <c r="F5" s="70">
        <f t="shared" ref="F5:F8" si="0">E5/243</f>
        <v>8.23045267489712E-3</v>
      </c>
    </row>
    <row r="6" spans="3:6" ht="31.2" thickTop="1" thickBot="1" x14ac:dyDescent="0.35">
      <c r="C6" s="148"/>
      <c r="D6" s="64" t="s">
        <v>12</v>
      </c>
      <c r="E6" s="61">
        <v>15</v>
      </c>
      <c r="F6" s="70">
        <f t="shared" si="0"/>
        <v>6.1728395061728392E-2</v>
      </c>
    </row>
    <row r="7" spans="3:6" ht="31.2" thickTop="1" thickBot="1" x14ac:dyDescent="0.35">
      <c r="C7" s="148"/>
      <c r="D7" s="64" t="s">
        <v>11</v>
      </c>
      <c r="E7" s="61">
        <v>17</v>
      </c>
      <c r="F7" s="70">
        <f>E7/243</f>
        <v>6.9958847736625515E-2</v>
      </c>
    </row>
    <row r="8" spans="3:6" ht="31.2" thickTop="1" thickBot="1" x14ac:dyDescent="0.35">
      <c r="C8" s="148"/>
      <c r="D8" s="63" t="s">
        <v>13</v>
      </c>
      <c r="E8" s="61">
        <v>3</v>
      </c>
      <c r="F8" s="70">
        <f t="shared" si="0"/>
        <v>1.2345679012345678E-2</v>
      </c>
    </row>
    <row r="9" spans="3:6" ht="16.2" thickTop="1" thickBot="1" x14ac:dyDescent="0.35">
      <c r="C9" s="65"/>
      <c r="D9" s="65" t="s">
        <v>29</v>
      </c>
      <c r="E9" s="61">
        <v>5</v>
      </c>
      <c r="F9" s="70"/>
    </row>
    <row r="10" spans="3:6" ht="16.8" thickTop="1" thickBot="1" x14ac:dyDescent="0.35">
      <c r="C10" s="63"/>
      <c r="D10" s="63" t="s">
        <v>30</v>
      </c>
      <c r="E10" s="61">
        <v>5</v>
      </c>
      <c r="F10" s="70"/>
    </row>
    <row r="11" spans="3:6" ht="16.8" thickTop="1" thickBot="1" x14ac:dyDescent="0.35">
      <c r="C11" s="65">
        <v>417</v>
      </c>
      <c r="D11" s="65" t="s">
        <v>49</v>
      </c>
      <c r="E11" s="61">
        <v>4</v>
      </c>
      <c r="F11" s="70">
        <f>E11/C11</f>
        <v>9.5923261390887284E-3</v>
      </c>
    </row>
    <row r="12" spans="3:6" ht="16.2" thickTop="1" thickBot="1" x14ac:dyDescent="0.35">
      <c r="C12" s="66"/>
      <c r="D12" s="66" t="s">
        <v>1</v>
      </c>
      <c r="E12" s="61">
        <v>4</v>
      </c>
      <c r="F12" s="70"/>
    </row>
    <row r="13" spans="3:6" ht="16.2" thickTop="1" thickBot="1" x14ac:dyDescent="0.35">
      <c r="C13" s="62"/>
      <c r="D13" s="62" t="s">
        <v>137</v>
      </c>
      <c r="E13" s="61">
        <v>3</v>
      </c>
      <c r="F13" s="70"/>
    </row>
    <row r="14" spans="3:6" ht="32.4" thickTop="1" thickBot="1" x14ac:dyDescent="0.35">
      <c r="C14" s="63"/>
      <c r="D14" s="63" t="s">
        <v>0</v>
      </c>
      <c r="E14" s="61">
        <v>1</v>
      </c>
      <c r="F14" s="70"/>
    </row>
    <row r="15" spans="3:6" ht="31.2" thickTop="1" thickBot="1" x14ac:dyDescent="0.35">
      <c r="C15" s="65"/>
      <c r="D15" s="65" t="s">
        <v>48</v>
      </c>
      <c r="E15" s="61">
        <v>1</v>
      </c>
      <c r="F15" s="70"/>
    </row>
    <row r="16" spans="3:6" ht="16.2" thickTop="1" thickBot="1" x14ac:dyDescent="0.35">
      <c r="C16" s="66"/>
      <c r="D16" s="66" t="s">
        <v>2</v>
      </c>
      <c r="E16" s="61">
        <v>1</v>
      </c>
      <c r="F16" s="70"/>
    </row>
    <row r="17" spans="3:6" ht="31.2" thickTop="1" thickBot="1" x14ac:dyDescent="0.35">
      <c r="C17" s="66"/>
      <c r="D17" s="66" t="s">
        <v>140</v>
      </c>
      <c r="E17" s="61">
        <v>2</v>
      </c>
      <c r="F17" s="70"/>
    </row>
    <row r="18" spans="3:6" ht="31.2" thickTop="1" thickBot="1" x14ac:dyDescent="0.35">
      <c r="C18" s="66"/>
      <c r="D18" s="66" t="s">
        <v>46</v>
      </c>
      <c r="E18" s="61">
        <v>1</v>
      </c>
      <c r="F18" s="70"/>
    </row>
    <row r="19" spans="3:6" ht="16.2" thickTop="1" x14ac:dyDescent="0.3">
      <c r="C19" s="15"/>
      <c r="D19" s="15"/>
    </row>
    <row r="20" spans="3:6" ht="15.6" x14ac:dyDescent="0.3">
      <c r="C20" s="15"/>
      <c r="D20" s="15"/>
    </row>
    <row r="21" spans="3:6" ht="15.6" x14ac:dyDescent="0.3">
      <c r="C21" s="15"/>
      <c r="D21" s="15"/>
    </row>
    <row r="22" spans="3:6" ht="15" x14ac:dyDescent="0.3">
      <c r="C22" s="12"/>
      <c r="D22" s="12"/>
    </row>
    <row r="23" spans="3:6" ht="15" x14ac:dyDescent="0.3">
      <c r="C23" s="12"/>
      <c r="D23" s="12"/>
    </row>
    <row r="24" spans="3:6" ht="15" x14ac:dyDescent="0.3">
      <c r="C24" s="10"/>
      <c r="D24" s="10"/>
    </row>
    <row r="25" spans="3:6" ht="15" x14ac:dyDescent="0.3">
      <c r="C25" s="10"/>
      <c r="D25" s="10"/>
    </row>
    <row r="26" spans="3:6" ht="15" x14ac:dyDescent="0.3">
      <c r="C26" s="10"/>
      <c r="D26" s="10"/>
    </row>
    <row r="27" spans="3:6" ht="15" x14ac:dyDescent="0.3">
      <c r="C27" s="10"/>
      <c r="D27" s="10"/>
    </row>
    <row r="28" spans="3:6" ht="15.6" x14ac:dyDescent="0.3">
      <c r="C28" s="15"/>
      <c r="D28" s="15"/>
    </row>
    <row r="29" spans="3:6" ht="15.6" x14ac:dyDescent="0.3">
      <c r="C29" s="15"/>
      <c r="D29" s="15"/>
    </row>
    <row r="30" spans="3:6" ht="15.6" x14ac:dyDescent="0.3">
      <c r="C30" s="15"/>
      <c r="D30" s="15"/>
    </row>
    <row r="31" spans="3:6" ht="15.6" x14ac:dyDescent="0.3">
      <c r="C31" s="15"/>
      <c r="D31" s="15"/>
    </row>
    <row r="32" spans="3:6" ht="15" x14ac:dyDescent="0.3">
      <c r="C32" s="12"/>
      <c r="D32" s="12"/>
    </row>
    <row r="33" spans="3:4" ht="15" x14ac:dyDescent="0.3">
      <c r="C33" s="10"/>
      <c r="D33" s="10"/>
    </row>
    <row r="34" spans="3:4" ht="15" x14ac:dyDescent="0.3">
      <c r="C34" s="10"/>
      <c r="D34" s="10"/>
    </row>
    <row r="35" spans="3:4" ht="15" x14ac:dyDescent="0.3">
      <c r="C35" s="10"/>
      <c r="D35" s="10"/>
    </row>
    <row r="36" spans="3:4" ht="15" x14ac:dyDescent="0.3">
      <c r="C36" s="10"/>
      <c r="D36" s="10"/>
    </row>
    <row r="37" spans="3:4" ht="15" x14ac:dyDescent="0.3">
      <c r="C37" s="10"/>
      <c r="D37" s="10"/>
    </row>
    <row r="38" spans="3:4" ht="15.6" x14ac:dyDescent="0.3">
      <c r="C38" s="11"/>
      <c r="D38" s="11"/>
    </row>
    <row r="39" spans="3:4" ht="15.6" x14ac:dyDescent="0.3">
      <c r="C39" s="11"/>
      <c r="D39" s="11"/>
    </row>
    <row r="40" spans="3:4" ht="15.6" x14ac:dyDescent="0.3">
      <c r="C40" s="11"/>
      <c r="D40" s="11"/>
    </row>
    <row r="41" spans="3:4" ht="15.6" x14ac:dyDescent="0.3">
      <c r="C41" s="11"/>
      <c r="D41" s="11"/>
    </row>
    <row r="42" spans="3:4" ht="15.6" x14ac:dyDescent="0.3">
      <c r="C42" s="11"/>
      <c r="D42" s="11"/>
    </row>
    <row r="43" spans="3:4" ht="15.6" x14ac:dyDescent="0.3">
      <c r="C43" s="11"/>
      <c r="D43" s="11"/>
    </row>
    <row r="44" spans="3:4" ht="15.6" x14ac:dyDescent="0.3">
      <c r="C44" s="11"/>
      <c r="D44" s="11"/>
    </row>
    <row r="45" spans="3:4" ht="15.6" x14ac:dyDescent="0.3">
      <c r="C45" s="11"/>
      <c r="D45" s="11"/>
    </row>
    <row r="46" spans="3:4" ht="15.6" x14ac:dyDescent="0.3">
      <c r="C46" s="11"/>
      <c r="D46" s="11"/>
    </row>
    <row r="47" spans="3:4" ht="15.6" x14ac:dyDescent="0.3">
      <c r="C47" s="11"/>
      <c r="D47" s="11"/>
    </row>
    <row r="48" spans="3:4" ht="15" x14ac:dyDescent="0.3">
      <c r="C48" s="10"/>
      <c r="D48" s="10"/>
    </row>
    <row r="49" spans="3:4" ht="15" x14ac:dyDescent="0.3">
      <c r="C49" s="10"/>
      <c r="D49" s="10"/>
    </row>
    <row r="50" spans="3:4" ht="15" x14ac:dyDescent="0.3">
      <c r="C50" s="10"/>
      <c r="D50" s="10"/>
    </row>
    <row r="51" spans="3:4" ht="15" x14ac:dyDescent="0.3">
      <c r="C51" s="10"/>
      <c r="D51" s="10"/>
    </row>
    <row r="52" spans="3:4" ht="15" x14ac:dyDescent="0.3">
      <c r="C52" s="10"/>
      <c r="D52" s="10"/>
    </row>
    <row r="53" spans="3:4" ht="15.6" x14ac:dyDescent="0.3">
      <c r="C53" s="11"/>
      <c r="D53" s="11"/>
    </row>
    <row r="54" spans="3:4" ht="15.6" x14ac:dyDescent="0.3">
      <c r="C54" s="11"/>
      <c r="D54" s="11"/>
    </row>
    <row r="55" spans="3:4" ht="15.6" x14ac:dyDescent="0.3">
      <c r="C55" s="11"/>
      <c r="D55" s="11"/>
    </row>
    <row r="56" spans="3:4" ht="15.6" x14ac:dyDescent="0.3">
      <c r="C56" s="11"/>
      <c r="D56" s="11"/>
    </row>
    <row r="57" spans="3:4" ht="15.6" x14ac:dyDescent="0.3">
      <c r="C57" s="11"/>
      <c r="D57" s="11"/>
    </row>
    <row r="61" spans="3:4" ht="15.6" x14ac:dyDescent="0.3">
      <c r="C61" s="11"/>
      <c r="D61" s="11"/>
    </row>
    <row r="62" spans="3:4" ht="15.6" x14ac:dyDescent="0.3">
      <c r="C62" s="11"/>
      <c r="D62" s="11"/>
    </row>
    <row r="63" spans="3:4" ht="15.6" x14ac:dyDescent="0.3">
      <c r="C63" s="11"/>
      <c r="D63" s="11"/>
    </row>
    <row r="64" spans="3:4" ht="15.6" x14ac:dyDescent="0.3">
      <c r="C64" s="11"/>
      <c r="D64" s="11"/>
    </row>
    <row r="65" spans="3:4" ht="15.6" x14ac:dyDescent="0.3">
      <c r="C65" s="11"/>
      <c r="D65" s="11"/>
    </row>
    <row r="66" spans="3:4" ht="15.6" x14ac:dyDescent="0.3">
      <c r="C66" s="11"/>
      <c r="D66" s="11"/>
    </row>
    <row r="67" spans="3:4" ht="15" x14ac:dyDescent="0.3">
      <c r="C67" s="10"/>
      <c r="D67" s="10"/>
    </row>
    <row r="70" spans="3:4" ht="15" x14ac:dyDescent="0.3">
      <c r="C70" s="10"/>
      <c r="D70" s="10"/>
    </row>
    <row r="71" spans="3:4" ht="15" x14ac:dyDescent="0.3">
      <c r="C71" s="10"/>
      <c r="D71" s="10"/>
    </row>
    <row r="72" spans="3:4" ht="15" x14ac:dyDescent="0.3">
      <c r="C72" s="10"/>
      <c r="D72" s="10"/>
    </row>
    <row r="73" spans="3:4" ht="15" x14ac:dyDescent="0.3">
      <c r="C73" s="10"/>
      <c r="D73" s="10"/>
    </row>
    <row r="74" spans="3:4" ht="15" x14ac:dyDescent="0.3">
      <c r="C74" s="10"/>
      <c r="D74" s="10"/>
    </row>
    <row r="75" spans="3:4" ht="15" x14ac:dyDescent="0.3">
      <c r="C75" s="10"/>
      <c r="D75" s="10"/>
    </row>
    <row r="76" spans="3:4" ht="15" x14ac:dyDescent="0.3">
      <c r="C76" s="10"/>
      <c r="D76" s="10"/>
    </row>
    <row r="77" spans="3:4" ht="15" x14ac:dyDescent="0.3">
      <c r="C77" s="10"/>
      <c r="D77" s="10"/>
    </row>
    <row r="78" spans="3:4" ht="15" x14ac:dyDescent="0.3">
      <c r="C78" s="10"/>
      <c r="D78" s="10"/>
    </row>
    <row r="79" spans="3:4" ht="15" x14ac:dyDescent="0.3">
      <c r="C79" s="10"/>
      <c r="D79" s="10"/>
    </row>
    <row r="84" spans="3:4" ht="15" x14ac:dyDescent="0.3">
      <c r="C84" s="10"/>
      <c r="D84" s="10"/>
    </row>
    <row r="85" spans="3:4" ht="15" x14ac:dyDescent="0.3">
      <c r="C85" s="10"/>
      <c r="D85" s="10"/>
    </row>
    <row r="86" spans="3:4" ht="15" x14ac:dyDescent="0.3">
      <c r="C86" s="10"/>
      <c r="D86" s="10"/>
    </row>
    <row r="87" spans="3:4" ht="15" x14ac:dyDescent="0.3">
      <c r="C87" s="10"/>
      <c r="D87" s="10"/>
    </row>
    <row r="88" spans="3:4" ht="15" x14ac:dyDescent="0.3">
      <c r="C88" s="10"/>
      <c r="D88" s="10"/>
    </row>
    <row r="89" spans="3:4" ht="15" x14ac:dyDescent="0.3">
      <c r="C89" s="10"/>
      <c r="D89" s="10"/>
    </row>
    <row r="90" spans="3:4" ht="15" x14ac:dyDescent="0.3">
      <c r="C90" s="10"/>
      <c r="D90" s="10"/>
    </row>
    <row r="91" spans="3:4" ht="15" x14ac:dyDescent="0.3">
      <c r="C91" s="10"/>
      <c r="D91" s="10"/>
    </row>
    <row r="92" spans="3:4" ht="15" x14ac:dyDescent="0.3">
      <c r="C92" s="10"/>
      <c r="D92" s="10"/>
    </row>
    <row r="93" spans="3:4" ht="15" x14ac:dyDescent="0.3">
      <c r="C93" s="10"/>
      <c r="D93" s="10"/>
    </row>
    <row r="94" spans="3:4" ht="15" x14ac:dyDescent="0.3">
      <c r="C94" s="10"/>
      <c r="D94" s="10"/>
    </row>
    <row r="95" spans="3:4" ht="15" x14ac:dyDescent="0.3">
      <c r="C95" s="10"/>
      <c r="D95" s="10"/>
    </row>
    <row r="96" spans="3:4" ht="15" x14ac:dyDescent="0.3">
      <c r="C96" s="10"/>
      <c r="D96" s="10"/>
    </row>
    <row r="97" spans="3:4" ht="15" x14ac:dyDescent="0.3">
      <c r="C97" s="10"/>
      <c r="D97" s="10"/>
    </row>
    <row r="98" spans="3:4" ht="15" x14ac:dyDescent="0.3">
      <c r="C98" s="10"/>
      <c r="D98" s="10"/>
    </row>
    <row r="110" spans="3:4" ht="15" x14ac:dyDescent="0.3">
      <c r="C110" s="10"/>
      <c r="D110" s="10"/>
    </row>
    <row r="120" spans="3:4" ht="15" x14ac:dyDescent="0.3">
      <c r="C120" s="10"/>
      <c r="D120" s="10"/>
    </row>
    <row r="121" spans="3:4" ht="15.6" x14ac:dyDescent="0.3">
      <c r="C121" s="11"/>
      <c r="D121" s="11"/>
    </row>
    <row r="122" spans="3:4" ht="15.6" x14ac:dyDescent="0.3">
      <c r="C122" s="11"/>
      <c r="D122" s="11"/>
    </row>
    <row r="123" spans="3:4" ht="15.6" x14ac:dyDescent="0.3">
      <c r="C123" s="11"/>
      <c r="D123" s="11"/>
    </row>
    <row r="124" spans="3:4" ht="15.6" x14ac:dyDescent="0.3">
      <c r="C124" s="11"/>
      <c r="D124" s="11"/>
    </row>
    <row r="125" spans="3:4" ht="15.6" x14ac:dyDescent="0.3">
      <c r="C125" s="11"/>
      <c r="D125" s="11"/>
    </row>
    <row r="126" spans="3:4" ht="15.6" x14ac:dyDescent="0.3">
      <c r="C126" s="11"/>
      <c r="D126" s="11"/>
    </row>
    <row r="127" spans="3:4" ht="15.6" x14ac:dyDescent="0.3">
      <c r="C127" s="11"/>
      <c r="D127" s="11"/>
    </row>
    <row r="128" spans="3:4" ht="15.6" x14ac:dyDescent="0.3">
      <c r="C128" s="11"/>
      <c r="D128" s="11"/>
    </row>
    <row r="129" spans="3:4" ht="15.6" x14ac:dyDescent="0.3">
      <c r="C129" s="11"/>
      <c r="D129" s="11"/>
    </row>
    <row r="130" spans="3:4" ht="15.6" x14ac:dyDescent="0.3">
      <c r="C130" s="11"/>
      <c r="D130" s="11"/>
    </row>
    <row r="131" spans="3:4" ht="15" x14ac:dyDescent="0.3">
      <c r="C131" s="10"/>
      <c r="D131" s="10"/>
    </row>
    <row r="132" spans="3:4" ht="15" x14ac:dyDescent="0.3">
      <c r="C132" s="10"/>
      <c r="D132" s="10"/>
    </row>
    <row r="133" spans="3:4" ht="15" x14ac:dyDescent="0.3">
      <c r="C133" s="10"/>
      <c r="D133" s="10"/>
    </row>
    <row r="134" spans="3:4" ht="15" x14ac:dyDescent="0.3">
      <c r="C134" s="10"/>
      <c r="D134" s="10"/>
    </row>
    <row r="135" spans="3:4" ht="15.6" x14ac:dyDescent="0.3">
      <c r="C135" s="11"/>
      <c r="D135" s="11"/>
    </row>
    <row r="136" spans="3:4" ht="15.6" x14ac:dyDescent="0.3">
      <c r="C136" s="11"/>
      <c r="D136" s="11"/>
    </row>
    <row r="137" spans="3:4" ht="15.6" x14ac:dyDescent="0.3">
      <c r="C137" s="11"/>
      <c r="D137" s="11"/>
    </row>
    <row r="138" spans="3:4" ht="15.6" x14ac:dyDescent="0.3">
      <c r="C138" s="11"/>
      <c r="D138" s="11"/>
    </row>
    <row r="139" spans="3:4" ht="15.6" x14ac:dyDescent="0.3">
      <c r="C139" s="11"/>
      <c r="D139" s="11"/>
    </row>
    <row r="140" spans="3:4" ht="15.6" x14ac:dyDescent="0.3">
      <c r="C140" s="11"/>
      <c r="D140" s="11"/>
    </row>
    <row r="141" spans="3:4" ht="15" x14ac:dyDescent="0.3">
      <c r="C141" s="10"/>
      <c r="D141" s="10"/>
    </row>
    <row r="142" spans="3:4" ht="15.6" x14ac:dyDescent="0.3">
      <c r="C142" s="11"/>
      <c r="D142" s="11"/>
    </row>
    <row r="143" spans="3:4" ht="15.6" x14ac:dyDescent="0.3">
      <c r="C143" s="15"/>
      <c r="D143" s="15"/>
    </row>
    <row r="144" spans="3:4" ht="15.6" x14ac:dyDescent="0.3">
      <c r="C144" s="11"/>
      <c r="D144" s="11"/>
    </row>
    <row r="145" spans="3:4" ht="15.6" x14ac:dyDescent="0.3">
      <c r="C145" s="11"/>
      <c r="D145" s="11"/>
    </row>
    <row r="146" spans="3:4" ht="15.6" x14ac:dyDescent="0.3">
      <c r="C146" s="11"/>
      <c r="D146" s="11"/>
    </row>
    <row r="147" spans="3:4" ht="15.6" x14ac:dyDescent="0.3">
      <c r="C147" s="11"/>
      <c r="D147" s="11"/>
    </row>
    <row r="148" spans="3:4" ht="15.6" x14ac:dyDescent="0.3">
      <c r="C148" s="11"/>
      <c r="D148" s="11"/>
    </row>
    <row r="149" spans="3:4" ht="15.6" x14ac:dyDescent="0.3">
      <c r="C149" s="11"/>
      <c r="D149" s="11"/>
    </row>
    <row r="150" spans="3:4" ht="15.6" x14ac:dyDescent="0.3">
      <c r="C150" s="11"/>
      <c r="D150" s="11"/>
    </row>
    <row r="151" spans="3:4" ht="15" x14ac:dyDescent="0.3">
      <c r="C151" s="10"/>
      <c r="D151" s="10"/>
    </row>
    <row r="152" spans="3:4" ht="15" x14ac:dyDescent="0.3">
      <c r="C152" s="10"/>
      <c r="D152" s="10"/>
    </row>
    <row r="153" spans="3:4" ht="15" x14ac:dyDescent="0.3">
      <c r="C153" s="10"/>
      <c r="D153" s="10"/>
    </row>
    <row r="154" spans="3:4" ht="15" x14ac:dyDescent="0.3">
      <c r="C154" s="10"/>
      <c r="D154" s="10"/>
    </row>
    <row r="155" spans="3:4" ht="15.6" x14ac:dyDescent="0.3">
      <c r="C155" s="15"/>
      <c r="D155" s="15"/>
    </row>
    <row r="156" spans="3:4" ht="15.6" x14ac:dyDescent="0.3">
      <c r="C156" s="15"/>
      <c r="D156" s="15"/>
    </row>
    <row r="157" spans="3:4" ht="15.6" x14ac:dyDescent="0.3">
      <c r="C157" s="15"/>
      <c r="D157" s="15"/>
    </row>
    <row r="158" spans="3:4" ht="15.6" x14ac:dyDescent="0.3">
      <c r="C158" s="15"/>
      <c r="D158" s="15"/>
    </row>
    <row r="159" spans="3:4" ht="15.6" x14ac:dyDescent="0.3">
      <c r="C159" s="15"/>
      <c r="D159" s="15"/>
    </row>
    <row r="160" spans="3:4" ht="15.6" x14ac:dyDescent="0.3">
      <c r="C160" s="15"/>
      <c r="D160" s="15"/>
    </row>
    <row r="161" spans="3:4" ht="15.6" x14ac:dyDescent="0.3">
      <c r="C161" s="15"/>
      <c r="D161" s="15"/>
    </row>
    <row r="162" spans="3:4" ht="15.6" x14ac:dyDescent="0.3">
      <c r="C162" s="15"/>
      <c r="D162" s="15"/>
    </row>
    <row r="163" spans="3:4" ht="15" x14ac:dyDescent="0.3">
      <c r="C163" s="10"/>
      <c r="D163" s="10"/>
    </row>
    <row r="164" spans="3:4" ht="15.6" x14ac:dyDescent="0.3">
      <c r="C164" s="11"/>
      <c r="D164" s="11"/>
    </row>
    <row r="165" spans="3:4" ht="15" x14ac:dyDescent="0.3">
      <c r="C165" s="10"/>
      <c r="D165" s="10"/>
    </row>
    <row r="166" spans="3:4" ht="15" x14ac:dyDescent="0.3">
      <c r="C166" s="10"/>
      <c r="D166" s="10"/>
    </row>
    <row r="167" spans="3:4" ht="15" x14ac:dyDescent="0.3">
      <c r="C167" s="10"/>
      <c r="D167" s="10"/>
    </row>
    <row r="168" spans="3:4" ht="15" x14ac:dyDescent="0.3">
      <c r="C168" s="10"/>
      <c r="D168" s="10"/>
    </row>
    <row r="169" spans="3:4" ht="15" x14ac:dyDescent="0.3">
      <c r="C169" s="10"/>
      <c r="D169" s="10"/>
    </row>
    <row r="170" spans="3:4" ht="15" x14ac:dyDescent="0.3">
      <c r="C170" s="10"/>
      <c r="D170" s="10"/>
    </row>
    <row r="171" spans="3:4" ht="15" x14ac:dyDescent="0.3">
      <c r="C171" s="10"/>
      <c r="D171" s="10"/>
    </row>
    <row r="172" spans="3:4" ht="15" x14ac:dyDescent="0.3">
      <c r="C172" s="10"/>
      <c r="D172" s="10"/>
    </row>
    <row r="173" spans="3:4" ht="15" x14ac:dyDescent="0.3">
      <c r="C173" s="10"/>
      <c r="D173" s="10"/>
    </row>
    <row r="174" spans="3:4" ht="15" x14ac:dyDescent="0.3">
      <c r="C174" s="10"/>
      <c r="D174" s="10"/>
    </row>
    <row r="175" spans="3:4" ht="15.6" x14ac:dyDescent="0.3">
      <c r="C175" s="11"/>
      <c r="D175" s="11"/>
    </row>
    <row r="176" spans="3:4" ht="15.6" x14ac:dyDescent="0.3">
      <c r="C176" s="11"/>
      <c r="D176" s="11"/>
    </row>
    <row r="177" spans="3:4" ht="15.6" x14ac:dyDescent="0.3">
      <c r="C177" s="11"/>
      <c r="D177" s="11"/>
    </row>
    <row r="178" spans="3:4" ht="15.6" x14ac:dyDescent="0.3">
      <c r="C178" s="11"/>
      <c r="D178" s="11"/>
    </row>
    <row r="179" spans="3:4" ht="15.6" x14ac:dyDescent="0.3">
      <c r="C179" s="11"/>
      <c r="D179" s="11"/>
    </row>
    <row r="180" spans="3:4" ht="15.6" x14ac:dyDescent="0.3">
      <c r="C180" s="11"/>
      <c r="D180" s="11"/>
    </row>
    <row r="181" spans="3:4" ht="15.6" x14ac:dyDescent="0.3">
      <c r="C181" s="11"/>
      <c r="D181" s="11"/>
    </row>
    <row r="182" spans="3:4" ht="15.6" x14ac:dyDescent="0.3">
      <c r="C182" s="11"/>
      <c r="D182" s="11"/>
    </row>
    <row r="183" spans="3:4" ht="15.6" x14ac:dyDescent="0.3">
      <c r="C183" s="11"/>
      <c r="D183" s="11"/>
    </row>
    <row r="184" spans="3:4" ht="15.6" x14ac:dyDescent="0.3">
      <c r="C184" s="11"/>
      <c r="D184" s="11"/>
    </row>
    <row r="185" spans="3:4" ht="15.6" x14ac:dyDescent="0.3">
      <c r="C185" s="11"/>
      <c r="D185" s="11"/>
    </row>
    <row r="186" spans="3:4" ht="15.6" x14ac:dyDescent="0.3">
      <c r="C186" s="11"/>
      <c r="D186" s="11"/>
    </row>
    <row r="187" spans="3:4" ht="15.6" x14ac:dyDescent="0.3">
      <c r="C187" s="11"/>
      <c r="D187" s="11"/>
    </row>
    <row r="188" spans="3:4" ht="15.6" x14ac:dyDescent="0.3">
      <c r="C188" s="11"/>
      <c r="D188" s="11"/>
    </row>
    <row r="189" spans="3:4" ht="15.6" x14ac:dyDescent="0.3">
      <c r="C189" s="11"/>
      <c r="D189" s="11"/>
    </row>
    <row r="190" spans="3:4" ht="15.6" x14ac:dyDescent="0.3">
      <c r="C190" s="11"/>
      <c r="D190" s="11"/>
    </row>
    <row r="191" spans="3:4" ht="15.6" x14ac:dyDescent="0.3">
      <c r="C191" s="11"/>
      <c r="D191" s="11"/>
    </row>
    <row r="192" spans="3:4" ht="15.6" x14ac:dyDescent="0.3">
      <c r="C192" s="11"/>
      <c r="D192" s="11"/>
    </row>
    <row r="193" spans="3:4" ht="15" x14ac:dyDescent="0.3">
      <c r="C193" s="10"/>
      <c r="D193" s="10"/>
    </row>
    <row r="194" spans="3:4" ht="15" x14ac:dyDescent="0.3">
      <c r="C194" s="10"/>
      <c r="D194" s="10"/>
    </row>
    <row r="195" spans="3:4" ht="15.6" x14ac:dyDescent="0.3">
      <c r="C195" s="11"/>
      <c r="D195" s="11"/>
    </row>
    <row r="196" spans="3:4" ht="15.6" x14ac:dyDescent="0.3">
      <c r="C196" s="11"/>
      <c r="D196" s="11"/>
    </row>
    <row r="197" spans="3:4" ht="15.6" x14ac:dyDescent="0.3">
      <c r="C197" s="11"/>
      <c r="D197" s="11"/>
    </row>
    <row r="198" spans="3:4" ht="15.6" x14ac:dyDescent="0.3">
      <c r="C198" s="11"/>
      <c r="D198" s="11"/>
    </row>
    <row r="199" spans="3:4" ht="15.6" x14ac:dyDescent="0.3">
      <c r="C199" s="11"/>
      <c r="D199" s="11"/>
    </row>
    <row r="200" spans="3:4" ht="15.6" x14ac:dyDescent="0.3">
      <c r="C200" s="11"/>
      <c r="D200" s="11"/>
    </row>
    <row r="201" spans="3:4" ht="15.6" x14ac:dyDescent="0.3">
      <c r="C201" s="11"/>
      <c r="D201" s="11"/>
    </row>
    <row r="202" spans="3:4" ht="15.6" x14ac:dyDescent="0.3">
      <c r="C202" s="11"/>
      <c r="D202" s="11"/>
    </row>
    <row r="203" spans="3:4" ht="15.6" x14ac:dyDescent="0.3">
      <c r="C203" s="11"/>
      <c r="D203" s="11"/>
    </row>
    <row r="204" spans="3:4" ht="15.6" x14ac:dyDescent="0.3">
      <c r="C204" s="11"/>
      <c r="D204" s="11"/>
    </row>
    <row r="205" spans="3:4" ht="15.6" x14ac:dyDescent="0.3">
      <c r="C205" s="11"/>
      <c r="D205" s="11"/>
    </row>
    <row r="206" spans="3:4" ht="15.6" x14ac:dyDescent="0.3">
      <c r="C206" s="11"/>
      <c r="D206" s="11"/>
    </row>
    <row r="207" spans="3:4" ht="15" x14ac:dyDescent="0.3">
      <c r="C207" s="10"/>
      <c r="D207" s="10"/>
    </row>
    <row r="208" spans="3:4" ht="15.6" x14ac:dyDescent="0.3">
      <c r="C208" s="11"/>
      <c r="D208" s="11"/>
    </row>
    <row r="209" spans="3:4" ht="15" x14ac:dyDescent="0.3">
      <c r="C209" s="10"/>
      <c r="D209" s="10"/>
    </row>
    <row r="212" spans="3:4" ht="15" x14ac:dyDescent="0.3">
      <c r="C212" s="10"/>
      <c r="D212" s="10"/>
    </row>
    <row r="213" spans="3:4" ht="15" x14ac:dyDescent="0.3">
      <c r="C213" s="10"/>
      <c r="D213" s="10"/>
    </row>
    <row r="214" spans="3:4" ht="15" x14ac:dyDescent="0.3">
      <c r="C214" s="10"/>
      <c r="D214" s="10"/>
    </row>
    <row r="215" spans="3:4" ht="15" x14ac:dyDescent="0.3">
      <c r="C215" s="10"/>
      <c r="D215" s="10"/>
    </row>
    <row r="216" spans="3:4" ht="15" x14ac:dyDescent="0.3">
      <c r="C216" s="10"/>
      <c r="D216" s="10"/>
    </row>
    <row r="217" spans="3:4" ht="15" x14ac:dyDescent="0.3">
      <c r="C217" s="10"/>
      <c r="D217" s="10"/>
    </row>
    <row r="218" spans="3:4" ht="15" x14ac:dyDescent="0.3">
      <c r="C218" s="10"/>
      <c r="D218" s="10"/>
    </row>
    <row r="219" spans="3:4" ht="15" x14ac:dyDescent="0.3">
      <c r="C219" s="10"/>
      <c r="D219" s="10"/>
    </row>
    <row r="220" spans="3:4" ht="15" x14ac:dyDescent="0.3">
      <c r="C220" s="10"/>
      <c r="D220" s="10"/>
    </row>
    <row r="221" spans="3:4" ht="15" x14ac:dyDescent="0.3">
      <c r="C221" s="10"/>
      <c r="D221" s="10"/>
    </row>
    <row r="222" spans="3:4" ht="15" x14ac:dyDescent="0.3">
      <c r="C222" s="10"/>
      <c r="D222" s="10"/>
    </row>
    <row r="223" spans="3:4" ht="15" x14ac:dyDescent="0.3">
      <c r="C223" s="10"/>
      <c r="D223" s="10"/>
    </row>
    <row r="224" spans="3:4" ht="15.6" x14ac:dyDescent="0.3">
      <c r="C224" s="11"/>
      <c r="D224" s="11"/>
    </row>
    <row r="225" spans="3:4" ht="15.6" x14ac:dyDescent="0.3">
      <c r="C225" s="11"/>
      <c r="D225" s="11"/>
    </row>
    <row r="233" spans="3:4" ht="15" x14ac:dyDescent="0.3">
      <c r="C233" s="10"/>
      <c r="D233" s="10"/>
    </row>
    <row r="234" spans="3:4" ht="15" x14ac:dyDescent="0.3">
      <c r="C234" s="10"/>
      <c r="D234" s="10"/>
    </row>
    <row r="235" spans="3:4" ht="15" x14ac:dyDescent="0.3">
      <c r="C235" s="10"/>
      <c r="D235" s="10"/>
    </row>
    <row r="236" spans="3:4" ht="15" x14ac:dyDescent="0.3">
      <c r="C236" s="10"/>
      <c r="D236" s="10"/>
    </row>
    <row r="240" spans="3:4" ht="23.4" x14ac:dyDescent="0.3">
      <c r="C240" s="14"/>
      <c r="D240" s="14"/>
    </row>
    <row r="241" spans="3:4" ht="23.4" x14ac:dyDescent="0.3">
      <c r="C241" s="14"/>
      <c r="D241" s="14"/>
    </row>
    <row r="242" spans="3:4" ht="23.4" x14ac:dyDescent="0.3">
      <c r="C242" s="14"/>
      <c r="D242" s="14"/>
    </row>
    <row r="243" spans="3:4" ht="23.4" x14ac:dyDescent="0.3">
      <c r="C243" s="14"/>
      <c r="D243" s="14"/>
    </row>
    <row r="245" spans="3:4" ht="15.6" x14ac:dyDescent="0.3">
      <c r="C245" s="11"/>
      <c r="D245" s="11"/>
    </row>
    <row r="246" spans="3:4" ht="15.6" x14ac:dyDescent="0.3">
      <c r="C246" s="11"/>
      <c r="D246" s="11"/>
    </row>
    <row r="249" spans="3:4" ht="15.6" x14ac:dyDescent="0.3">
      <c r="C249" s="11"/>
      <c r="D249" s="11"/>
    </row>
    <row r="250" spans="3:4" ht="15.6" x14ac:dyDescent="0.3">
      <c r="C250" s="11"/>
      <c r="D250" s="11"/>
    </row>
    <row r="251" spans="3:4" ht="15.6" x14ac:dyDescent="0.3">
      <c r="C251" s="11"/>
      <c r="D251" s="11"/>
    </row>
    <row r="252" spans="3:4" ht="15.6" x14ac:dyDescent="0.3">
      <c r="C252" s="11"/>
      <c r="D252" s="11"/>
    </row>
    <row r="253" spans="3:4" ht="15.6" x14ac:dyDescent="0.3">
      <c r="C253" s="11"/>
      <c r="D253" s="11"/>
    </row>
    <row r="254" spans="3:4" ht="15.6" x14ac:dyDescent="0.3">
      <c r="C254" s="11"/>
      <c r="D254" s="11"/>
    </row>
    <row r="255" spans="3:4" ht="15.6" x14ac:dyDescent="0.3">
      <c r="C255" s="11"/>
      <c r="D255" s="11"/>
    </row>
    <row r="256" spans="3:4" ht="15.6" x14ac:dyDescent="0.3">
      <c r="C256" s="11"/>
      <c r="D256" s="11"/>
    </row>
    <row r="257" spans="3:4" ht="15.6" x14ac:dyDescent="0.3">
      <c r="C257" s="11"/>
      <c r="D257" s="11"/>
    </row>
    <row r="258" spans="3:4" ht="15.6" x14ac:dyDescent="0.3">
      <c r="C258" s="11"/>
      <c r="D258" s="11"/>
    </row>
    <row r="259" spans="3:4" ht="15.6" x14ac:dyDescent="0.3">
      <c r="C259" s="11"/>
      <c r="D259" s="11"/>
    </row>
    <row r="260" spans="3:4" ht="15.6" x14ac:dyDescent="0.3">
      <c r="C260" s="11"/>
      <c r="D260" s="11"/>
    </row>
    <row r="261" spans="3:4" ht="15.6" x14ac:dyDescent="0.3">
      <c r="C261" s="11"/>
      <c r="D261" s="11"/>
    </row>
    <row r="262" spans="3:4" ht="15" x14ac:dyDescent="0.3">
      <c r="C262" s="10"/>
      <c r="D262" s="10"/>
    </row>
    <row r="263" spans="3:4" ht="15" x14ac:dyDescent="0.3">
      <c r="C263" s="10"/>
      <c r="D263" s="10"/>
    </row>
    <row r="264" spans="3:4" ht="15" x14ac:dyDescent="0.3">
      <c r="C264" s="10"/>
      <c r="D264" s="10"/>
    </row>
    <row r="270" spans="3:4" ht="15" x14ac:dyDescent="0.3">
      <c r="C270" s="10"/>
      <c r="D270" s="10"/>
    </row>
    <row r="271" spans="3:4" ht="15" x14ac:dyDescent="0.3">
      <c r="C271" s="10"/>
      <c r="D271" s="10"/>
    </row>
    <row r="272" spans="3:4" ht="15" x14ac:dyDescent="0.3">
      <c r="C272" s="10"/>
      <c r="D272" s="10"/>
    </row>
    <row r="273" spans="3:5" ht="15" x14ac:dyDescent="0.3">
      <c r="C273" s="10"/>
      <c r="D273" s="10"/>
    </row>
    <row r="274" spans="3:5" ht="15" x14ac:dyDescent="0.3">
      <c r="C274" s="10"/>
      <c r="D274" s="10"/>
    </row>
    <row r="275" spans="3:5" ht="15" x14ac:dyDescent="0.3">
      <c r="C275" s="10"/>
      <c r="D275" s="10"/>
    </row>
    <row r="276" spans="3:5" x14ac:dyDescent="0.3">
      <c r="E276">
        <f>SUM(E2:E275)</f>
        <v>117</v>
      </c>
    </row>
    <row r="282" spans="3:5" ht="23.4" x14ac:dyDescent="0.3">
      <c r="C282" s="14"/>
      <c r="D282" s="14"/>
    </row>
    <row r="283" spans="3:5" ht="23.4" x14ac:dyDescent="0.3">
      <c r="C283" s="14"/>
      <c r="D283" s="14"/>
    </row>
    <row r="284" spans="3:5" ht="23.4" x14ac:dyDescent="0.3">
      <c r="C284" s="14"/>
      <c r="D284" s="14"/>
    </row>
    <row r="285" spans="3:5" ht="23.4" x14ac:dyDescent="0.3">
      <c r="C285" s="14"/>
      <c r="D285" s="14"/>
    </row>
    <row r="290" spans="3:4" ht="23.4" x14ac:dyDescent="0.3">
      <c r="C290" s="14"/>
      <c r="D290" s="14"/>
    </row>
    <row r="294" spans="3:4" ht="15.6" x14ac:dyDescent="0.3">
      <c r="C294" s="11"/>
      <c r="D294" s="11"/>
    </row>
    <row r="297" spans="3:4" ht="15.6" x14ac:dyDescent="0.3">
      <c r="C297" s="11"/>
      <c r="D297" s="11"/>
    </row>
    <row r="298" spans="3:4" ht="15.6" x14ac:dyDescent="0.3">
      <c r="C298" s="11"/>
      <c r="D298" s="11"/>
    </row>
    <row r="299" spans="3:4" ht="15.6" x14ac:dyDescent="0.3">
      <c r="C299" s="11"/>
      <c r="D299" s="11"/>
    </row>
    <row r="300" spans="3:4" ht="15.6" x14ac:dyDescent="0.3">
      <c r="C300" s="11"/>
      <c r="D300" s="11"/>
    </row>
    <row r="301" spans="3:4" ht="15.6" x14ac:dyDescent="0.3">
      <c r="C301" s="11"/>
      <c r="D301" s="11"/>
    </row>
    <row r="304" spans="3:4" ht="15" x14ac:dyDescent="0.3">
      <c r="C304" s="10"/>
      <c r="D304" s="10"/>
    </row>
    <row r="307" spans="3:4" ht="15.6" x14ac:dyDescent="0.3">
      <c r="C307" s="11"/>
      <c r="D307" s="11"/>
    </row>
    <row r="310" spans="3:4" ht="15.6" x14ac:dyDescent="0.3">
      <c r="C310" s="11"/>
      <c r="D310" s="11"/>
    </row>
    <row r="331" spans="3:4" ht="15" x14ac:dyDescent="0.3">
      <c r="C331" s="10"/>
      <c r="D331" s="10"/>
    </row>
    <row r="332" spans="3:4" ht="15" x14ac:dyDescent="0.3">
      <c r="C332" s="10"/>
      <c r="D332" s="10"/>
    </row>
    <row r="333" spans="3:4" ht="15" x14ac:dyDescent="0.3">
      <c r="C333" s="17"/>
      <c r="D333" s="17"/>
    </row>
    <row r="347" spans="3:4" ht="15.6" x14ac:dyDescent="0.3">
      <c r="C347" s="11"/>
      <c r="D347" s="11"/>
    </row>
    <row r="348" spans="3:4" ht="15.6" x14ac:dyDescent="0.3">
      <c r="C348" s="11"/>
      <c r="D348" s="11"/>
    </row>
    <row r="349" spans="3:4" ht="15.6" x14ac:dyDescent="0.3">
      <c r="C349" s="11"/>
      <c r="D349" s="11"/>
    </row>
    <row r="350" spans="3:4" ht="15.6" x14ac:dyDescent="0.3">
      <c r="C350" s="11"/>
      <c r="D350" s="11"/>
    </row>
  </sheetData>
  <sortState ref="C9:F19">
    <sortCondition descending="1" ref="E9:E19"/>
  </sortState>
  <mergeCells count="1">
    <mergeCell ref="C4:C8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9"/>
  <sheetViews>
    <sheetView topLeftCell="B10" workbookViewId="0">
      <selection activeCell="E17" sqref="E17"/>
    </sheetView>
  </sheetViews>
  <sheetFormatPr defaultRowHeight="15.6" thickTop="1" thickBottom="1" x14ac:dyDescent="0.35"/>
  <cols>
    <col min="4" max="4" width="41.44140625" customWidth="1"/>
    <col min="5" max="5" width="11.88671875" customWidth="1"/>
    <col min="6" max="6" width="8.88671875" style="70"/>
  </cols>
  <sheetData>
    <row r="1" spans="3:6" ht="32.4" thickTop="1" thickBot="1" x14ac:dyDescent="0.35">
      <c r="C1" s="67" t="s">
        <v>142</v>
      </c>
      <c r="D1" s="68" t="s">
        <v>154</v>
      </c>
      <c r="E1" s="93" t="s">
        <v>153</v>
      </c>
      <c r="F1" s="98" t="s">
        <v>190</v>
      </c>
    </row>
    <row r="2" spans="3:6" ht="34.799999999999997" customHeight="1" thickTop="1" thickBot="1" x14ac:dyDescent="0.35">
      <c r="C2" s="61">
        <v>143</v>
      </c>
      <c r="D2" s="65" t="s">
        <v>51</v>
      </c>
      <c r="E2" s="94">
        <v>41</v>
      </c>
      <c r="F2" s="70">
        <f>E2/C2</f>
        <v>0.28671328671328672</v>
      </c>
    </row>
    <row r="3" spans="3:6" ht="40.799999999999997" customHeight="1" thickTop="1" thickBot="1" x14ac:dyDescent="0.35">
      <c r="C3" s="61">
        <v>33</v>
      </c>
      <c r="D3" s="65" t="s">
        <v>54</v>
      </c>
      <c r="E3" s="96">
        <v>11</v>
      </c>
      <c r="F3" s="70">
        <f>E3/C3</f>
        <v>0.33333333333333331</v>
      </c>
    </row>
    <row r="4" spans="3:6" ht="24" customHeight="1" thickTop="1" thickBot="1" x14ac:dyDescent="0.35">
      <c r="C4" s="61"/>
      <c r="D4" s="65" t="s">
        <v>62</v>
      </c>
      <c r="E4" s="95">
        <v>7</v>
      </c>
    </row>
    <row r="5" spans="3:6" ht="57" customHeight="1" thickTop="1" thickBot="1" x14ac:dyDescent="0.35">
      <c r="C5" s="61"/>
      <c r="D5" s="63" t="s">
        <v>64</v>
      </c>
      <c r="E5" s="96">
        <v>5</v>
      </c>
    </row>
    <row r="6" spans="3:6" ht="36" customHeight="1" thickTop="1" thickBot="1" x14ac:dyDescent="0.35">
      <c r="C6" s="61"/>
      <c r="D6" s="65" t="s">
        <v>60</v>
      </c>
      <c r="E6" s="95">
        <v>3</v>
      </c>
    </row>
    <row r="7" spans="3:6" ht="51.6" customHeight="1" thickTop="1" thickBot="1" x14ac:dyDescent="0.35">
      <c r="C7" s="61"/>
      <c r="D7" s="65" t="s">
        <v>61</v>
      </c>
      <c r="E7" s="95">
        <v>3</v>
      </c>
    </row>
    <row r="8" spans="3:6" ht="60.6" customHeight="1" thickTop="1" thickBot="1" x14ac:dyDescent="0.35">
      <c r="C8" s="61"/>
      <c r="D8" s="65" t="s">
        <v>144</v>
      </c>
      <c r="E8" s="95">
        <v>2</v>
      </c>
    </row>
    <row r="9" spans="3:6" ht="59.4" customHeight="1" thickTop="1" thickBot="1" x14ac:dyDescent="0.35">
      <c r="C9" s="61"/>
      <c r="D9" s="65" t="s">
        <v>52</v>
      </c>
      <c r="E9" s="95">
        <v>2</v>
      </c>
    </row>
    <row r="10" spans="3:6" ht="23.4" customHeight="1" thickTop="1" thickBot="1" x14ac:dyDescent="0.35">
      <c r="C10" s="61"/>
      <c r="D10" s="63" t="s">
        <v>55</v>
      </c>
      <c r="E10" s="95">
        <v>2</v>
      </c>
    </row>
    <row r="11" spans="3:6" ht="31.8" customHeight="1" thickTop="1" thickBot="1" x14ac:dyDescent="0.35">
      <c r="C11" s="61"/>
      <c r="D11" s="63" t="s">
        <v>143</v>
      </c>
      <c r="E11" s="96">
        <v>2</v>
      </c>
    </row>
    <row r="12" spans="3:6" ht="27.6" customHeight="1" thickTop="1" thickBot="1" x14ac:dyDescent="0.35">
      <c r="C12" s="61">
        <v>24</v>
      </c>
      <c r="D12" s="65" t="s">
        <v>53</v>
      </c>
      <c r="E12" s="95">
        <v>1</v>
      </c>
      <c r="F12" s="70">
        <f>E12/C12</f>
        <v>4.1666666666666664E-2</v>
      </c>
    </row>
    <row r="13" spans="3:6" ht="24.6" customHeight="1" thickTop="1" thickBot="1" x14ac:dyDescent="0.35">
      <c r="C13" s="61">
        <v>6</v>
      </c>
      <c r="D13" s="63" t="s">
        <v>56</v>
      </c>
      <c r="E13" s="96">
        <v>1</v>
      </c>
      <c r="F13" s="70">
        <f>E13/C13</f>
        <v>0.16666666666666666</v>
      </c>
    </row>
    <row r="14" spans="3:6" ht="39" customHeight="1" thickTop="1" thickBot="1" x14ac:dyDescent="0.35">
      <c r="C14" s="61"/>
      <c r="D14" s="65" t="s">
        <v>57</v>
      </c>
      <c r="E14" s="95">
        <v>1</v>
      </c>
    </row>
    <row r="15" spans="3:6" ht="21" customHeight="1" thickTop="1" thickBot="1" x14ac:dyDescent="0.35">
      <c r="C15" s="61"/>
      <c r="D15" s="65" t="s">
        <v>58</v>
      </c>
      <c r="E15" s="95">
        <v>1</v>
      </c>
    </row>
    <row r="16" spans="3:6" ht="25.2" customHeight="1" thickTop="1" thickBot="1" x14ac:dyDescent="0.35">
      <c r="C16" s="61"/>
      <c r="D16" s="65" t="s">
        <v>59</v>
      </c>
      <c r="E16" s="95">
        <v>1</v>
      </c>
    </row>
    <row r="17" spans="3:5" ht="24" customHeight="1" thickTop="1" thickBot="1" x14ac:dyDescent="0.35">
      <c r="C17" s="61"/>
      <c r="D17" s="65" t="s">
        <v>63</v>
      </c>
      <c r="E17" s="95">
        <v>1</v>
      </c>
    </row>
    <row r="18" spans="3:5" ht="22.2" customHeight="1" thickTop="1" thickBot="1" x14ac:dyDescent="0.35">
      <c r="C18" s="61"/>
      <c r="D18" s="63" t="s">
        <v>65</v>
      </c>
      <c r="E18" s="96">
        <v>1</v>
      </c>
    </row>
    <row r="19" spans="3:5" ht="4.8" customHeight="1" thickTop="1" thickBot="1" x14ac:dyDescent="0.35">
      <c r="C19" s="61"/>
      <c r="D19" s="61"/>
      <c r="E19" s="97"/>
    </row>
  </sheetData>
  <sortState ref="C2:F19">
    <sortCondition descending="1" ref="E2:E1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Sheet1</vt:lpstr>
      <vt:lpstr>Sheet2</vt:lpstr>
      <vt:lpstr>Sheet3</vt:lpstr>
      <vt:lpstr>Sheet1!__DdeLink__355_3344034610</vt:lpstr>
      <vt:lpstr>Sheet1!__DdeLink__363_4195966084</vt:lpstr>
      <vt:lpstr>Sheet1!__DdeLink__366_1609274354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2025-05-27T13:07:14Z</dcterms:modified>
</cp:coreProperties>
</file>