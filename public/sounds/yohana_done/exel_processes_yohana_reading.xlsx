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3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yohana_done\"/>
    </mc:Choice>
  </mc:AlternateContent>
  <bookViews>
    <workbookView xWindow="0" yWindow="0" windowWidth="13296" windowHeight="8220"/>
  </bookViews>
  <sheets>
    <sheet name="Sheet1" sheetId="1" r:id="rId1"/>
    <sheet name="Sheet2" sheetId="2" r:id="rId2"/>
    <sheet name="Sheet4" sheetId="4" r:id="rId3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Sheet1!#REF!</definedName>
    <definedName name="__DdeLink__363_4195966084" localSheetId="0">Sheet1!#REF!</definedName>
    <definedName name="__DdeLink__366_1609274354" localSheetId="0">Sheet1!#REF!</definedName>
    <definedName name="__DdeLink__374_2158327081" localSheetId="0">Sheet1!#REF!</definedName>
    <definedName name="__DdeLink__429_690101127" localSheetId="0">Sheet1!#REF!</definedName>
    <definedName name="__DdeLink__450_690101127" localSheetId="0">Sheet1!#REF!</definedName>
    <definedName name="__DdeLink__454_4201205227" localSheetId="0">Sheet1!#REF!</definedName>
    <definedName name="__DdeLink__461_690101127" localSheetId="0">Sheet1!#REF!</definedName>
    <definedName name="__DdeLink__481_750636418" localSheetId="0">Sheet1!#REF!</definedName>
    <definedName name="__DdeLink__502_3099655138" localSheetId="0">Sheet1!#REF!</definedName>
    <definedName name="__DdeLink__525_3099655138" localSheetId="0">Sheet1!#REF!</definedName>
    <definedName name="__DdeLink__533_4201205227" localSheetId="0">Sheet1!#REF!</definedName>
    <definedName name="__DdeLink__573_3099655138" localSheetId="0">Sheet1!#REF!</definedName>
    <definedName name="__DdeLink__588_3099655138" localSheetId="0">Sheet1!#REF!</definedName>
    <definedName name="__DdeLink__741_3099655138" localSheetId="0">Sheet1!$E$31</definedName>
    <definedName name="_xlnm._FilterDatabase" localSheetId="0" hidden="1">Sheet1!$E$86:$H$87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102" i="1"/>
  <c r="C102" i="1"/>
  <c r="G100" i="1"/>
  <c r="C100" i="1"/>
  <c r="G97" i="1"/>
  <c r="C97" i="1"/>
  <c r="G93" i="1"/>
  <c r="C93" i="1"/>
  <c r="G88" i="1"/>
  <c r="C88" i="1"/>
  <c r="G85" i="1"/>
  <c r="C85" i="1"/>
  <c r="G81" i="1"/>
  <c r="C81" i="1"/>
  <c r="H78" i="1"/>
  <c r="G78" i="1"/>
  <c r="C78" i="1"/>
  <c r="G76" i="1"/>
  <c r="C76" i="1"/>
  <c r="G72" i="1"/>
  <c r="C72" i="1"/>
  <c r="G70" i="1"/>
  <c r="C70" i="1"/>
  <c r="G66" i="1"/>
  <c r="C66" i="1"/>
  <c r="G63" i="1"/>
  <c r="C63" i="1"/>
  <c r="G59" i="1"/>
  <c r="C59" i="1"/>
  <c r="G54" i="1"/>
  <c r="C54" i="1"/>
  <c r="G50" i="1"/>
  <c r="C50" i="1"/>
  <c r="G46" i="1"/>
  <c r="C46" i="1"/>
  <c r="G44" i="1"/>
  <c r="C44" i="1"/>
  <c r="G39" i="1"/>
  <c r="C39" i="1"/>
  <c r="G34" i="1"/>
  <c r="C34" i="1"/>
  <c r="G32" i="1"/>
  <c r="C32" i="1"/>
  <c r="G30" i="1"/>
  <c r="C30" i="1"/>
  <c r="H26" i="1"/>
  <c r="G26" i="1"/>
  <c r="C26" i="1"/>
  <c r="G24" i="1"/>
  <c r="C24" i="1"/>
  <c r="G21" i="1"/>
  <c r="C21" i="1"/>
  <c r="G18" i="1"/>
  <c r="C18" i="1"/>
  <c r="G15" i="1"/>
  <c r="C15" i="1"/>
  <c r="E8" i="4" l="1"/>
  <c r="E7" i="4"/>
  <c r="E2" i="4"/>
  <c r="E9" i="2"/>
  <c r="E4" i="2"/>
  <c r="E5" i="2"/>
  <c r="E6" i="2"/>
  <c r="E7" i="2"/>
  <c r="E8" i="2"/>
  <c r="E3" i="2"/>
  <c r="E2" i="2"/>
  <c r="H99" i="1"/>
  <c r="H96" i="1"/>
  <c r="H92" i="1"/>
  <c r="H82" i="1"/>
  <c r="H79" i="1"/>
  <c r="H81" i="1" s="1"/>
  <c r="H62" i="1"/>
  <c r="H61" i="1"/>
  <c r="H56" i="1"/>
  <c r="H51" i="1"/>
  <c r="H41" i="1"/>
  <c r="H38" i="1"/>
  <c r="H31" i="1"/>
  <c r="H32" i="1" s="1"/>
  <c r="H35" i="1"/>
  <c r="H39" i="1" s="1"/>
  <c r="H33" i="1"/>
  <c r="H34" i="1" s="1"/>
  <c r="H22" i="1"/>
  <c r="H16" i="1"/>
  <c r="H10" i="1"/>
  <c r="H3" i="1"/>
  <c r="H2" i="1"/>
  <c r="H101" i="1"/>
  <c r="H102" i="1" s="1"/>
  <c r="H98" i="1"/>
  <c r="H100" i="1" s="1"/>
  <c r="H94" i="1"/>
  <c r="H95" i="1"/>
  <c r="H89" i="1"/>
  <c r="H90" i="1"/>
  <c r="H91" i="1"/>
  <c r="H86" i="1"/>
  <c r="H87" i="1"/>
  <c r="H83" i="1"/>
  <c r="H84" i="1"/>
  <c r="H80" i="1"/>
  <c r="H75" i="1"/>
  <c r="H73" i="1"/>
  <c r="H76" i="1" s="1"/>
  <c r="H74" i="1"/>
  <c r="H71" i="1"/>
  <c r="H72" i="1" s="1"/>
  <c r="H69" i="1"/>
  <c r="H67" i="1"/>
  <c r="H70" i="1" s="1"/>
  <c r="H68" i="1"/>
  <c r="H64" i="1"/>
  <c r="H65" i="1"/>
  <c r="H60" i="1"/>
  <c r="H63" i="1" s="1"/>
  <c r="H57" i="1"/>
  <c r="H58" i="1"/>
  <c r="H55" i="1"/>
  <c r="H59" i="1" s="1"/>
  <c r="H52" i="1"/>
  <c r="H53" i="1"/>
  <c r="H47" i="1"/>
  <c r="H49" i="1"/>
  <c r="H48" i="1"/>
  <c r="H45" i="1"/>
  <c r="H46" i="1" s="1"/>
  <c r="H42" i="1"/>
  <c r="H43" i="1"/>
  <c r="H40" i="1"/>
  <c r="H44" i="1" s="1"/>
  <c r="H37" i="1"/>
  <c r="H36" i="1"/>
  <c r="H29" i="1"/>
  <c r="H28" i="1"/>
  <c r="H27" i="1"/>
  <c r="H23" i="1"/>
  <c r="H20" i="1"/>
  <c r="H19" i="1"/>
  <c r="H21" i="1" s="1"/>
  <c r="H17" i="1"/>
  <c r="H8" i="1"/>
  <c r="H13" i="1"/>
  <c r="H14" i="1"/>
  <c r="H9" i="1"/>
  <c r="H12" i="1"/>
  <c r="H11" i="1"/>
  <c r="H4" i="1"/>
  <c r="H5" i="1"/>
  <c r="H6" i="1"/>
  <c r="H18" i="1" l="1"/>
  <c r="H85" i="1"/>
  <c r="H54" i="1"/>
  <c r="H93" i="1"/>
  <c r="H7" i="1"/>
  <c r="H15" i="1"/>
  <c r="H50" i="1"/>
  <c r="H66" i="1"/>
  <c r="H88" i="1"/>
  <c r="H24" i="1"/>
  <c r="H30" i="1"/>
  <c r="H97" i="1"/>
  <c r="D24" i="2"/>
</calcChain>
</file>

<file path=xl/sharedStrings.xml><?xml version="1.0" encoding="utf-8"?>
<sst xmlns="http://schemas.openxmlformats.org/spreadsheetml/2006/main" count="283" uniqueCount="243">
  <si>
    <t>Metathesis</t>
  </si>
  <si>
    <t>Fronting</t>
  </si>
  <si>
    <t xml:space="preserve">Glottalization(substitution of [ʕ] with [ʔ]), </t>
  </si>
  <si>
    <t>Glottalization(substitution of [ɣ] with [ʔ])</t>
  </si>
  <si>
    <t>substitution of [l] with [ɺ]</t>
  </si>
  <si>
    <t>substitution of [r] with [ɻ]</t>
  </si>
  <si>
    <t>substitution of [l] with [ɻ]</t>
  </si>
  <si>
    <t>substitution of [q] with [g]</t>
  </si>
  <si>
    <t>substitution of [q] with [k]</t>
  </si>
  <si>
    <t>substitution of [q] with [f]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</si>
  <si>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</si>
  <si>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</si>
  <si>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</si>
  <si>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>substitution of [χ] with [ħ]</t>
  </si>
  <si>
    <t xml:space="preserve">Aspiration ( substitution of [k]with [kʰ]) , </t>
  </si>
  <si>
    <t xml:space="preserve">Aspiration ( substitution of [t]with [tʰ]) </t>
  </si>
  <si>
    <t xml:space="preserve">depharyngealization(substitution of [sˤ] with [s]), </t>
  </si>
  <si>
    <t xml:space="preserve"> depharyngealization(substitution of [ðˤ] with [ð]), </t>
  </si>
  <si>
    <t>substitution of [ʃ] with [s]</t>
  </si>
  <si>
    <t>depharyngealization(substitution of [dˤ] with [d]),</t>
  </si>
  <si>
    <t>depharyngealization and aspiration (substitution of [tˤ] with [tʰ]),</t>
  </si>
  <si>
    <t>Devoicing(substitution of [d͡ʒ] with [t͡ʃ])</t>
  </si>
  <si>
    <t xml:space="preserve">depharyngealization and devoicing(substitution of [dˤ] with [t]) </t>
  </si>
  <si>
    <t xml:space="preserve">pharyngealization and devoicing(substitution of [d] with [ tˤ]) </t>
  </si>
  <si>
    <t>substitution of [l] with [z]</t>
  </si>
  <si>
    <t>stopping(substitution of[ðˤ] with [dˤ]),</t>
  </si>
  <si>
    <t>degemination(reduce consonant cluster to one single consonant)</t>
  </si>
  <si>
    <t>germination</t>
  </si>
  <si>
    <t>deaffrication(substitution of [d͡ʒ]with [ʒ])</t>
  </si>
  <si>
    <t>stopping  (substitution of [d͡ʒ]with [d])</t>
  </si>
  <si>
    <t>substitution of [ħ]with [χ]</t>
  </si>
  <si>
    <t>substitution of [h]with [χ]</t>
  </si>
  <si>
    <t>substitution of [ħ]with [h]</t>
  </si>
  <si>
    <t>substitution of [h]with [ħ]</t>
  </si>
  <si>
    <t>Epenthesis(insert vowel [ʊ] between  consnant cluster)</t>
  </si>
  <si>
    <t>Epenthesis(insert diphthong [i:] between  consnant cluster)</t>
  </si>
  <si>
    <t>substitution of [ʕ]with [ħ]</t>
  </si>
  <si>
    <t>substitution of [n]with [χ]</t>
  </si>
  <si>
    <t>devoicing(substitution of [d]with [t])</t>
  </si>
  <si>
    <t>devoicing(substitution of [ɣ]with [χ])</t>
  </si>
  <si>
    <t>substitution of [ʕ]with [ɣ]</t>
  </si>
  <si>
    <t>substitution of [ħ]with [ʕ]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</si>
  <si>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</si>
  <si>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</si>
  <si>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</si>
  <si>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[ʔ] phone)</t>
  </si>
  <si>
    <t>syllable structure process (consonant insertion of  [n] phone)</t>
  </si>
  <si>
    <t>syllable structure process (consonant insertion of  [t] phone)</t>
  </si>
  <si>
    <t>syllable structure process (consonant deletion of  [n] phone)</t>
  </si>
  <si>
    <t>syllable structure process (weak syllable deletion)</t>
  </si>
  <si>
    <t>syllable structure process (final syllable deletion)</t>
  </si>
  <si>
    <t>final consonant deletion</t>
  </si>
  <si>
    <t>Nasal assimilation</t>
  </si>
  <si>
    <t>Definite Article deletion</t>
  </si>
  <si>
    <t>replace the Modern Standard Arabic diphthong [æj]with the colloquial arabic vowel[e:]</t>
  </si>
  <si>
    <t>replace the Modern Standard Arabic diphthong [æw]with the colloquial arabic vowel[o:]</t>
  </si>
  <si>
    <t>replace the Modern Standard Arabic consonant [q]with the colloquial arabic consonant [ʔ]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</si>
  <si>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</si>
  <si>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</si>
  <si>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</si>
  <si>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</si>
  <si>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consonant [θ]with the colloquial arabic consonant [t]</t>
  </si>
  <si>
    <t>replace the Modern Standard Arabic adjective with the Colloquial Arabic one</t>
  </si>
  <si>
    <t>replace  [j]with  [i:] affected by colloquial Arabic</t>
  </si>
  <si>
    <t>consonant deletion  of [ʔ]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</si>
  <si>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</si>
  <si>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</si>
  <si>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</si>
  <si>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</si>
  <si>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</si>
  <si>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</si>
  <si>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</si>
  <si>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</si>
  <si>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</si>
  <si>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</si>
  <si>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</si>
  <si>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</si>
  <si>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</si>
  <si>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</si>
  <si>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</si>
  <si>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</si>
  <si>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</si>
  <si>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</si>
  <si>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</si>
  <si>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</si>
  <si>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</si>
  <si>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</si>
  <si>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</si>
  <si>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</si>
  <si>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</si>
  <si>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</si>
  <si>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</si>
  <si>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</si>
  <si>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</si>
  <si>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</si>
  <si>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</si>
  <si>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</si>
  <si>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</si>
  <si>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</si>
  <si>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</si>
  <si>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</si>
  <si>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</si>
  <si>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</si>
  <si>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</si>
  <si>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</si>
  <si>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</si>
  <si>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</si>
  <si>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</si>
  <si>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</si>
  <si>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</si>
  <si>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</si>
  <si>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</si>
  <si>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</si>
  <si>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</si>
  <si>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</si>
  <si>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</si>
  <si>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</si>
  <si>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</si>
  <si>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</si>
  <si>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</si>
  <si>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</si>
  <si>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</si>
  <si>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</si>
  <si>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</si>
  <si>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</si>
  <si>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</si>
  <si>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</si>
  <si>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 xml:space="preserve">pharyngealization(substitution of [s] with [sˤ]), </t>
  </si>
  <si>
    <t xml:space="preserve">depharyngealization  (substitution of [tˤ] with [t]) </t>
  </si>
  <si>
    <t>substitution of [χ] with [h]</t>
  </si>
  <si>
    <t xml:space="preserve">devoicing(substitution of [d]with [d̥])  </t>
  </si>
  <si>
    <t>devoicing(substitution of [z]with [s]),</t>
  </si>
  <si>
    <t>devoicing(substitution of [dˤ]with [tˤ])</t>
  </si>
  <si>
    <t xml:space="preserve"> lateralization(substitution of [r] with [ɺ]),</t>
  </si>
  <si>
    <t xml:space="preserve">devoicing(substitution of [z]with [z̥])                    </t>
  </si>
  <si>
    <t>devoicing (substitution of [d͡ʒ]with [d͡ʒ̥ ])</t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</si>
  <si>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</si>
  <si>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Epenthesis(insert long vowel [u:] between  consnant cluster)</t>
  </si>
  <si>
    <r>
      <t>Monophthongization</t>
    </r>
    <r>
      <rPr>
        <sz val="12"/>
        <color theme="1"/>
        <rFont val="Arial"/>
        <family val="2"/>
      </rPr>
      <t xml:space="preserve"> </t>
    </r>
  </si>
  <si>
    <t>syllable structure process (consonant deletion of  [l] phone)</t>
  </si>
  <si>
    <t>assimilation (the  [sˤ] phone changes to  [ ʃ]  phone to become  similar to the nearby  phone[ ʃ])</t>
  </si>
  <si>
    <t>assimilation (the  [tˤ] phone changes to  [χ] to become  similar to the nearby  phone[ χ])</t>
  </si>
  <si>
    <t>assimilation (the  [w] phone changes to  [f] to become  similar to the nearby  phone[ f])</t>
  </si>
  <si>
    <t>syllable structure process (consonant insertion of  [χ] phone)</t>
  </si>
  <si>
    <t>syllable structure process (consonant insertion of  [tʰ] phone)</t>
  </si>
  <si>
    <t>substitution of [n]with [m]</t>
  </si>
  <si>
    <t>assimilation (the  [l] phone changes to  [m]  phone to become  similar to the nearby  phone[m])</t>
  </si>
  <si>
    <t>syllable structure process (consonant insertion of  [j] phone)</t>
  </si>
  <si>
    <t>assimilation (the  [q] phone changes to  [f]  phone to become  similar to the nearby  phone[f])</t>
  </si>
  <si>
    <t>assimilation (the  [l] phone changes to  [ ʃ]  phone to become  similar to the nearby  phone[ ʃ])</t>
  </si>
  <si>
    <t>substitution of [t]with [n]</t>
  </si>
  <si>
    <t>syllable structure process (consonant insertion of  [q] phone)</t>
  </si>
  <si>
    <t>syllable structure process (consonant insertion of  [ɻ] phone)</t>
  </si>
  <si>
    <t>misreading</t>
  </si>
  <si>
    <t>replace  [ʔ]with  [i:] affected by colloquial arabic</t>
  </si>
  <si>
    <t>replace noun with verb</t>
  </si>
  <si>
    <t>replace the Modern Standard Arabic consonant [ðˤ]with the colloquial arabic consonant [dˤ]</t>
  </si>
  <si>
    <t>syllable structure process (consonant deletion of  [r] phone)</t>
  </si>
  <si>
    <t>gliding(substitution of [ʔ] with [w])</t>
  </si>
  <si>
    <t>gliding(substitution of [ʔ] with [j])</t>
  </si>
  <si>
    <t>gliding(substitution of [l] with [w])</t>
  </si>
  <si>
    <t>gliding(substitution of [ʕ] with [w])</t>
  </si>
  <si>
    <t>gliding(substitution of [ɣ] with [j])</t>
  </si>
  <si>
    <t>stopping  (substitution of [ð]with [d])</t>
  </si>
  <si>
    <t>stopping(substitution of [r] with [t])</t>
  </si>
  <si>
    <t>stopping(substitution of [χ] with [k)</t>
  </si>
  <si>
    <t>stopping and backing(substitution of [f] with [g])</t>
  </si>
  <si>
    <t>stopping and depharyngealization(substitution of [ðˤ]with [d])</t>
  </si>
  <si>
    <t>backing(substitution of [s] with [ʃ])</t>
  </si>
  <si>
    <t>Vowelization(substitution of [w] with [u:]),</t>
  </si>
  <si>
    <t>Vowelization(substitution of [j] with [i:]),</t>
  </si>
  <si>
    <t>total</t>
  </si>
  <si>
    <t>type of syllable structure error</t>
  </si>
  <si>
    <t>number of error</t>
  </si>
  <si>
    <t>d͡ʒ</t>
  </si>
  <si>
    <t>ل</t>
  </si>
  <si>
    <t>notes</t>
  </si>
  <si>
    <t>[l]</t>
  </si>
  <si>
    <t>[ɺ]</t>
  </si>
  <si>
    <t>[ɻ]</t>
  </si>
  <si>
    <t>[t]</t>
  </si>
  <si>
    <t>[z]</t>
  </si>
  <si>
    <t>[ʃ]</t>
  </si>
  <si>
    <t>[m]</t>
  </si>
  <si>
    <t>[w]</t>
  </si>
  <si>
    <t>[sˤ]</t>
  </si>
  <si>
    <t>[s]</t>
  </si>
  <si>
    <t>[z̥]</t>
  </si>
  <si>
    <t>[dˤ]</t>
  </si>
  <si>
    <t>[ð]</t>
  </si>
  <si>
    <t>[d]</t>
  </si>
  <si>
    <t>[kʰ]</t>
  </si>
  <si>
    <t>[d͡ʒ̥]</t>
  </si>
  <si>
    <t>[ʒ]</t>
  </si>
  <si>
    <t>[t͡ʃ]</t>
  </si>
  <si>
    <t>[g]</t>
  </si>
  <si>
    <t>[k]</t>
  </si>
  <si>
    <t>[f]</t>
  </si>
  <si>
    <t>[h]</t>
  </si>
  <si>
    <t>[ħ]</t>
  </si>
  <si>
    <t>[χ]</t>
  </si>
  <si>
    <t>[ʔ]</t>
  </si>
  <si>
    <t>[j]</t>
  </si>
  <si>
    <t>[ɣ]</t>
  </si>
  <si>
    <t>[ʕ]</t>
  </si>
  <si>
    <t>[n]</t>
  </si>
  <si>
    <t>[p]</t>
  </si>
  <si>
    <t>[pʰ]</t>
  </si>
  <si>
    <t>[tʰ]</t>
  </si>
  <si>
    <t>[tˤ]</t>
  </si>
  <si>
    <t>[d̥]</t>
  </si>
  <si>
    <t>[u:]</t>
  </si>
  <si>
    <t>[i:]</t>
  </si>
  <si>
    <t>[-]</t>
  </si>
  <si>
    <t>percentage</t>
  </si>
  <si>
    <t>l Total</t>
  </si>
  <si>
    <t>s Total</t>
  </si>
  <si>
    <t>z Total</t>
  </si>
  <si>
    <t>sˤ Total</t>
  </si>
  <si>
    <t>θ Total</t>
  </si>
  <si>
    <t>ðˤ Total</t>
  </si>
  <si>
    <t>ð Total</t>
  </si>
  <si>
    <t>k Total</t>
  </si>
  <si>
    <t>d͡ʒ Total</t>
  </si>
  <si>
    <t>q Total</t>
  </si>
  <si>
    <t>ʃ Total</t>
  </si>
  <si>
    <t>χ Total</t>
  </si>
  <si>
    <t>ɣ Total</t>
  </si>
  <si>
    <t>ʕ Total</t>
  </si>
  <si>
    <t>ħ Total</t>
  </si>
  <si>
    <t>h Total</t>
  </si>
  <si>
    <t>ʔ Total</t>
  </si>
  <si>
    <t>f Total</t>
  </si>
  <si>
    <t>n Total</t>
  </si>
  <si>
    <t>m Total</t>
  </si>
  <si>
    <t>b Total</t>
  </si>
  <si>
    <t>tˤ Total</t>
  </si>
  <si>
    <t>t Total</t>
  </si>
  <si>
    <t>d Total</t>
  </si>
  <si>
    <t>dˤ Total</t>
  </si>
  <si>
    <t>w Total</t>
  </si>
  <si>
    <t>j Total</t>
  </si>
  <si>
    <t>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</si>
</sst>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  <font>
      <sz val="11"/>
      <color theme="0"/>
      <name val="Calibri"/>
      <family val="2"/>
      <scheme val="minor"/>
    </font>
    <font>
      <b/>
      <sz val="16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4" fillId="10" borderId="0" applyNumberFormat="0" applyBorder="0" applyAlignment="0" applyProtection="0"/>
  </cellStyleXfs>
  <cellXfs count="184">
    <xf numFmtId="0" fontId="0" fillId="0" borderId="0" xfId="0"/>
    <xf numFmtId="0" fontId="0" fillId="0" borderId="0" xfId="0" applyAlignment="1">
      <alignment wrapText="1"/>
    </xf>
    <xf numFmtId="0" fontId="15" fillId="11" borderId="1" xfId="1" applyFont="1" applyFill="1" applyBorder="1" applyAlignment="1">
      <alignment horizontal="center" vertical="center" wrapText="1"/>
    </xf>
    <xf numFmtId="0" fontId="2" fillId="2" borderId="0" xfId="1"/>
    <xf numFmtId="0" fontId="4" fillId="4" borderId="1" xfId="3" applyBorder="1" applyAlignment="1">
      <alignment horizontal="center" vertical="center"/>
    </xf>
    <xf numFmtId="0" fontId="4" fillId="4" borderId="1" xfId="3" applyBorder="1" applyAlignment="1">
      <alignment vertical="center" wrapText="1"/>
    </xf>
    <xf numFmtId="0" fontId="4" fillId="4" borderId="1" xfId="3" applyBorder="1" applyAlignment="1">
      <alignment vertical="center"/>
    </xf>
    <xf numFmtId="0" fontId="12" fillId="4" borderId="1" xfId="3" applyFont="1" applyBorder="1" applyAlignment="1">
      <alignment vertical="center" wrapText="1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vertical="center" wrapText="1"/>
    </xf>
    <xf numFmtId="0" fontId="3" fillId="3" borderId="1" xfId="2" applyBorder="1" applyAlignment="1">
      <alignment vertical="center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wrapText="1"/>
    </xf>
    <xf numFmtId="0" fontId="2" fillId="2" borderId="1" xfId="1" applyBorder="1"/>
    <xf numFmtId="0" fontId="1" fillId="9" borderId="1" xfId="8" applyBorder="1" applyAlignment="1">
      <alignment horizontal="center" vertical="center"/>
    </xf>
    <xf numFmtId="0" fontId="1" fillId="9" borderId="1" xfId="8" applyBorder="1" applyAlignment="1">
      <alignment vertical="center" wrapText="1"/>
    </xf>
    <xf numFmtId="0" fontId="1" fillId="9" borderId="1" xfId="8" applyBorder="1" applyAlignment="1">
      <alignment vertical="center"/>
    </xf>
    <xf numFmtId="0" fontId="12" fillId="3" borderId="1" xfId="2" applyFont="1" applyBorder="1" applyAlignment="1">
      <alignment wrapText="1"/>
    </xf>
    <xf numFmtId="0" fontId="3" fillId="3" borderId="1" xfId="2" applyBorder="1"/>
    <xf numFmtId="0" fontId="3" fillId="3" borderId="1" xfId="2" applyBorder="1" applyAlignment="1">
      <alignment wrapText="1"/>
    </xf>
    <xf numFmtId="0" fontId="2" fillId="2" borderId="1" xfId="1" applyBorder="1" applyAlignment="1">
      <alignment horizontal="center" vertical="center" wrapText="1" readingOrder="2"/>
    </xf>
    <xf numFmtId="0" fontId="0" fillId="9" borderId="1" xfId="8" applyFont="1" applyBorder="1" applyAlignment="1">
      <alignment vertical="center" wrapText="1"/>
    </xf>
    <xf numFmtId="0" fontId="12" fillId="3" borderId="1" xfId="2" applyFont="1" applyBorder="1" applyAlignment="1">
      <alignment vertical="center" wrapText="1"/>
    </xf>
    <xf numFmtId="0" fontId="12" fillId="2" borderId="1" xfId="1" applyFont="1" applyBorder="1" applyAlignment="1">
      <alignment vertical="center" wrapText="1"/>
    </xf>
    <xf numFmtId="0" fontId="2" fillId="2" borderId="1" xfId="1" applyBorder="1" applyAlignment="1">
      <alignment vertical="center"/>
    </xf>
    <xf numFmtId="0" fontId="2" fillId="2" borderId="1" xfId="1" applyBorder="1" applyAlignment="1">
      <alignment vertical="center" wrapText="1"/>
    </xf>
    <xf numFmtId="0" fontId="0" fillId="7" borderId="1" xfId="6" applyFont="1" applyBorder="1" applyAlignment="1">
      <alignment horizontal="center" vertical="center"/>
    </xf>
    <xf numFmtId="0" fontId="1" fillId="7" borderId="1" xfId="6" applyBorder="1" applyAlignment="1">
      <alignment horizontal="center" vertical="center"/>
    </xf>
    <xf numFmtId="0" fontId="0" fillId="7" borderId="1" xfId="6" applyFont="1" applyBorder="1" applyAlignment="1">
      <alignment horizontal="center" vertical="center" wrapText="1" readingOrder="2"/>
    </xf>
    <xf numFmtId="0" fontId="0" fillId="7" borderId="1" xfId="6" applyFont="1" applyBorder="1" applyAlignment="1">
      <alignment vertical="center" wrapText="1"/>
    </xf>
    <xf numFmtId="0" fontId="1" fillId="7" borderId="1" xfId="6" applyBorder="1" applyAlignment="1">
      <alignment vertical="center"/>
    </xf>
    <xf numFmtId="0" fontId="3" fillId="3" borderId="1" xfId="2" applyBorder="1" applyAlignment="1">
      <alignment horizontal="center" vertical="center" wrapText="1" readingOrder="2"/>
    </xf>
    <xf numFmtId="0" fontId="12" fillId="5" borderId="1" xfId="4" applyFont="1" applyBorder="1" applyAlignment="1">
      <alignment vertical="center" wrapText="1"/>
    </xf>
    <xf numFmtId="0" fontId="1" fillId="5" borderId="1" xfId="4" applyBorder="1" applyAlignment="1">
      <alignment vertical="center"/>
    </xf>
    <xf numFmtId="0" fontId="0" fillId="5" borderId="1" xfId="4" applyFont="1" applyBorder="1" applyAlignment="1">
      <alignment vertical="center" wrapText="1"/>
    </xf>
    <xf numFmtId="0" fontId="12" fillId="6" borderId="1" xfId="5" applyFont="1" applyBorder="1" applyAlignment="1">
      <alignment vertical="center" wrapText="1"/>
    </xf>
    <xf numFmtId="0" fontId="1" fillId="6" borderId="1" xfId="5" applyBorder="1" applyAlignment="1">
      <alignment vertical="center"/>
    </xf>
    <xf numFmtId="0" fontId="0" fillId="6" borderId="1" xfId="5" applyFont="1" applyBorder="1" applyAlignment="1">
      <alignment vertical="center" wrapText="1"/>
    </xf>
    <xf numFmtId="0" fontId="12" fillId="8" borderId="1" xfId="7" applyFont="1" applyBorder="1" applyAlignment="1">
      <alignment vertical="center" wrapText="1"/>
    </xf>
    <xf numFmtId="0" fontId="1" fillId="8" borderId="1" xfId="7" applyBorder="1" applyAlignment="1">
      <alignment vertical="center"/>
    </xf>
    <xf numFmtId="0" fontId="14" fillId="10" borderId="1" xfId="9" applyBorder="1" applyAlignment="1">
      <alignment horizontal="center" vertical="center"/>
    </xf>
    <xf numFmtId="0" fontId="14" fillId="10" borderId="1" xfId="9" applyBorder="1" applyAlignment="1">
      <alignment horizontal="center" vertical="center" wrapText="1" readingOrder="2"/>
    </xf>
    <xf numFmtId="0" fontId="14" fillId="10" borderId="1" xfId="9" applyBorder="1" applyAlignment="1">
      <alignment vertical="center" wrapText="1"/>
    </xf>
    <xf numFmtId="0" fontId="14" fillId="10" borderId="1" xfId="9" applyBorder="1" applyAlignment="1">
      <alignment vertical="center"/>
    </xf>
    <xf numFmtId="0" fontId="12" fillId="7" borderId="1" xfId="6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0" fillId="0" borderId="1" xfId="0" applyBorder="1"/>
    <xf numFmtId="0" fontId="8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5" fillId="0" borderId="2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0" xfId="0" applyBorder="1" applyAlignment="1">
      <alignment wrapText="1"/>
    </xf>
    <xf numFmtId="0" fontId="0" fillId="0" borderId="0" xfId="0" applyBorder="1"/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3" fillId="3" borderId="2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4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0" fillId="7" borderId="2" xfId="6" applyFont="1" applyBorder="1" applyAlignment="1">
      <alignment horizontal="center" vertical="center" wrapText="1" readingOrder="2"/>
    </xf>
    <xf numFmtId="0" fontId="0" fillId="7" borderId="3" xfId="6" applyFont="1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1" fillId="6" borderId="1" xfId="5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1" fillId="9" borderId="1" xfId="8" applyBorder="1" applyAlignment="1">
      <alignment horizontal="center" vertical="center" wrapText="1" readingOrder="2"/>
    </xf>
    <xf numFmtId="0" fontId="1" fillId="9" borderId="1" xfId="8" applyBorder="1" applyAlignment="1">
      <alignment horizontal="center" vertical="center"/>
    </xf>
    <xf numFmtId="0" fontId="1" fillId="8" borderId="1" xfId="7" applyBorder="1" applyAlignment="1">
      <alignment horizontal="center" vertical="center" wrapText="1" readingOrder="2"/>
    </xf>
    <xf numFmtId="0" fontId="1" fillId="5" borderId="1" xfId="4" applyBorder="1" applyAlignment="1">
      <alignment horizontal="center" vertical="center" wrapText="1" readingOrder="2"/>
    </xf>
    <xf numFmtId="0" fontId="0" fillId="7" borderId="1" xfId="6" applyFont="1" applyBorder="1" applyAlignment="1">
      <alignment vertical="center"/>
    </xf>
    <xf numFmtId="10" fontId="10" fillId="0" borderId="5" xfId="0" applyNumberFormat="1" applyFont="1" applyBorder="1" applyAlignment="1">
      <alignment vertical="center" wrapText="1"/>
    </xf>
    <xf numFmtId="10" fontId="4" fillId="4" borderId="1" xfId="3" applyNumberFormat="1" applyBorder="1" applyAlignment="1">
      <alignment vertical="center"/>
    </xf>
    <xf numFmtId="10" fontId="3" fillId="3" borderId="1" xfId="2" applyNumberFormat="1" applyBorder="1" applyAlignment="1">
      <alignment vertical="center"/>
    </xf>
    <xf numFmtId="10" fontId="2" fillId="2" borderId="1" xfId="1" applyNumberFormat="1" applyBorder="1"/>
    <xf numFmtId="10" fontId="1" fillId="9" borderId="1" xfId="8" applyNumberFormat="1" applyBorder="1" applyAlignment="1">
      <alignment vertical="center"/>
    </xf>
    <xf numFmtId="10" fontId="3" fillId="3" borderId="1" xfId="2" applyNumberFormat="1" applyBorder="1"/>
    <xf numFmtId="10" fontId="2" fillId="2" borderId="1" xfId="1" applyNumberFormat="1" applyBorder="1" applyAlignment="1">
      <alignment vertical="center"/>
    </xf>
    <xf numFmtId="10" fontId="1" fillId="7" borderId="1" xfId="6" applyNumberFormat="1" applyBorder="1" applyAlignment="1">
      <alignment vertical="center"/>
    </xf>
    <xf numFmtId="10" fontId="1" fillId="5" borderId="1" xfId="4" applyNumberFormat="1" applyBorder="1" applyAlignment="1">
      <alignment vertical="center"/>
    </xf>
    <xf numFmtId="10" fontId="1" fillId="6" borderId="1" xfId="5" applyNumberFormat="1" applyBorder="1" applyAlignment="1">
      <alignment vertical="center"/>
    </xf>
    <xf numFmtId="10" fontId="1" fillId="8" borderId="1" xfId="7" applyNumberFormat="1" applyBorder="1" applyAlignment="1">
      <alignment vertical="center"/>
    </xf>
    <xf numFmtId="10" fontId="14" fillId="10" borderId="1" xfId="9" applyNumberFormat="1" applyBorder="1" applyAlignment="1">
      <alignment vertical="center"/>
    </xf>
    <xf numFmtId="10" fontId="0" fillId="0" borderId="0" xfId="0" applyNumberFormat="1"/>
    <xf numFmtId="10" fontId="15" fillId="11" borderId="1" xfId="1" applyNumberFormat="1" applyFont="1" applyFill="1" applyBorder="1" applyAlignment="1">
      <alignment horizontal="center" vertical="center" wrapText="1"/>
    </xf>
    <xf numFmtId="10" fontId="0" fillId="0" borderId="0" xfId="0" applyNumberFormat="1" applyBorder="1"/>
    <xf numFmtId="10" fontId="0" fillId="0" borderId="1" xfId="0" applyNumberFormat="1" applyBorder="1"/>
    <xf numFmtId="0" fontId="15" fillId="11" borderId="6" xfId="1" applyFont="1" applyFill="1" applyBorder="1" applyAlignment="1">
      <alignment horizontal="center" vertical="center" wrapText="1"/>
    </xf>
    <xf numFmtId="0" fontId="3" fillId="3" borderId="1" xfId="2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0" fillId="9" borderId="1" xfId="8" applyFont="1" applyBorder="1" applyAlignment="1">
      <alignment horizontal="center" vertical="center" wrapText="1" readingOrder="2"/>
    </xf>
    <xf numFmtId="0" fontId="1" fillId="9" borderId="1" xfId="8" applyBorder="1" applyAlignment="1">
      <alignment horizontal="center" vertical="center" wrapText="1" readingOrder="2"/>
    </xf>
    <xf numFmtId="0" fontId="0" fillId="9" borderId="1" xfId="8" applyFont="1" applyBorder="1" applyAlignment="1">
      <alignment horizontal="center" vertical="center"/>
    </xf>
    <xf numFmtId="0" fontId="1" fillId="9" borderId="1" xfId="8" applyBorder="1" applyAlignment="1">
      <alignment horizontal="center" vertical="center"/>
    </xf>
    <xf numFmtId="0" fontId="0" fillId="8" borderId="1" xfId="7" applyFont="1" applyBorder="1" applyAlignment="1">
      <alignment horizontal="center" vertical="center"/>
    </xf>
    <xf numFmtId="0" fontId="1" fillId="8" borderId="1" xfId="7" applyBorder="1" applyAlignment="1">
      <alignment horizontal="center" vertical="center"/>
    </xf>
    <xf numFmtId="0" fontId="0" fillId="8" borderId="1" xfId="7" applyFont="1" applyBorder="1" applyAlignment="1">
      <alignment horizontal="center" vertical="center" wrapText="1" readingOrder="2"/>
    </xf>
    <xf numFmtId="0" fontId="1" fillId="8" borderId="1" xfId="7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1" fillId="5" borderId="1" xfId="4" applyBorder="1" applyAlignment="1">
      <alignment horizontal="center" vertical="center" wrapText="1" readingOrder="2"/>
    </xf>
    <xf numFmtId="0" fontId="1" fillId="7" borderId="1" xfId="6" applyBorder="1" applyAlignment="1">
      <alignment horizontal="center" vertical="center"/>
    </xf>
    <xf numFmtId="0" fontId="1" fillId="7" borderId="1" xfId="6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1" fillId="7" borderId="2" xfId="6" applyBorder="1" applyAlignment="1">
      <alignment horizontal="center" vertical="center"/>
    </xf>
    <xf numFmtId="0" fontId="1" fillId="7" borderId="4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0" fillId="6" borderId="1" xfId="5" applyFont="1" applyBorder="1" applyAlignment="1">
      <alignment horizontal="center" vertical="center" wrapText="1" readingOrder="2"/>
    </xf>
    <xf numFmtId="0" fontId="1" fillId="6" borderId="1" xfId="5" applyBorder="1" applyAlignment="1">
      <alignment horizontal="center" vertical="center" wrapText="1" readingOrder="2"/>
    </xf>
    <xf numFmtId="0" fontId="0" fillId="6" borderId="1" xfId="5" applyFont="1" applyBorder="1" applyAlignment="1">
      <alignment horizontal="center" vertical="center"/>
    </xf>
    <xf numFmtId="0" fontId="1" fillId="6" borderId="1" xfId="5" applyBorder="1" applyAlignment="1">
      <alignment horizontal="center" vertical="center"/>
    </xf>
    <xf numFmtId="0" fontId="3" fillId="3" borderId="2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0" fillId="7" borderId="2" xfId="6" applyFont="1" applyBorder="1" applyAlignment="1">
      <alignment horizontal="center" vertical="center" wrapText="1" readingOrder="2"/>
    </xf>
    <xf numFmtId="0" fontId="0" fillId="7" borderId="4" xfId="6" applyFont="1" applyBorder="1" applyAlignment="1">
      <alignment horizontal="center" vertical="center" wrapText="1" readingOrder="2"/>
    </xf>
    <xf numFmtId="0" fontId="0" fillId="7" borderId="3" xfId="6" applyFont="1" applyBorder="1" applyAlignment="1">
      <alignment horizontal="center" vertical="center" wrapText="1" readingOrder="2"/>
    </xf>
    <xf numFmtId="0" fontId="0" fillId="7" borderId="2" xfId="6" applyFont="1" applyBorder="1" applyAlignment="1">
      <alignment horizontal="center" vertical="center"/>
    </xf>
    <xf numFmtId="0" fontId="0" fillId="7" borderId="4" xfId="6" applyFont="1" applyBorder="1" applyAlignment="1">
      <alignment horizontal="center" vertical="center"/>
    </xf>
    <xf numFmtId="0" fontId="0" fillId="7" borderId="3" xfId="6" applyFont="1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1" xfId="4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9" borderId="4" xfId="8" applyBorder="1" applyAlignment="1">
      <alignment horizontal="center" vertical="center"/>
    </xf>
    <xf numFmtId="0" fontId="1" fillId="8" borderId="4" xfId="7" applyBorder="1" applyAlignment="1">
      <alignment horizontal="center" vertical="center"/>
    </xf>
    <xf numFmtId="0" fontId="14" fillId="10" borderId="2" xfId="9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9" fillId="3" borderId="1" xfId="2" applyFont="1" applyBorder="1" applyAlignment="1">
      <alignment horizontal="center" vertical="center"/>
    </xf>
    <xf numFmtId="0" fontId="18" fillId="2" borderId="1" xfId="1" applyFont="1" applyBorder="1" applyAlignment="1">
      <alignment horizontal="center" vertical="center"/>
    </xf>
    <xf numFmtId="0" fontId="17" fillId="9" borderId="1" xfId="8" applyFont="1" applyBorder="1" applyAlignment="1">
      <alignment horizontal="center" vertical="center"/>
    </xf>
    <xf numFmtId="0" fontId="20" fillId="4" borderId="1" xfId="3" applyFont="1" applyBorder="1" applyAlignment="1">
      <alignment horizontal="center" vertical="center"/>
    </xf>
    <xf numFmtId="0" fontId="17" fillId="7" borderId="2" xfId="6" applyFont="1" applyBorder="1" applyAlignment="1">
      <alignment horizontal="center" vertical="center"/>
    </xf>
    <xf numFmtId="0" fontId="19" fillId="3" borderId="3" xfId="2" applyFont="1" applyBorder="1" applyAlignment="1">
      <alignment horizontal="center" vertical="center"/>
    </xf>
    <xf numFmtId="0" fontId="17" fillId="5" borderId="1" xfId="4" applyFont="1" applyBorder="1" applyAlignment="1">
      <alignment horizontal="center" vertical="center"/>
    </xf>
    <xf numFmtId="0" fontId="17" fillId="6" borderId="1" xfId="5" applyFont="1" applyBorder="1" applyAlignment="1">
      <alignment horizontal="center" vertical="center"/>
    </xf>
    <xf numFmtId="0" fontId="17" fillId="8" borderId="1" xfId="7" applyFont="1" applyBorder="1" applyAlignment="1">
      <alignment horizontal="center" vertical="center"/>
    </xf>
    <xf numFmtId="0" fontId="20" fillId="4" borderId="2" xfId="3" applyFont="1" applyBorder="1" applyAlignment="1">
      <alignment horizontal="center" vertical="center"/>
    </xf>
    <xf numFmtId="0" fontId="17" fillId="7" borderId="3" xfId="6" applyFont="1" applyBorder="1" applyAlignment="1">
      <alignment horizontal="center" vertical="center"/>
    </xf>
    <xf numFmtId="0" fontId="16" fillId="10" borderId="1" xfId="9" applyFont="1" applyBorder="1" applyAlignment="1">
      <alignment horizontal="center" vertical="center"/>
    </xf>
    <xf numFmtId="0" fontId="20" fillId="4" borderId="3" xfId="3" applyFont="1" applyBorder="1" applyAlignment="1">
      <alignment horizontal="center" vertical="center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60% - Accent5" xfId="9" builtinId="48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[r]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Sheet1!$F$2:$F$6</c:f>
              <c:strCache>
                <c:ptCount val="5"/>
                <c:pt idx="0">
                  <c:v>[l]</c:v>
                </c:pt>
                <c:pt idx="1">
                  <c:v>[ɻ]</c:v>
                </c:pt>
                <c:pt idx="2">
                  <c:v>[ɺ]</c:v>
                </c:pt>
                <c:pt idx="3">
                  <c:v>[-]</c:v>
                </c:pt>
                <c:pt idx="4">
                  <c:v>[t]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40</c:v>
                </c:pt>
                <c:pt idx="1">
                  <c:v>29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6-4749-A4F0-F92D8FC14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7050927"/>
        <c:axId val="31705134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Sheet1!$F$2:$F$6</c:f>
              <c:strCache>
                <c:ptCount val="5"/>
                <c:pt idx="0">
                  <c:v>[l]</c:v>
                </c:pt>
                <c:pt idx="1">
                  <c:v>[ɻ]</c:v>
                </c:pt>
                <c:pt idx="2">
                  <c:v>[ɺ]</c:v>
                </c:pt>
                <c:pt idx="3">
                  <c:v>[-]</c:v>
                </c:pt>
                <c:pt idx="4">
                  <c:v>[t]</c:v>
                </c:pt>
              </c:strCache>
            </c:strRef>
          </c:cat>
          <c:val>
            <c:numRef>
              <c:f>Sheet1!$H$2:$H$6</c:f>
              <c:numCache>
                <c:formatCode>0.00%</c:formatCode>
                <c:ptCount val="5"/>
                <c:pt idx="0">
                  <c:v>0.16666666666666666</c:v>
                </c:pt>
                <c:pt idx="1">
                  <c:v>0.12083333333333333</c:v>
                </c:pt>
                <c:pt idx="2">
                  <c:v>2.0833333333333332E-2</c:v>
                </c:pt>
                <c:pt idx="3">
                  <c:v>8.3333333333333332E-3</c:v>
                </c:pt>
                <c:pt idx="4">
                  <c:v>4.1666666666666666E-3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06-4749-A4F0-F92D8FC14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050095"/>
        <c:axId val="317057167"/>
      </c:lineChart>
      <c:catAx>
        <c:axId val="31705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051343"/>
        <c:crosses val="autoZero"/>
        <c:auto val="1"/>
        <c:lblAlgn val="ctr"/>
        <c:lblOffset val="100"/>
        <c:noMultiLvlLbl val="0"/>
      </c:catAx>
      <c:valAx>
        <c:axId val="31705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050927"/>
        <c:crosses val="autoZero"/>
        <c:crossBetween val="between"/>
      </c:valAx>
      <c:valAx>
        <c:axId val="31705716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050095"/>
        <c:crosses val="max"/>
        <c:crossBetween val="between"/>
      </c:valAx>
      <c:catAx>
        <c:axId val="317050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1705716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[l]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Sheet1!$F$8:$F$14</c:f>
              <c:strCache>
                <c:ptCount val="7"/>
                <c:pt idx="0">
                  <c:v>[ɻ]</c:v>
                </c:pt>
                <c:pt idx="1">
                  <c:v>[-]</c:v>
                </c:pt>
                <c:pt idx="2">
                  <c:v>[z]</c:v>
                </c:pt>
                <c:pt idx="3">
                  <c:v>[ɺ]</c:v>
                </c:pt>
                <c:pt idx="4">
                  <c:v>[w]</c:v>
                </c:pt>
                <c:pt idx="5">
                  <c:v>[ʃ]</c:v>
                </c:pt>
                <c:pt idx="6">
                  <c:v>[m]</c:v>
                </c:pt>
              </c:strCache>
            </c:strRef>
          </c:cat>
          <c:val>
            <c:numRef>
              <c:f>Sheet1!$G$8:$G$14</c:f>
              <c:numCache>
                <c:formatCode>General</c:formatCode>
                <c:ptCount val="7"/>
                <c:pt idx="0">
                  <c:v>7</c:v>
                </c:pt>
                <c:pt idx="1">
                  <c:v>7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9D-4F66-B9BC-C1FAB519C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7056335"/>
        <c:axId val="31705675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Sheet1!$F$8:$F$14</c:f>
              <c:strCache>
                <c:ptCount val="7"/>
                <c:pt idx="0">
                  <c:v>[ɻ]</c:v>
                </c:pt>
                <c:pt idx="1">
                  <c:v>[-]</c:v>
                </c:pt>
                <c:pt idx="2">
                  <c:v>[z]</c:v>
                </c:pt>
                <c:pt idx="3">
                  <c:v>[ɺ]</c:v>
                </c:pt>
                <c:pt idx="4">
                  <c:v>[w]</c:v>
                </c:pt>
                <c:pt idx="5">
                  <c:v>[ʃ]</c:v>
                </c:pt>
                <c:pt idx="6">
                  <c:v>[m]</c:v>
                </c:pt>
              </c:strCache>
            </c:strRef>
          </c:cat>
          <c:val>
            <c:numRef>
              <c:f>Sheet1!$H$8:$H$14</c:f>
              <c:numCache>
                <c:formatCode>0.00%</c:formatCode>
                <c:ptCount val="7"/>
                <c:pt idx="0">
                  <c:v>2.1148036253776436E-2</c:v>
                </c:pt>
                <c:pt idx="1">
                  <c:v>2.1148036253776436E-2</c:v>
                </c:pt>
                <c:pt idx="2">
                  <c:v>9.0634441087613302E-3</c:v>
                </c:pt>
                <c:pt idx="3">
                  <c:v>6.0422960725075529E-3</c:v>
                </c:pt>
                <c:pt idx="4">
                  <c:v>6.0422960725075529E-3</c:v>
                </c:pt>
                <c:pt idx="5">
                  <c:v>3.0211480362537764E-3</c:v>
                </c:pt>
                <c:pt idx="6">
                  <c:v>3.0211480362537764E-3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9D-4F66-B9BC-C1FAB519C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6160591"/>
        <c:axId val="317055503"/>
      </c:lineChart>
      <c:catAx>
        <c:axId val="31705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056751"/>
        <c:crosses val="autoZero"/>
        <c:auto val="1"/>
        <c:lblAlgn val="ctr"/>
        <c:lblOffset val="100"/>
        <c:noMultiLvlLbl val="0"/>
      </c:catAx>
      <c:valAx>
        <c:axId val="31705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056335"/>
        <c:crosses val="autoZero"/>
        <c:crossBetween val="between"/>
      </c:valAx>
      <c:valAx>
        <c:axId val="31705550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60591"/>
        <c:crosses val="max"/>
        <c:crossBetween val="between"/>
      </c:valAx>
      <c:catAx>
        <c:axId val="4561605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1705550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Sheet1!$F$16:$F$17</c:f>
              <c:strCache>
                <c:ptCount val="2"/>
                <c:pt idx="0">
                  <c:v>[sˤ]</c:v>
                </c:pt>
                <c:pt idx="1">
                  <c:v>[ʃ]</c:v>
                </c:pt>
              </c:strCache>
            </c:strRef>
          </c:cat>
          <c:val>
            <c:numRef>
              <c:f>Sheet1!$G$16:$G$17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0-4AC9-B4D9-B039AC66E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927103"/>
        <c:axId val="46794083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Sheet1!$F$16:$F$17</c:f>
              <c:strCache>
                <c:ptCount val="2"/>
                <c:pt idx="0">
                  <c:v>[sˤ]</c:v>
                </c:pt>
                <c:pt idx="1">
                  <c:v>[ʃ]</c:v>
                </c:pt>
              </c:strCache>
            </c:strRef>
          </c:cat>
          <c:val>
            <c:numRef>
              <c:f>Sheet1!$H$16:$H$17</c:f>
              <c:numCache>
                <c:formatCode>0.00%</c:formatCode>
                <c:ptCount val="2"/>
                <c:pt idx="0">
                  <c:v>7.7519379844961239E-3</c:v>
                </c:pt>
                <c:pt idx="1">
                  <c:v>7.7519379844961239E-3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E0-4AC9-B4D9-B039AC66E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928351"/>
        <c:axId val="467941247"/>
      </c:lineChart>
      <c:catAx>
        <c:axId val="46792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940831"/>
        <c:crosses val="autoZero"/>
        <c:auto val="1"/>
        <c:lblAlgn val="ctr"/>
        <c:lblOffset val="100"/>
        <c:noMultiLvlLbl val="0"/>
      </c:catAx>
      <c:valAx>
        <c:axId val="4679408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927103"/>
        <c:crosses val="autoZero"/>
        <c:crossBetween val="between"/>
      </c:valAx>
      <c:valAx>
        <c:axId val="46794124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928351"/>
        <c:crosses val="max"/>
        <c:crossBetween val="between"/>
      </c:valAx>
      <c:catAx>
        <c:axId val="4679283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6794124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[z]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Sheet1!$F$19:$F$20</c:f>
              <c:strCache>
                <c:ptCount val="2"/>
                <c:pt idx="0">
                  <c:v>[s]</c:v>
                </c:pt>
                <c:pt idx="1">
                  <c:v>[z̥]</c:v>
                </c:pt>
              </c:strCache>
            </c:strRef>
          </c:cat>
          <c:val>
            <c:numRef>
              <c:f>Sheet1!$G$19:$G$20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C-44E8-BDDA-E85D24691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160175"/>
        <c:axId val="45616475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Sheet1!$F$19:$F$20</c:f>
              <c:strCache>
                <c:ptCount val="2"/>
                <c:pt idx="0">
                  <c:v>[s]</c:v>
                </c:pt>
                <c:pt idx="1">
                  <c:v>[z̥]</c:v>
                </c:pt>
              </c:strCache>
            </c:strRef>
          </c:cat>
          <c:val>
            <c:numRef>
              <c:f>Sheet1!$H$19:$H$20</c:f>
              <c:numCache>
                <c:formatCode>0.00%</c:formatCode>
                <c:ptCount val="2"/>
                <c:pt idx="0">
                  <c:v>0.10344827586206896</c:v>
                </c:pt>
                <c:pt idx="1">
                  <c:v>0.10344827586206896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6C-44E8-BDDA-E85D24691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6159343"/>
        <c:axId val="456163503"/>
      </c:lineChart>
      <c:catAx>
        <c:axId val="45616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64751"/>
        <c:crosses val="autoZero"/>
        <c:auto val="1"/>
        <c:lblAlgn val="ctr"/>
        <c:lblOffset val="100"/>
        <c:noMultiLvlLbl val="0"/>
      </c:catAx>
      <c:valAx>
        <c:axId val="45616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60175"/>
        <c:crosses val="autoZero"/>
        <c:crossBetween val="between"/>
      </c:valAx>
      <c:valAx>
        <c:axId val="45616350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59343"/>
        <c:crosses val="max"/>
        <c:crossBetween val="between"/>
      </c:valAx>
      <c:catAx>
        <c:axId val="4561593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616350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Sheet1!$F$22:$F$23</c:f>
              <c:strCache>
                <c:ptCount val="2"/>
                <c:pt idx="0">
                  <c:v>[s]</c:v>
                </c:pt>
                <c:pt idx="1">
                  <c:v>[ʃ]</c:v>
                </c:pt>
              </c:strCache>
            </c:strRef>
          </c:cat>
          <c:val>
            <c:numRef>
              <c:f>Sheet1!$G$22:$G$23</c:f>
              <c:numCache>
                <c:formatCode>General</c:formatCode>
                <c:ptCount val="2"/>
                <c:pt idx="0">
                  <c:v>11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B-4C50-A8E4-F6C439FB5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9095711"/>
        <c:axId val="31909779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Sheet1!$F$22:$F$23</c:f>
              <c:strCache>
                <c:ptCount val="2"/>
                <c:pt idx="0">
                  <c:v>[s]</c:v>
                </c:pt>
                <c:pt idx="1">
                  <c:v>[ʃ]</c:v>
                </c:pt>
              </c:strCache>
            </c:strRef>
          </c:cat>
          <c:val>
            <c:numRef>
              <c:f>Sheet1!$H$22:$H$23</c:f>
              <c:numCache>
                <c:formatCode>0.00%</c:formatCode>
                <c:ptCount val="2"/>
                <c:pt idx="0">
                  <c:v>0.1864406779661017</c:v>
                </c:pt>
                <c:pt idx="1">
                  <c:v>1.6949152542372881E-2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9B-4C50-A8E4-F6C439FB5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998271"/>
        <c:axId val="319091135"/>
      </c:lineChart>
      <c:catAx>
        <c:axId val="31909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097791"/>
        <c:crosses val="autoZero"/>
        <c:auto val="1"/>
        <c:lblAlgn val="ctr"/>
        <c:lblOffset val="100"/>
        <c:noMultiLvlLbl val="0"/>
      </c:catAx>
      <c:valAx>
        <c:axId val="31909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095711"/>
        <c:crosses val="autoZero"/>
        <c:crossBetween val="between"/>
      </c:valAx>
      <c:valAx>
        <c:axId val="31909113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98271"/>
        <c:crosses val="max"/>
        <c:crossBetween val="between"/>
      </c:valAx>
      <c:catAx>
        <c:axId val="3219982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1909113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[ðˤ]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Sheet1!$F$27:$F$29</c:f>
              <c:strCache>
                <c:ptCount val="3"/>
                <c:pt idx="0">
                  <c:v>[dˤ]</c:v>
                </c:pt>
                <c:pt idx="1">
                  <c:v>[d]</c:v>
                </c:pt>
                <c:pt idx="2">
                  <c:v>[ð]</c:v>
                </c:pt>
              </c:strCache>
            </c:strRef>
          </c:cat>
          <c:val>
            <c:numRef>
              <c:f>Sheet1!$G$27:$G$29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37-4259-9358-E08EA1FEA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165167"/>
        <c:axId val="45616225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Sheet1!$F$27:$F$29</c:f>
              <c:strCache>
                <c:ptCount val="3"/>
                <c:pt idx="0">
                  <c:v>[dˤ]</c:v>
                </c:pt>
                <c:pt idx="1">
                  <c:v>[d]</c:v>
                </c:pt>
                <c:pt idx="2">
                  <c:v>[ð]</c:v>
                </c:pt>
              </c:strCache>
            </c:strRef>
          </c:cat>
          <c:val>
            <c:numRef>
              <c:f>Sheet1!$H$27:$H$29</c:f>
              <c:numCache>
                <c:formatCode>0.00%</c:formatCode>
                <c:ptCount val="3"/>
                <c:pt idx="0">
                  <c:v>0.25</c:v>
                </c:pt>
                <c:pt idx="1">
                  <c:v>0.25</c:v>
                </c:pt>
                <c:pt idx="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37-4259-9358-E08EA1FEA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6165583"/>
        <c:axId val="456163087"/>
      </c:lineChart>
      <c:catAx>
        <c:axId val="45616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62255"/>
        <c:crosses val="autoZero"/>
        <c:auto val="1"/>
        <c:lblAlgn val="ctr"/>
        <c:lblOffset val="100"/>
        <c:noMultiLvlLbl val="0"/>
      </c:catAx>
      <c:valAx>
        <c:axId val="45616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65167"/>
        <c:crosses val="autoZero"/>
        <c:crossBetween val="between"/>
      </c:valAx>
      <c:valAx>
        <c:axId val="45616308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65583"/>
        <c:crosses val="max"/>
        <c:crossBetween val="between"/>
      </c:valAx>
      <c:catAx>
        <c:axId val="4561655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616308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[ð]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Sheet1!$F$31</c:f>
              <c:strCache>
                <c:ptCount val="1"/>
                <c:pt idx="0">
                  <c:v>[d]</c:v>
                </c:pt>
              </c:strCache>
            </c:strRef>
          </c:cat>
          <c:val>
            <c:numRef>
              <c:f>Sheet1!$G$31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6-4EDA-BB33-9E69E77F892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Sheet1!$F$31</c:f>
              <c:strCache>
                <c:ptCount val="1"/>
                <c:pt idx="0">
                  <c:v>[d]</c:v>
                </c:pt>
              </c:strCache>
            </c:strRef>
          </c:cat>
          <c:val>
            <c:numRef>
              <c:f>Sheet1!$H$31</c:f>
              <c:numCache>
                <c:formatCode>0.00%</c:formatCode>
                <c:ptCount val="1"/>
                <c:pt idx="0">
                  <c:v>0.10526315789473684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D6-4EDA-BB33-9E69E77F8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8423247"/>
        <c:axId val="308424495"/>
      </c:barChart>
      <c:catAx>
        <c:axId val="30842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424495"/>
        <c:crosses val="autoZero"/>
        <c:auto val="1"/>
        <c:lblAlgn val="ctr"/>
        <c:lblOffset val="100"/>
        <c:noMultiLvlLbl val="0"/>
      </c:catAx>
      <c:valAx>
        <c:axId val="30842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423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[k]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Sheet1!$F$33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Sheet1!$G$33</c:f>
              <c:numCache>
                <c:formatCode>General</c:formatCode>
                <c:ptCount val="1"/>
                <c:pt idx="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85-480D-922C-2FD26BB0485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Sheet1!$F$33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Sheet1!$H$33</c:f>
              <c:numCache>
                <c:formatCode>0.00%</c:formatCode>
                <c:ptCount val="1"/>
                <c:pt idx="0">
                  <c:v>0.45348837209302323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85-480D-922C-2FD26BB04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7053423"/>
        <c:axId val="317053839"/>
      </c:barChart>
      <c:catAx>
        <c:axId val="31705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053839"/>
        <c:crosses val="autoZero"/>
        <c:auto val="1"/>
        <c:lblAlgn val="ctr"/>
        <c:lblOffset val="100"/>
        <c:noMultiLvlLbl val="0"/>
      </c:catAx>
      <c:valAx>
        <c:axId val="31705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0534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[d͡ʒ]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Sheet1!$F$35:$F$38</c:f>
              <c:strCache>
                <c:ptCount val="4"/>
                <c:pt idx="0">
                  <c:v>[d͡ʒ̥]</c:v>
                </c:pt>
                <c:pt idx="1">
                  <c:v>[t͡ʃ]</c:v>
                </c:pt>
                <c:pt idx="2">
                  <c:v>[ʒ]</c:v>
                </c:pt>
                <c:pt idx="3">
                  <c:v>[d]</c:v>
                </c:pt>
              </c:strCache>
            </c:strRef>
          </c:cat>
          <c:val>
            <c:numRef>
              <c:f>Sheet1!$G$35:$G$38</c:f>
              <c:numCache>
                <c:formatCode>General</c:formatCode>
                <c:ptCount val="4"/>
                <c:pt idx="0">
                  <c:v>20</c:v>
                </c:pt>
                <c:pt idx="1">
                  <c:v>11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2-44D4-842D-7723186A9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928767"/>
        <c:axId val="46793001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Sheet1!$F$35:$F$38</c:f>
              <c:strCache>
                <c:ptCount val="4"/>
                <c:pt idx="0">
                  <c:v>[d͡ʒ̥]</c:v>
                </c:pt>
                <c:pt idx="1">
                  <c:v>[t͡ʃ]</c:v>
                </c:pt>
                <c:pt idx="2">
                  <c:v>[ʒ]</c:v>
                </c:pt>
                <c:pt idx="3">
                  <c:v>[d]</c:v>
                </c:pt>
              </c:strCache>
            </c:strRef>
          </c:cat>
          <c:val>
            <c:numRef>
              <c:f>Sheet1!$H$35:$H$38</c:f>
              <c:numCache>
                <c:formatCode>0.00%</c:formatCode>
                <c:ptCount val="4"/>
                <c:pt idx="0">
                  <c:v>0.25641025641025639</c:v>
                </c:pt>
                <c:pt idx="1">
                  <c:v>0.14102564102564102</c:v>
                </c:pt>
                <c:pt idx="2">
                  <c:v>3.8461538461538464E-2</c:v>
                </c:pt>
                <c:pt idx="3">
                  <c:v>1.282051282051282E-2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2-44D4-842D-7723186A9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937919"/>
        <c:axId val="467931263"/>
      </c:lineChart>
      <c:catAx>
        <c:axId val="46792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930015"/>
        <c:crosses val="autoZero"/>
        <c:auto val="1"/>
        <c:lblAlgn val="ctr"/>
        <c:lblOffset val="100"/>
        <c:noMultiLvlLbl val="0"/>
      </c:catAx>
      <c:valAx>
        <c:axId val="46793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928767"/>
        <c:crosses val="autoZero"/>
        <c:crossBetween val="between"/>
      </c:valAx>
      <c:valAx>
        <c:axId val="46793126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937919"/>
        <c:crosses val="max"/>
        <c:crossBetween val="between"/>
      </c:valAx>
      <c:catAx>
        <c:axId val="467937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6793126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[q]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Sheet1!$F$40:$F$43</c:f>
              <c:strCache>
                <c:ptCount val="4"/>
                <c:pt idx="0">
                  <c:v>[g]</c:v>
                </c:pt>
                <c:pt idx="1">
                  <c:v>[k]</c:v>
                </c:pt>
                <c:pt idx="2">
                  <c:v>[f]</c:v>
                </c:pt>
                <c:pt idx="3">
                  <c:v>[f]</c:v>
                </c:pt>
              </c:strCache>
            </c:strRef>
          </c:cat>
          <c:val>
            <c:numRef>
              <c:f>Sheet1!$G$40:$G$43</c:f>
              <c:numCache>
                <c:formatCode>General</c:formatCode>
                <c:ptCount val="4"/>
                <c:pt idx="0">
                  <c:v>14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6E-476A-94BF-F2C11366E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463359"/>
        <c:axId val="50047043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Sheet1!$F$40:$F$43</c:f>
              <c:strCache>
                <c:ptCount val="4"/>
                <c:pt idx="0">
                  <c:v>[g]</c:v>
                </c:pt>
                <c:pt idx="1">
                  <c:v>[k]</c:v>
                </c:pt>
                <c:pt idx="2">
                  <c:v>[f]</c:v>
                </c:pt>
                <c:pt idx="3">
                  <c:v>[f]</c:v>
                </c:pt>
              </c:strCache>
            </c:strRef>
          </c:cat>
          <c:val>
            <c:numRef>
              <c:f>Sheet1!$H$40:$H$43</c:f>
              <c:numCache>
                <c:formatCode>0.00%</c:formatCode>
                <c:ptCount val="4"/>
                <c:pt idx="0">
                  <c:v>0.22950819672131148</c:v>
                </c:pt>
                <c:pt idx="1">
                  <c:v>6.5573770491803282E-2</c:v>
                </c:pt>
                <c:pt idx="2">
                  <c:v>3.2786885245901641E-2</c:v>
                </c:pt>
                <c:pt idx="3">
                  <c:v>1.6393442622950821E-2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6E-476A-94BF-F2C11366E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470015"/>
        <c:axId val="500459615"/>
      </c:lineChart>
      <c:catAx>
        <c:axId val="50046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470431"/>
        <c:crosses val="autoZero"/>
        <c:auto val="1"/>
        <c:lblAlgn val="ctr"/>
        <c:lblOffset val="100"/>
        <c:noMultiLvlLbl val="0"/>
      </c:catAx>
      <c:valAx>
        <c:axId val="50047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463359"/>
        <c:crosses val="autoZero"/>
        <c:crossBetween val="between"/>
      </c:valAx>
      <c:valAx>
        <c:axId val="50045961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470015"/>
        <c:crosses val="max"/>
        <c:crossBetween val="between"/>
      </c:valAx>
      <c:catAx>
        <c:axId val="5004700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045961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[ʃ]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Sheet1!$F$45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Sheet1!$G$45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4-49C3-955F-1083797128A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Sheet1!$F$45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Sheet1!$H$45</c:f>
              <c:numCache>
                <c:formatCode>0.00%</c:formatCode>
                <c:ptCount val="1"/>
                <c:pt idx="0">
                  <c:v>1.7857142857142856E-2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94-49C3-955F-108379712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8419087"/>
        <c:axId val="308426159"/>
      </c:barChart>
      <c:catAx>
        <c:axId val="30841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426159"/>
        <c:crosses val="autoZero"/>
        <c:auto val="1"/>
        <c:lblAlgn val="ctr"/>
        <c:lblOffset val="100"/>
        <c:noMultiLvlLbl val="0"/>
      </c:catAx>
      <c:valAx>
        <c:axId val="30842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4190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[χ]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Sheet1!$F$47:$F$49</c:f>
              <c:strCache>
                <c:ptCount val="3"/>
                <c:pt idx="0">
                  <c:v>[ħ]</c:v>
                </c:pt>
                <c:pt idx="1">
                  <c:v>[h]</c:v>
                </c:pt>
                <c:pt idx="2">
                  <c:v>[k]</c:v>
                </c:pt>
              </c:strCache>
            </c:strRef>
          </c:cat>
          <c:val>
            <c:numRef>
              <c:f>Sheet1!$G$47:$G$49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E-4BDE-BAC8-4641901BA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1999935"/>
        <c:axId val="32199619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Sheet1!$F$47:$F$49</c:f>
              <c:strCache>
                <c:ptCount val="3"/>
                <c:pt idx="0">
                  <c:v>[ħ]</c:v>
                </c:pt>
                <c:pt idx="1">
                  <c:v>[h]</c:v>
                </c:pt>
                <c:pt idx="2">
                  <c:v>[k]</c:v>
                </c:pt>
              </c:strCache>
            </c:strRef>
          </c:cat>
          <c:val>
            <c:numRef>
              <c:f>Sheet1!$H$47:$H$49</c:f>
              <c:numCache>
                <c:formatCode>0.00%</c:formatCode>
                <c:ptCount val="3"/>
                <c:pt idx="0">
                  <c:v>4.6511627906976744E-2</c:v>
                </c:pt>
                <c:pt idx="1">
                  <c:v>2.3255813953488372E-2</c:v>
                </c:pt>
                <c:pt idx="2">
                  <c:v>2.3255813953488372E-2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0E-4BDE-BAC8-4641901BA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425743"/>
        <c:axId val="321998687"/>
      </c:lineChart>
      <c:catAx>
        <c:axId val="32199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96191"/>
        <c:crosses val="autoZero"/>
        <c:auto val="1"/>
        <c:lblAlgn val="ctr"/>
        <c:lblOffset val="100"/>
        <c:noMultiLvlLbl val="0"/>
      </c:catAx>
      <c:valAx>
        <c:axId val="32199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99935"/>
        <c:crosses val="autoZero"/>
        <c:crossBetween val="between"/>
      </c:valAx>
      <c:valAx>
        <c:axId val="32199868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425743"/>
        <c:crosses val="max"/>
        <c:crossBetween val="between"/>
      </c:valAx>
      <c:catAx>
        <c:axId val="3084257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2199868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[ɣ]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Sheet1!$F$51:$F$53</c:f>
              <c:strCache>
                <c:ptCount val="3"/>
                <c:pt idx="0">
                  <c:v>[χ]</c:v>
                </c:pt>
                <c:pt idx="1">
                  <c:v>[ʔ]</c:v>
                </c:pt>
                <c:pt idx="2">
                  <c:v>[j]</c:v>
                </c:pt>
              </c:strCache>
            </c:strRef>
          </c:cat>
          <c:val>
            <c:numRef>
              <c:f>Sheet1!$G$51:$G$53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88-4F99-A3B8-D93335BE1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927935"/>
        <c:axId val="46793500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Sheet1!$F$51:$F$53</c:f>
              <c:strCache>
                <c:ptCount val="3"/>
                <c:pt idx="0">
                  <c:v>[χ]</c:v>
                </c:pt>
                <c:pt idx="1">
                  <c:v>[ʔ]</c:v>
                </c:pt>
                <c:pt idx="2">
                  <c:v>[j]</c:v>
                </c:pt>
              </c:strCache>
            </c:strRef>
          </c:cat>
          <c:val>
            <c:numRef>
              <c:f>Sheet1!$H$51:$H$53</c:f>
              <c:numCache>
                <c:formatCode>0.00%</c:formatCode>
                <c:ptCount val="3"/>
                <c:pt idx="0">
                  <c:v>0.11363636363636363</c:v>
                </c:pt>
                <c:pt idx="1">
                  <c:v>6.8181818181818177E-2</c:v>
                </c:pt>
                <c:pt idx="2">
                  <c:v>2.2727272727272728E-2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8-4F99-A3B8-D93335BE1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422415"/>
        <c:axId val="308423663"/>
      </c:lineChart>
      <c:catAx>
        <c:axId val="46792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935007"/>
        <c:crosses val="autoZero"/>
        <c:auto val="1"/>
        <c:lblAlgn val="ctr"/>
        <c:lblOffset val="100"/>
        <c:noMultiLvlLbl val="0"/>
      </c:catAx>
      <c:valAx>
        <c:axId val="46793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927935"/>
        <c:crosses val="autoZero"/>
        <c:crossBetween val="between"/>
      </c:valAx>
      <c:valAx>
        <c:axId val="30842366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422415"/>
        <c:crosses val="max"/>
        <c:crossBetween val="between"/>
      </c:valAx>
      <c:catAx>
        <c:axId val="3084224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842366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[ʕ]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Sheet1!$F$55:$F$58</c:f>
              <c:strCache>
                <c:ptCount val="4"/>
                <c:pt idx="0">
                  <c:v>[ʔ]</c:v>
                </c:pt>
                <c:pt idx="1">
                  <c:v>[ɣ]</c:v>
                </c:pt>
                <c:pt idx="2">
                  <c:v>[ħ]</c:v>
                </c:pt>
                <c:pt idx="3">
                  <c:v>[w]</c:v>
                </c:pt>
              </c:strCache>
            </c:strRef>
          </c:cat>
          <c:val>
            <c:numRef>
              <c:f>Sheet1!$G$55:$G$58</c:f>
              <c:numCache>
                <c:formatCode>General</c:formatCode>
                <c:ptCount val="4"/>
                <c:pt idx="0">
                  <c:v>29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A-4C9A-8A99-F7B4777B0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1999103"/>
        <c:axId val="32200118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Sheet1!$F$55:$F$58</c:f>
              <c:strCache>
                <c:ptCount val="4"/>
                <c:pt idx="0">
                  <c:v>[ʔ]</c:v>
                </c:pt>
                <c:pt idx="1">
                  <c:v>[ɣ]</c:v>
                </c:pt>
                <c:pt idx="2">
                  <c:v>[ħ]</c:v>
                </c:pt>
                <c:pt idx="3">
                  <c:v>[w]</c:v>
                </c:pt>
              </c:strCache>
            </c:strRef>
          </c:cat>
          <c:val>
            <c:numRef>
              <c:f>Sheet1!$H$55:$H$58</c:f>
              <c:numCache>
                <c:formatCode>0.00%</c:formatCode>
                <c:ptCount val="4"/>
                <c:pt idx="0">
                  <c:v>0.25438596491228072</c:v>
                </c:pt>
                <c:pt idx="1">
                  <c:v>4.3859649122807015E-2</c:v>
                </c:pt>
                <c:pt idx="2">
                  <c:v>8.771929824561403E-3</c:v>
                </c:pt>
                <c:pt idx="3">
                  <c:v>8.771929824561403E-3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2A-4C9A-8A99-F7B4777B0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420335"/>
        <c:axId val="322002015"/>
      </c:lineChart>
      <c:catAx>
        <c:axId val="32199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001183"/>
        <c:crosses val="autoZero"/>
        <c:auto val="1"/>
        <c:lblAlgn val="ctr"/>
        <c:lblOffset val="100"/>
        <c:noMultiLvlLbl val="0"/>
      </c:catAx>
      <c:valAx>
        <c:axId val="32200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999103"/>
        <c:crosses val="autoZero"/>
        <c:crossBetween val="between"/>
      </c:valAx>
      <c:valAx>
        <c:axId val="32200201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420335"/>
        <c:crosses val="max"/>
        <c:crossBetween val="between"/>
      </c:valAx>
      <c:catAx>
        <c:axId val="3084203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2200201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[ħ]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Sheet1!$F$60:$F$62</c:f>
              <c:strCache>
                <c:ptCount val="3"/>
                <c:pt idx="0">
                  <c:v>[χ]</c:v>
                </c:pt>
                <c:pt idx="1">
                  <c:v>[h]</c:v>
                </c:pt>
                <c:pt idx="2">
                  <c:v>[ʕ]</c:v>
                </c:pt>
              </c:strCache>
            </c:strRef>
          </c:cat>
          <c:val>
            <c:numRef>
              <c:f>Sheet1!$G$60:$G$62</c:f>
              <c:numCache>
                <c:formatCode>General</c:formatCode>
                <c:ptCount val="3"/>
                <c:pt idx="0">
                  <c:v>29</c:v>
                </c:pt>
                <c:pt idx="1">
                  <c:v>13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A-45A5-987D-88A82CFA6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938751"/>
        <c:axId val="46794249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Sheet1!$F$60:$F$62</c:f>
              <c:strCache>
                <c:ptCount val="3"/>
                <c:pt idx="0">
                  <c:v>[χ]</c:v>
                </c:pt>
                <c:pt idx="1">
                  <c:v>[h]</c:v>
                </c:pt>
                <c:pt idx="2">
                  <c:v>[ʕ]</c:v>
                </c:pt>
              </c:strCache>
            </c:strRef>
          </c:cat>
          <c:val>
            <c:numRef>
              <c:f>Sheet1!$H$60:$H$62</c:f>
              <c:numCache>
                <c:formatCode>0.00%</c:formatCode>
                <c:ptCount val="3"/>
                <c:pt idx="0">
                  <c:v>0.34523809523809523</c:v>
                </c:pt>
                <c:pt idx="1">
                  <c:v>0.15476190476190477</c:v>
                </c:pt>
                <c:pt idx="2">
                  <c:v>1.1904761904761904E-2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5A-45A5-987D-88A82CFA6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9096543"/>
        <c:axId val="319091551"/>
      </c:lineChart>
      <c:catAx>
        <c:axId val="46793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942495"/>
        <c:crosses val="autoZero"/>
        <c:auto val="1"/>
        <c:lblAlgn val="ctr"/>
        <c:lblOffset val="100"/>
        <c:noMultiLvlLbl val="0"/>
      </c:catAx>
      <c:valAx>
        <c:axId val="46794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938751"/>
        <c:crosses val="autoZero"/>
        <c:crossBetween val="between"/>
      </c:valAx>
      <c:valAx>
        <c:axId val="31909155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096543"/>
        <c:crosses val="max"/>
        <c:crossBetween val="between"/>
      </c:valAx>
      <c:catAx>
        <c:axId val="319096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1909155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[h]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Sheet1!$F$64:$F$65</c:f>
              <c:strCache>
                <c:ptCount val="2"/>
                <c:pt idx="0">
                  <c:v>[ħ]</c:v>
                </c:pt>
                <c:pt idx="1">
                  <c:v>[χ]</c:v>
                </c:pt>
              </c:strCache>
            </c:strRef>
          </c:cat>
          <c:val>
            <c:numRef>
              <c:f>Sheet1!$G$64:$G$65</c:f>
              <c:numCache>
                <c:formatCode>General</c:formatCode>
                <c:ptCount val="2"/>
                <c:pt idx="0">
                  <c:v>20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C-4DF3-A0B3-8F37BBB51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668495"/>
        <c:axId val="45567473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Sheet1!$F$64:$F$65</c:f>
              <c:strCache>
                <c:ptCount val="2"/>
                <c:pt idx="0">
                  <c:v>[ħ]</c:v>
                </c:pt>
                <c:pt idx="1">
                  <c:v>[χ]</c:v>
                </c:pt>
              </c:strCache>
            </c:strRef>
          </c:cat>
          <c:val>
            <c:numRef>
              <c:f>Sheet1!$H$64:$H$65</c:f>
              <c:numCache>
                <c:formatCode>0.00%</c:formatCode>
                <c:ptCount val="2"/>
                <c:pt idx="0">
                  <c:v>0.23809523809523808</c:v>
                </c:pt>
                <c:pt idx="1">
                  <c:v>0.19047619047619047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DC-4DF3-A0B3-8F37BBB51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5670575"/>
        <c:axId val="455673071"/>
      </c:lineChart>
      <c:catAx>
        <c:axId val="45566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74735"/>
        <c:crosses val="autoZero"/>
        <c:auto val="1"/>
        <c:lblAlgn val="ctr"/>
        <c:lblOffset val="100"/>
        <c:noMultiLvlLbl val="0"/>
      </c:catAx>
      <c:valAx>
        <c:axId val="45567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68495"/>
        <c:crosses val="autoZero"/>
        <c:crossBetween val="between"/>
      </c:valAx>
      <c:valAx>
        <c:axId val="45567307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70575"/>
        <c:crosses val="max"/>
        <c:crossBetween val="between"/>
      </c:valAx>
      <c:catAx>
        <c:axId val="4556705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567307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[ʔ]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Sheet1!$F$67:$F$69</c:f>
              <c:strCache>
                <c:ptCount val="3"/>
                <c:pt idx="0">
                  <c:v>[j]</c:v>
                </c:pt>
                <c:pt idx="1">
                  <c:v>[w]</c:v>
                </c:pt>
                <c:pt idx="2">
                  <c:v>[-]</c:v>
                </c:pt>
              </c:strCache>
            </c:strRef>
          </c:cat>
          <c:val>
            <c:numRef>
              <c:f>Sheet1!$G$67:$G$69</c:f>
              <c:numCache>
                <c:formatCode>General</c:formatCode>
                <c:ptCount val="3"/>
                <c:pt idx="0">
                  <c:v>24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71-463B-9C5F-B3009A412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671823"/>
        <c:axId val="455676399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Sheet1!$F$67:$F$69</c:f>
              <c:strCache>
                <c:ptCount val="3"/>
                <c:pt idx="0">
                  <c:v>[j]</c:v>
                </c:pt>
                <c:pt idx="1">
                  <c:v>[w]</c:v>
                </c:pt>
                <c:pt idx="2">
                  <c:v>[-]</c:v>
                </c:pt>
              </c:strCache>
            </c:strRef>
          </c:cat>
          <c:val>
            <c:numRef>
              <c:f>Sheet1!$H$67:$H$69</c:f>
              <c:numCache>
                <c:formatCode>0.00%</c:formatCode>
                <c:ptCount val="3"/>
                <c:pt idx="0">
                  <c:v>0.10572687224669604</c:v>
                </c:pt>
                <c:pt idx="1">
                  <c:v>8.8105726872246704E-3</c:v>
                </c:pt>
                <c:pt idx="2">
                  <c:v>4.4052863436123352E-3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71-463B-9C5F-B3009A412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460863"/>
        <c:axId val="500462943"/>
      </c:lineChart>
      <c:catAx>
        <c:axId val="45567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76399"/>
        <c:crosses val="autoZero"/>
        <c:auto val="1"/>
        <c:lblAlgn val="ctr"/>
        <c:lblOffset val="100"/>
        <c:noMultiLvlLbl val="0"/>
      </c:catAx>
      <c:valAx>
        <c:axId val="4556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71823"/>
        <c:crosses val="autoZero"/>
        <c:crossBetween val="between"/>
      </c:valAx>
      <c:valAx>
        <c:axId val="50046294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460863"/>
        <c:crosses val="max"/>
        <c:crossBetween val="between"/>
      </c:valAx>
      <c:catAx>
        <c:axId val="5004608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046294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[f]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Sheet1!$F$71</c:f>
              <c:strCache>
                <c:ptCount val="1"/>
                <c:pt idx="0">
                  <c:v>[g]</c:v>
                </c:pt>
              </c:strCache>
            </c:strRef>
          </c:cat>
          <c:val>
            <c:numRef>
              <c:f>Sheet1!$G$71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C-4EF4-BC0B-2C175B2BC8D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Sheet1!$F$71</c:f>
              <c:strCache>
                <c:ptCount val="1"/>
                <c:pt idx="0">
                  <c:v>[g]</c:v>
                </c:pt>
              </c:strCache>
            </c:strRef>
          </c:cat>
          <c:val>
            <c:numRef>
              <c:f>Sheet1!$H$71</c:f>
              <c:numCache>
                <c:formatCode>0.00%</c:formatCode>
                <c:ptCount val="1"/>
                <c:pt idx="0">
                  <c:v>7.3529411764705881E-3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BC-4EF4-BC0B-2C175B2BC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669743"/>
        <c:axId val="455678063"/>
      </c:barChart>
      <c:catAx>
        <c:axId val="45566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78063"/>
        <c:crosses val="autoZero"/>
        <c:auto val="1"/>
        <c:lblAlgn val="ctr"/>
        <c:lblOffset val="100"/>
        <c:noMultiLvlLbl val="0"/>
      </c:catAx>
      <c:valAx>
        <c:axId val="45567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697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[n]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Sheet1!$F$73:$F$75</c:f>
              <c:strCache>
                <c:ptCount val="3"/>
                <c:pt idx="0">
                  <c:v>[-]</c:v>
                </c:pt>
                <c:pt idx="1">
                  <c:v>[χ]</c:v>
                </c:pt>
                <c:pt idx="2">
                  <c:v>[m]</c:v>
                </c:pt>
              </c:strCache>
            </c:strRef>
          </c:cat>
          <c:val>
            <c:numRef>
              <c:f>Sheet1!$G$73:$G$75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4-4B4B-B979-9FC67C4C1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159759"/>
        <c:axId val="45616641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Sheet1!$F$73:$F$75</c:f>
              <c:strCache>
                <c:ptCount val="3"/>
                <c:pt idx="0">
                  <c:v>[-]</c:v>
                </c:pt>
                <c:pt idx="1">
                  <c:v>[χ]</c:v>
                </c:pt>
                <c:pt idx="2">
                  <c:v>[m]</c:v>
                </c:pt>
              </c:strCache>
            </c:strRef>
          </c:cat>
          <c:val>
            <c:numRef>
              <c:f>Sheet1!$H$73:$H$75</c:f>
              <c:numCache>
                <c:formatCode>0.00%</c:formatCode>
                <c:ptCount val="3"/>
                <c:pt idx="0">
                  <c:v>1.2345679012345678E-2</c:v>
                </c:pt>
                <c:pt idx="1">
                  <c:v>6.1728395061728392E-3</c:v>
                </c:pt>
                <c:pt idx="2">
                  <c:v>6.1728395061728392E-3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B4-4B4B-B979-9FC67C4C1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6162671"/>
        <c:axId val="456161839"/>
      </c:lineChart>
      <c:catAx>
        <c:axId val="45615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66415"/>
        <c:crosses val="autoZero"/>
        <c:auto val="1"/>
        <c:lblAlgn val="ctr"/>
        <c:lblOffset val="100"/>
        <c:noMultiLvlLbl val="0"/>
      </c:catAx>
      <c:valAx>
        <c:axId val="45616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59759"/>
        <c:crosses val="autoZero"/>
        <c:crossBetween val="between"/>
      </c:valAx>
      <c:valAx>
        <c:axId val="45616183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62671"/>
        <c:crosses val="max"/>
        <c:crossBetween val="between"/>
      </c:valAx>
      <c:catAx>
        <c:axId val="4561626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616183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[b]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Sheet1!$F$79:$F$80</c:f>
              <c:strCache>
                <c:ptCount val="2"/>
                <c:pt idx="0">
                  <c:v>[pʰ]</c:v>
                </c:pt>
                <c:pt idx="1">
                  <c:v>[p]</c:v>
                </c:pt>
              </c:strCache>
            </c:strRef>
          </c:cat>
          <c:val>
            <c:numRef>
              <c:f>Sheet1!$G$79:$G$80</c:f>
              <c:numCache>
                <c:formatCode>General</c:formatCode>
                <c:ptCount val="2"/>
                <c:pt idx="0">
                  <c:v>51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6-4FD7-9247-32EEBCA4C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472095"/>
        <c:axId val="50046377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Sheet1!$F$79:$F$80</c:f>
              <c:strCache>
                <c:ptCount val="2"/>
                <c:pt idx="0">
                  <c:v>[pʰ]</c:v>
                </c:pt>
                <c:pt idx="1">
                  <c:v>[p]</c:v>
                </c:pt>
              </c:strCache>
            </c:strRef>
          </c:cat>
          <c:val>
            <c:numRef>
              <c:f>Sheet1!$H$79:$H$80</c:f>
              <c:numCache>
                <c:formatCode>0.00%</c:formatCode>
                <c:ptCount val="2"/>
                <c:pt idx="0">
                  <c:v>0.29142857142857143</c:v>
                </c:pt>
                <c:pt idx="1">
                  <c:v>3.4285714285714287E-2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16-4FD7-9247-32EEBCA4C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472511"/>
        <c:axId val="500464191"/>
      </c:lineChart>
      <c:catAx>
        <c:axId val="50047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463775"/>
        <c:crosses val="autoZero"/>
        <c:auto val="1"/>
        <c:lblAlgn val="ctr"/>
        <c:lblOffset val="100"/>
        <c:noMultiLvlLbl val="0"/>
      </c:catAx>
      <c:valAx>
        <c:axId val="50046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472095"/>
        <c:crosses val="autoZero"/>
        <c:crossBetween val="between"/>
      </c:valAx>
      <c:valAx>
        <c:axId val="50046419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472511"/>
        <c:crosses val="max"/>
        <c:crossBetween val="between"/>
      </c:valAx>
      <c:catAx>
        <c:axId val="5004725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046419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[tˤ]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Sheet1!$F$82:$F$84</c:f>
              <c:strCache>
                <c:ptCount val="3"/>
                <c:pt idx="0">
                  <c:v>[t]</c:v>
                </c:pt>
                <c:pt idx="1">
                  <c:v>[tʰ]</c:v>
                </c:pt>
                <c:pt idx="2">
                  <c:v>[χ]</c:v>
                </c:pt>
              </c:strCache>
            </c:strRef>
          </c:cat>
          <c:val>
            <c:numRef>
              <c:f>Sheet1!$G$82:$G$84</c:f>
              <c:numCache>
                <c:formatCode>General</c:formatCode>
                <c:ptCount val="3"/>
                <c:pt idx="0">
                  <c:v>9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E-44D0-B008-2C1C413C2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675983"/>
        <c:axId val="45567556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Sheet1!$F$82:$F$84</c:f>
              <c:strCache>
                <c:ptCount val="3"/>
                <c:pt idx="0">
                  <c:v>[t]</c:v>
                </c:pt>
                <c:pt idx="1">
                  <c:v>[tʰ]</c:v>
                </c:pt>
                <c:pt idx="2">
                  <c:v>[χ]</c:v>
                </c:pt>
              </c:strCache>
            </c:strRef>
          </c:cat>
          <c:val>
            <c:numRef>
              <c:f>Sheet1!$H$82:$H$84</c:f>
              <c:numCache>
                <c:formatCode>0.00%</c:formatCode>
                <c:ptCount val="3"/>
                <c:pt idx="0">
                  <c:v>0.16363636363636364</c:v>
                </c:pt>
                <c:pt idx="1">
                  <c:v>5.4545454545454543E-2</c:v>
                </c:pt>
                <c:pt idx="2">
                  <c:v>1.8181818181818181E-2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BE-44D0-B008-2C1C413C2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5667247"/>
        <c:axId val="455682639"/>
      </c:lineChart>
      <c:catAx>
        <c:axId val="45567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75567"/>
        <c:crosses val="autoZero"/>
        <c:auto val="1"/>
        <c:lblAlgn val="ctr"/>
        <c:lblOffset val="100"/>
        <c:noMultiLvlLbl val="0"/>
      </c:catAx>
      <c:valAx>
        <c:axId val="45567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75983"/>
        <c:crosses val="autoZero"/>
        <c:crossBetween val="between"/>
      </c:valAx>
      <c:valAx>
        <c:axId val="45568263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67247"/>
        <c:crosses val="max"/>
        <c:crossBetween val="between"/>
      </c:valAx>
      <c:catAx>
        <c:axId val="4556672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568263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Sheet1!$F$86:$F$87</c:f>
              <c:strCache>
                <c:ptCount val="2"/>
                <c:pt idx="0">
                  <c:v>[tʰ]</c:v>
                </c:pt>
                <c:pt idx="1">
                  <c:v>[n]</c:v>
                </c:pt>
              </c:strCache>
            </c:strRef>
          </c:cat>
          <c:val>
            <c:numRef>
              <c:f>Sheet1!$G$86:$G$87</c:f>
              <c:numCache>
                <c:formatCode>General</c:formatCode>
                <c:ptCount val="2"/>
                <c:pt idx="0">
                  <c:v>46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8-472A-8A47-88288C015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8793247"/>
        <c:axId val="468781599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Sheet1!$F$86:$F$87</c:f>
              <c:strCache>
                <c:ptCount val="2"/>
                <c:pt idx="0">
                  <c:v>[tʰ]</c:v>
                </c:pt>
                <c:pt idx="1">
                  <c:v>[n]</c:v>
                </c:pt>
              </c:strCache>
            </c:strRef>
          </c:cat>
          <c:val>
            <c:numRef>
              <c:f>Sheet1!$H$86:$H$87</c:f>
              <c:numCache>
                <c:formatCode>0.00%</c:formatCode>
                <c:ptCount val="2"/>
                <c:pt idx="0">
                  <c:v>0.31292517006802723</c:v>
                </c:pt>
                <c:pt idx="1">
                  <c:v>6.8027210884353739E-3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48-472A-8A47-88288C015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783263"/>
        <c:axId val="468782431"/>
      </c:lineChart>
      <c:catAx>
        <c:axId val="46879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81599"/>
        <c:crosses val="autoZero"/>
        <c:auto val="1"/>
        <c:lblAlgn val="ctr"/>
        <c:lblOffset val="100"/>
        <c:noMultiLvlLbl val="0"/>
      </c:catAx>
      <c:valAx>
        <c:axId val="46878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93247"/>
        <c:crosses val="autoZero"/>
        <c:crossBetween val="between"/>
      </c:valAx>
      <c:valAx>
        <c:axId val="46878243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83263"/>
        <c:crosses val="max"/>
        <c:crossBetween val="between"/>
      </c:valAx>
      <c:catAx>
        <c:axId val="4687832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687824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Sheet1!$F$89:$F$92</c:f>
              <c:strCache>
                <c:ptCount val="4"/>
                <c:pt idx="0">
                  <c:v>[t]</c:v>
                </c:pt>
                <c:pt idx="1">
                  <c:v>[d̥]</c:v>
                </c:pt>
                <c:pt idx="2">
                  <c:v>[tʰ]</c:v>
                </c:pt>
                <c:pt idx="3">
                  <c:v>[tˤ]</c:v>
                </c:pt>
              </c:strCache>
            </c:strRef>
          </c:cat>
          <c:val>
            <c:numRef>
              <c:f>Sheet1!$G$89:$G$92</c:f>
              <c:numCache>
                <c:formatCode>General</c:formatCode>
                <c:ptCount val="4"/>
                <c:pt idx="0">
                  <c:v>33</c:v>
                </c:pt>
                <c:pt idx="1">
                  <c:v>21</c:v>
                </c:pt>
                <c:pt idx="2">
                  <c:v>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94-48EE-810D-369909B09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930431"/>
        <c:axId val="46793459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Sheet1!$F$89:$F$92</c:f>
              <c:strCache>
                <c:ptCount val="4"/>
                <c:pt idx="0">
                  <c:v>[t]</c:v>
                </c:pt>
                <c:pt idx="1">
                  <c:v>[d̥]</c:v>
                </c:pt>
                <c:pt idx="2">
                  <c:v>[tʰ]</c:v>
                </c:pt>
                <c:pt idx="3">
                  <c:v>[tˤ]</c:v>
                </c:pt>
              </c:strCache>
            </c:strRef>
          </c:cat>
          <c:val>
            <c:numRef>
              <c:f>Sheet1!$H$89:$H$92</c:f>
              <c:numCache>
                <c:formatCode>0.00%</c:formatCode>
                <c:ptCount val="4"/>
                <c:pt idx="0">
                  <c:v>0.23076923076923078</c:v>
                </c:pt>
                <c:pt idx="1">
                  <c:v>0.14685314685314685</c:v>
                </c:pt>
                <c:pt idx="2">
                  <c:v>4.195804195804196E-2</c:v>
                </c:pt>
                <c:pt idx="3">
                  <c:v>1.3986013986013986E-2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94-48EE-810D-369909B09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470847"/>
        <c:axId val="500457951"/>
      </c:lineChart>
      <c:catAx>
        <c:axId val="46793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934591"/>
        <c:crosses val="autoZero"/>
        <c:auto val="1"/>
        <c:lblAlgn val="ctr"/>
        <c:lblOffset val="100"/>
        <c:noMultiLvlLbl val="0"/>
      </c:catAx>
      <c:valAx>
        <c:axId val="46793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930431"/>
        <c:crosses val="autoZero"/>
        <c:crossBetween val="between"/>
      </c:valAx>
      <c:valAx>
        <c:axId val="50045795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470847"/>
        <c:crosses val="max"/>
        <c:crossBetween val="between"/>
      </c:valAx>
      <c:catAx>
        <c:axId val="5004708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045795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Sheet1!$F$94:$F$96</c:f>
              <c:strCache>
                <c:ptCount val="3"/>
                <c:pt idx="0">
                  <c:v>[tˤ]</c:v>
                </c:pt>
                <c:pt idx="1">
                  <c:v>[d]</c:v>
                </c:pt>
                <c:pt idx="2">
                  <c:v>[t]</c:v>
                </c:pt>
              </c:strCache>
            </c:strRef>
          </c:cat>
          <c:val>
            <c:numRef>
              <c:f>Sheet1!$G$94:$G$96</c:f>
              <c:numCache>
                <c:formatCode>General</c:formatCode>
                <c:ptCount val="3"/>
                <c:pt idx="0">
                  <c:v>13</c:v>
                </c:pt>
                <c:pt idx="1">
                  <c:v>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E-48EF-908D-9B226ADE3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469183"/>
        <c:axId val="50045878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Sheet1!$F$94:$F$96</c:f>
              <c:strCache>
                <c:ptCount val="3"/>
                <c:pt idx="0">
                  <c:v>[tˤ]</c:v>
                </c:pt>
                <c:pt idx="1">
                  <c:v>[d]</c:v>
                </c:pt>
                <c:pt idx="2">
                  <c:v>[t]</c:v>
                </c:pt>
              </c:strCache>
            </c:strRef>
          </c:cat>
          <c:val>
            <c:numRef>
              <c:f>Sheet1!$H$94:$H$96</c:f>
              <c:numCache>
                <c:formatCode>0.00%</c:formatCode>
                <c:ptCount val="3"/>
                <c:pt idx="0">
                  <c:v>0.40625</c:v>
                </c:pt>
                <c:pt idx="1">
                  <c:v>0.21875</c:v>
                </c:pt>
                <c:pt idx="2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FE-48EF-908D-9B226ADE3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461695"/>
        <c:axId val="500459199"/>
      </c:lineChart>
      <c:catAx>
        <c:axId val="50046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458783"/>
        <c:crosses val="autoZero"/>
        <c:auto val="1"/>
        <c:lblAlgn val="ctr"/>
        <c:lblOffset val="100"/>
        <c:noMultiLvlLbl val="0"/>
      </c:catAx>
      <c:valAx>
        <c:axId val="50045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469183"/>
        <c:crosses val="autoZero"/>
        <c:crossBetween val="between"/>
      </c:valAx>
      <c:valAx>
        <c:axId val="50045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461695"/>
        <c:crosses val="max"/>
        <c:crossBetween val="between"/>
      </c:valAx>
      <c:catAx>
        <c:axId val="500461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045919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[w]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Sheet1!$F$98:$F$99</c:f>
              <c:strCache>
                <c:ptCount val="2"/>
                <c:pt idx="0">
                  <c:v>[u:]</c:v>
                </c:pt>
                <c:pt idx="1">
                  <c:v>[f]</c:v>
                </c:pt>
              </c:strCache>
            </c:strRef>
          </c:cat>
          <c:val>
            <c:numRef>
              <c:f>Sheet1!$G$98:$G$99</c:f>
              <c:numCache>
                <c:formatCode>General</c:formatCode>
                <c:ptCount val="2"/>
                <c:pt idx="0">
                  <c:v>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0-4C29-93D4-B29979B22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1013215"/>
        <c:axId val="32100614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Sheet1!$F$98:$F$99</c:f>
              <c:strCache>
                <c:ptCount val="2"/>
                <c:pt idx="0">
                  <c:v>[u:]</c:v>
                </c:pt>
                <c:pt idx="1">
                  <c:v>[f]</c:v>
                </c:pt>
              </c:strCache>
            </c:strRef>
          </c:cat>
          <c:val>
            <c:numRef>
              <c:f>Sheet1!$H$98:$H$99</c:f>
              <c:numCache>
                <c:formatCode>0.00%</c:formatCode>
                <c:ptCount val="2"/>
                <c:pt idx="0">
                  <c:v>6.1855670103092786E-2</c:v>
                </c:pt>
                <c:pt idx="1">
                  <c:v>1.0309278350515464E-2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E0-4C29-93D4-B29979B22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014879"/>
        <c:axId val="321014463"/>
      </c:lineChart>
      <c:catAx>
        <c:axId val="32101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006143"/>
        <c:crosses val="autoZero"/>
        <c:auto val="1"/>
        <c:lblAlgn val="ctr"/>
        <c:lblOffset val="100"/>
        <c:noMultiLvlLbl val="0"/>
      </c:catAx>
      <c:valAx>
        <c:axId val="32100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013215"/>
        <c:crosses val="autoZero"/>
        <c:crossBetween val="between"/>
      </c:valAx>
      <c:valAx>
        <c:axId val="32101446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014879"/>
        <c:crosses val="max"/>
        <c:crossBetween val="between"/>
      </c:valAx>
      <c:catAx>
        <c:axId val="3210148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2101446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[j]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Sheet1!$F$101</c:f>
              <c:strCache>
                <c:ptCount val="1"/>
                <c:pt idx="0">
                  <c:v>[i:]</c:v>
                </c:pt>
              </c:strCache>
            </c:strRef>
          </c:cat>
          <c:val>
            <c:numRef>
              <c:f>Sheet1!$G$101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9-4046-887A-C5B69621372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Sheet1!$F$101</c:f>
              <c:strCache>
                <c:ptCount val="1"/>
                <c:pt idx="0">
                  <c:v>[i:]</c:v>
                </c:pt>
              </c:strCache>
            </c:strRef>
          </c:cat>
          <c:val>
            <c:numRef>
              <c:f>Sheet1!$H$101</c:f>
              <c:numCache>
                <c:formatCode>0.00%</c:formatCode>
                <c:ptCount val="1"/>
                <c:pt idx="0">
                  <c:v>1.9047619047619049E-2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B9-4046-887A-C5B696213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8789087"/>
        <c:axId val="468788255"/>
      </c:barChart>
      <c:catAx>
        <c:axId val="46878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88255"/>
        <c:crosses val="autoZero"/>
        <c:auto val="1"/>
        <c:lblAlgn val="ctr"/>
        <c:lblOffset val="100"/>
        <c:noMultiLvlLbl val="0"/>
      </c:catAx>
      <c:valAx>
        <c:axId val="46878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890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syllable structure processes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Sheet2!$C$2:$C$23</c:f>
              <c:strCache>
                <c:ptCount val="22"/>
                <c:pt idx="0">
                  <c:v>degemination(reduce consonant cluster to one single consonant)</c:v>
                </c:pt>
                <c:pt idx="1">
                  <c:v>Epenthesis(insert long vowel [u:] between  consnant cluster)</c:v>
                </c:pt>
                <c:pt idx="2">
                  <c:v>Epenthesis(insert diphthong [i:] between  consnant cluster)</c:v>
                </c:pt>
                <c:pt idx="3">
                  <c:v>Epenthesis(insert vowel [ʊ] between  consnant cluster)</c:v>
                </c:pt>
                <c:pt idx="4">
                  <c:v>Epenthesis(insertion of [ ɑ] phone between consonant cluster)</c:v>
                </c:pt>
                <c:pt idx="5">
                  <c:v>Epenthesis(insertion of [ æ] phone between consonant cluster)</c:v>
                </c:pt>
                <c:pt idx="6">
                  <c:v>Epenthesis(insertion of [ɪ] phone between consonant cluster)</c:v>
                </c:pt>
                <c:pt idx="7">
                  <c:v>final consonant deletion</c:v>
                </c:pt>
                <c:pt idx="8">
                  <c:v>germination</c:v>
                </c:pt>
                <c:pt idx="9">
                  <c:v>syllable structure process (consonant insertion of  [n] phone)</c:v>
                </c:pt>
                <c:pt idx="10">
                  <c:v>Monophthongization </c:v>
                </c:pt>
                <c:pt idx="11">
                  <c:v>syllable structure process (final syllable deletion)</c:v>
                </c:pt>
                <c:pt idx="12">
                  <c:v>Metathesis</c:v>
                </c:pt>
                <c:pt idx="13">
                  <c:v>syllable structure process (consonant insertion of  [j] phone)</c:v>
                </c:pt>
                <c:pt idx="14">
                  <c:v>Fronting</c:v>
                </c:pt>
                <c:pt idx="15">
                  <c:v>Nasal assimilation</c:v>
                </c:pt>
                <c:pt idx="16">
                  <c:v>syllable structure process (consonant insertion of  [χ] phone)</c:v>
                </c:pt>
                <c:pt idx="17">
                  <c:v>syllable structure process (consonant insertion of  [tʰ] phone)</c:v>
                </c:pt>
                <c:pt idx="18">
                  <c:v>syllable structure process (consonant insertion of  [t] phone)</c:v>
                </c:pt>
                <c:pt idx="19">
                  <c:v>syllable structure process (consonant insertion of  [q] phone)</c:v>
                </c:pt>
                <c:pt idx="20">
                  <c:v>syllable structure process (consonant insertion of  [ɻ] phone)</c:v>
                </c:pt>
                <c:pt idx="21">
                  <c:v>syllable structure process (weak syllable deletion)</c:v>
                </c:pt>
              </c:strCache>
            </c:strRef>
          </c:cat>
          <c:val>
            <c:numRef>
              <c:f>Sheet2!$D$2:$D$23</c:f>
              <c:numCache>
                <c:formatCode>General</c:formatCode>
                <c:ptCount val="22"/>
                <c:pt idx="0">
                  <c:v>32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9</c:v>
                </c:pt>
                <c:pt idx="5">
                  <c:v>29</c:v>
                </c:pt>
                <c:pt idx="6">
                  <c:v>13</c:v>
                </c:pt>
                <c:pt idx="7">
                  <c:v>13</c:v>
                </c:pt>
                <c:pt idx="8">
                  <c:v>10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C4-4C72-AB34-66809A06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8779519"/>
        <c:axId val="46878118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11C4-4C72-AB34-66809A06F1B1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11C4-4C72-AB34-66809A06F1B1}"/>
              </c:ext>
            </c:extLst>
          </c:dPt>
          <c:cat>
            <c:strRef>
              <c:f>Sheet2!$C$2:$C$23</c:f>
              <c:strCache>
                <c:ptCount val="22"/>
                <c:pt idx="0">
                  <c:v>degemination(reduce consonant cluster to one single consonant)</c:v>
                </c:pt>
                <c:pt idx="1">
                  <c:v>Epenthesis(insert long vowel [u:] between  consnant cluster)</c:v>
                </c:pt>
                <c:pt idx="2">
                  <c:v>Epenthesis(insert diphthong [i:] between  consnant cluster)</c:v>
                </c:pt>
                <c:pt idx="3">
                  <c:v>Epenthesis(insert vowel [ʊ] between  consnant cluster)</c:v>
                </c:pt>
                <c:pt idx="4">
                  <c:v>Epenthesis(insertion of [ ɑ] phone between consonant cluster)</c:v>
                </c:pt>
                <c:pt idx="5">
                  <c:v>Epenthesis(insertion of [ æ] phone between consonant cluster)</c:v>
                </c:pt>
                <c:pt idx="6">
                  <c:v>Epenthesis(insertion of [ɪ] phone between consonant cluster)</c:v>
                </c:pt>
                <c:pt idx="7">
                  <c:v>final consonant deletion</c:v>
                </c:pt>
                <c:pt idx="8">
                  <c:v>germination</c:v>
                </c:pt>
                <c:pt idx="9">
                  <c:v>syllable structure process (consonant insertion of  [n] phone)</c:v>
                </c:pt>
                <c:pt idx="10">
                  <c:v>Monophthongization </c:v>
                </c:pt>
                <c:pt idx="11">
                  <c:v>syllable structure process (final syllable deletion)</c:v>
                </c:pt>
                <c:pt idx="12">
                  <c:v>Metathesis</c:v>
                </c:pt>
                <c:pt idx="13">
                  <c:v>syllable structure process (consonant insertion of  [j] phone)</c:v>
                </c:pt>
                <c:pt idx="14">
                  <c:v>Fronting</c:v>
                </c:pt>
                <c:pt idx="15">
                  <c:v>Nasal assimilation</c:v>
                </c:pt>
                <c:pt idx="16">
                  <c:v>syllable structure process (consonant insertion of  [χ] phone)</c:v>
                </c:pt>
                <c:pt idx="17">
                  <c:v>syllable structure process (consonant insertion of  [tʰ] phone)</c:v>
                </c:pt>
                <c:pt idx="18">
                  <c:v>syllable structure process (consonant insertion of  [t] phone)</c:v>
                </c:pt>
                <c:pt idx="19">
                  <c:v>syllable structure process (consonant insertion of  [q] phone)</c:v>
                </c:pt>
                <c:pt idx="20">
                  <c:v>syllable structure process (consonant insertion of  [ɻ] phone)</c:v>
                </c:pt>
                <c:pt idx="21">
                  <c:v>syllable structure process (weak syllable deletion)</c:v>
                </c:pt>
              </c:strCache>
            </c:strRef>
          </c:cat>
          <c:val>
            <c:numRef>
              <c:f>Sheet2!$E$2:$E$23</c:f>
              <c:numCache>
                <c:formatCode>0.00%</c:formatCode>
                <c:ptCount val="22"/>
                <c:pt idx="0">
                  <c:v>0.36781609195402298</c:v>
                </c:pt>
                <c:pt idx="1">
                  <c:v>3.8022813688212928E-3</c:v>
                </c:pt>
                <c:pt idx="2">
                  <c:v>7.6045627376425855E-3</c:v>
                </c:pt>
                <c:pt idx="3">
                  <c:v>1.5209125475285171E-2</c:v>
                </c:pt>
                <c:pt idx="4">
                  <c:v>3.4220532319391636E-2</c:v>
                </c:pt>
                <c:pt idx="5">
                  <c:v>0.11026615969581749</c:v>
                </c:pt>
                <c:pt idx="6">
                  <c:v>4.9429657794676805E-2</c:v>
                </c:pt>
                <c:pt idx="7">
                  <c:v>2.9612756264236904E-2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C4-4C72-AB34-66809A06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942911"/>
        <c:axId val="467939583"/>
      </c:lineChart>
      <c:catAx>
        <c:axId val="46877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81183"/>
        <c:crosses val="autoZero"/>
        <c:auto val="1"/>
        <c:lblAlgn val="ctr"/>
        <c:lblOffset val="100"/>
        <c:noMultiLvlLbl val="0"/>
      </c:catAx>
      <c:valAx>
        <c:axId val="46878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79519"/>
        <c:crosses val="autoZero"/>
        <c:crossBetween val="between"/>
      </c:valAx>
      <c:valAx>
        <c:axId val="467939583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467942911"/>
        <c:crosses val="max"/>
        <c:crossBetween val="between"/>
      </c:valAx>
      <c:catAx>
        <c:axId val="4679429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6793958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Sheet4!$C$2:$C$22</c:f>
              <c:strCache>
                <c:ptCount val="21"/>
                <c:pt idx="0">
                  <c:v>replace the Modern Standard Arabic diphthong [æw]with the colloquial arabic vowel[o:]</c:v>
                </c:pt>
                <c:pt idx="1">
                  <c:v>replace the Modern Standard Arabic consonant [ð]with the colloquial arabic consonant [z]</c:v>
                </c:pt>
                <c:pt idx="2">
                  <c:v>Deletion of feminine marker</c:v>
                </c:pt>
                <c:pt idx="3">
                  <c:v>misreading</c:v>
                </c:pt>
                <c:pt idx="4">
                  <c:v>replace  [j]with  [i:] affected by colloquial Arabic</c:v>
                </c:pt>
                <c:pt idx="5">
                  <c:v>Definite Article deletion</c:v>
                </c:pt>
                <c:pt idx="6">
                  <c:v>replace the Modern Standard Arabic diphthong [æj]with the colloquial arabic vowel[e:]</c:v>
                </c:pt>
                <c:pt idx="7">
                  <c:v>replace the Modern Standard Arabic consonant [q]with the colloquial arabic consonant [ʔ]</c:v>
                </c:pt>
                <c:pt idx="8">
                  <c:v>consonant deletion  of [ʔ] phone affected by colloquial Arabic</c:v>
                </c:pt>
                <c:pt idx="9">
                  <c:v>consonant insertion of  [h] phone in final position</c:v>
                </c:pt>
                <c:pt idx="10">
                  <c:v>replace noun with verb</c:v>
                </c:pt>
                <c:pt idx="11">
                  <c:v>replace the Modern Standard Arabic consonant [d͡ʒ]with the colloquial arabic consonant [g]</c:v>
                </c:pt>
                <c:pt idx="12">
                  <c:v>replace the Modern Standard Arabic consonant [θ]with the colloquial arabic consonant [s]</c:v>
                </c:pt>
                <c:pt idx="13">
                  <c:v>replace the Modern Standard Arabic consonant [ðˤ]with the colloquial arabic consonant [zˤ]</c:v>
                </c:pt>
                <c:pt idx="14">
                  <c:v>replace feminine with masculine</c:v>
                </c:pt>
                <c:pt idx="15">
                  <c:v>replace masculine  with feminine</c:v>
                </c:pt>
                <c:pt idx="16">
                  <c:v>replace plural noun with singular noun</c:v>
                </c:pt>
                <c:pt idx="17">
                  <c:v>replace the Modern Standard Arabic adjective with the Colloquial Arabic one</c:v>
                </c:pt>
                <c:pt idx="18">
                  <c:v>replace  [ʔ]with  [i:] affected by colloquial arabic</c:v>
                </c:pt>
                <c:pt idx="19">
                  <c:v>replace the Modern Standard Arabic consonant [ðˤ]with the colloquial arabic consonant [dˤ]</c:v>
                </c:pt>
                <c:pt idx="20">
                  <c:v>replace the Modern Standard Arabic consonant [θ]with the colloquial arabic consonant [t]</c:v>
                </c:pt>
              </c:strCache>
            </c:strRef>
          </c:cat>
          <c:val>
            <c:numRef>
              <c:f>Sheet4!$D$2:$D$22</c:f>
              <c:numCache>
                <c:formatCode>General</c:formatCode>
                <c:ptCount val="21"/>
                <c:pt idx="0">
                  <c:v>15</c:v>
                </c:pt>
                <c:pt idx="1">
                  <c:v>15</c:v>
                </c:pt>
                <c:pt idx="2">
                  <c:v>11</c:v>
                </c:pt>
                <c:pt idx="3">
                  <c:v>8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3-4B6C-8F94-42B00605C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935839"/>
        <c:axId val="46793625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Sheet4!$C$2:$C$22</c:f>
              <c:strCache>
                <c:ptCount val="21"/>
                <c:pt idx="0">
                  <c:v>replace the Modern Standard Arabic diphthong [æw]with the colloquial arabic vowel[o:]</c:v>
                </c:pt>
                <c:pt idx="1">
                  <c:v>replace the Modern Standard Arabic consonant [ð]with the colloquial arabic consonant [z]</c:v>
                </c:pt>
                <c:pt idx="2">
                  <c:v>Deletion of feminine marker</c:v>
                </c:pt>
                <c:pt idx="3">
                  <c:v>misreading</c:v>
                </c:pt>
                <c:pt idx="4">
                  <c:v>replace  [j]with  [i:] affected by colloquial Arabic</c:v>
                </c:pt>
                <c:pt idx="5">
                  <c:v>Definite Article deletion</c:v>
                </c:pt>
                <c:pt idx="6">
                  <c:v>replace the Modern Standard Arabic diphthong [æj]with the colloquial arabic vowel[e:]</c:v>
                </c:pt>
                <c:pt idx="7">
                  <c:v>replace the Modern Standard Arabic consonant [q]with the colloquial arabic consonant [ʔ]</c:v>
                </c:pt>
                <c:pt idx="8">
                  <c:v>consonant deletion  of [ʔ] phone affected by colloquial Arabic</c:v>
                </c:pt>
                <c:pt idx="9">
                  <c:v>consonant insertion of  [h] phone in final position</c:v>
                </c:pt>
                <c:pt idx="10">
                  <c:v>replace noun with verb</c:v>
                </c:pt>
                <c:pt idx="11">
                  <c:v>replace the Modern Standard Arabic consonant [d͡ʒ]with the colloquial arabic consonant [g]</c:v>
                </c:pt>
                <c:pt idx="12">
                  <c:v>replace the Modern Standard Arabic consonant [θ]with the colloquial arabic consonant [s]</c:v>
                </c:pt>
                <c:pt idx="13">
                  <c:v>replace the Modern Standard Arabic consonant [ðˤ]with the colloquial arabic consonant [zˤ]</c:v>
                </c:pt>
                <c:pt idx="14">
                  <c:v>replace feminine with masculine</c:v>
                </c:pt>
                <c:pt idx="15">
                  <c:v>replace masculine  with feminine</c:v>
                </c:pt>
                <c:pt idx="16">
                  <c:v>replace plural noun with singular noun</c:v>
                </c:pt>
                <c:pt idx="17">
                  <c:v>replace the Modern Standard Arabic adjective with the Colloquial Arabic one</c:v>
                </c:pt>
                <c:pt idx="18">
                  <c:v>replace  [ʔ]with  [i:] affected by colloquial arabic</c:v>
                </c:pt>
                <c:pt idx="19">
                  <c:v>replace the Modern Standard Arabic consonant [ðˤ]with the colloquial arabic consonant [dˤ]</c:v>
                </c:pt>
                <c:pt idx="20">
                  <c:v>replace the Modern Standard Arabic consonant [θ]with the colloquial arabic consonant [t]</c:v>
                </c:pt>
              </c:strCache>
            </c:strRef>
          </c:cat>
          <c:val>
            <c:numRef>
              <c:f>Sheet4!$E$2:$E$22</c:f>
              <c:numCache>
                <c:formatCode>0.00%</c:formatCode>
                <c:ptCount val="21"/>
                <c:pt idx="0">
                  <c:v>0.41666666666666669</c:v>
                </c:pt>
                <c:pt idx="5">
                  <c:v>3.3557046979865772E-2</c:v>
                </c:pt>
                <c:pt idx="6">
                  <c:v>0.18518518518518517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23-4B6C-8F94-42B00605C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787007"/>
        <c:axId val="467929599"/>
      </c:lineChart>
      <c:catAx>
        <c:axId val="46793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936255"/>
        <c:crosses val="autoZero"/>
        <c:auto val="1"/>
        <c:lblAlgn val="ctr"/>
        <c:lblOffset val="100"/>
        <c:noMultiLvlLbl val="0"/>
      </c:catAx>
      <c:valAx>
        <c:axId val="46793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935839"/>
        <c:crosses val="autoZero"/>
        <c:crossBetween val="between"/>
      </c:valAx>
      <c:valAx>
        <c:axId val="467929599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468787007"/>
        <c:crosses val="max"/>
        <c:crossBetween val="between"/>
      </c:valAx>
      <c:catAx>
        <c:axId val="4687870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6792959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</xdr:colOff>
      <xdr:row>0</xdr:row>
      <xdr:rowOff>704850</xdr:rowOff>
    </xdr:from>
    <xdr:to>
      <xdr:col>15</xdr:col>
      <xdr:colOff>350520</xdr:colOff>
      <xdr:row>5</xdr:row>
      <xdr:rowOff>716280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53340</xdr:colOff>
      <xdr:row>7</xdr:row>
      <xdr:rowOff>80010</xdr:rowOff>
    </xdr:from>
    <xdr:to>
      <xdr:col>15</xdr:col>
      <xdr:colOff>358140</xdr:colOff>
      <xdr:row>13</xdr:row>
      <xdr:rowOff>662940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76200</xdr:colOff>
      <xdr:row>15</xdr:row>
      <xdr:rowOff>41910</xdr:rowOff>
    </xdr:from>
    <xdr:to>
      <xdr:col>15</xdr:col>
      <xdr:colOff>381000</xdr:colOff>
      <xdr:row>16</xdr:row>
      <xdr:rowOff>1447800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30480</xdr:colOff>
      <xdr:row>18</xdr:row>
      <xdr:rowOff>76200</xdr:rowOff>
    </xdr:from>
    <xdr:to>
      <xdr:col>15</xdr:col>
      <xdr:colOff>335280</xdr:colOff>
      <xdr:row>19</xdr:row>
      <xdr:rowOff>1059180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60960</xdr:colOff>
      <xdr:row>21</xdr:row>
      <xdr:rowOff>64770</xdr:rowOff>
    </xdr:from>
    <xdr:to>
      <xdr:col>15</xdr:col>
      <xdr:colOff>365760</xdr:colOff>
      <xdr:row>22</xdr:row>
      <xdr:rowOff>1165860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22860</xdr:colOff>
      <xdr:row>26</xdr:row>
      <xdr:rowOff>64770</xdr:rowOff>
    </xdr:from>
    <xdr:to>
      <xdr:col>15</xdr:col>
      <xdr:colOff>327660</xdr:colOff>
      <xdr:row>28</xdr:row>
      <xdr:rowOff>685800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99060</xdr:colOff>
      <xdr:row>30</xdr:row>
      <xdr:rowOff>106680</xdr:rowOff>
    </xdr:from>
    <xdr:to>
      <xdr:col>15</xdr:col>
      <xdr:colOff>403860</xdr:colOff>
      <xdr:row>30</xdr:row>
      <xdr:rowOff>1965960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53340</xdr:colOff>
      <xdr:row>32</xdr:row>
      <xdr:rowOff>60960</xdr:rowOff>
    </xdr:from>
    <xdr:to>
      <xdr:col>15</xdr:col>
      <xdr:colOff>358140</xdr:colOff>
      <xdr:row>32</xdr:row>
      <xdr:rowOff>1988820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68580</xdr:colOff>
      <xdr:row>34</xdr:row>
      <xdr:rowOff>76200</xdr:rowOff>
    </xdr:from>
    <xdr:to>
      <xdr:col>15</xdr:col>
      <xdr:colOff>373380</xdr:colOff>
      <xdr:row>37</xdr:row>
      <xdr:rowOff>662940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45720</xdr:colOff>
      <xdr:row>39</xdr:row>
      <xdr:rowOff>91440</xdr:rowOff>
    </xdr:from>
    <xdr:to>
      <xdr:col>15</xdr:col>
      <xdr:colOff>350520</xdr:colOff>
      <xdr:row>42</xdr:row>
      <xdr:rowOff>678180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45720</xdr:colOff>
      <xdr:row>44</xdr:row>
      <xdr:rowOff>60960</xdr:rowOff>
    </xdr:from>
    <xdr:to>
      <xdr:col>15</xdr:col>
      <xdr:colOff>350520</xdr:colOff>
      <xdr:row>44</xdr:row>
      <xdr:rowOff>2392680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38100</xdr:colOff>
      <xdr:row>46</xdr:row>
      <xdr:rowOff>60960</xdr:rowOff>
    </xdr:from>
    <xdr:to>
      <xdr:col>15</xdr:col>
      <xdr:colOff>342900</xdr:colOff>
      <xdr:row>48</xdr:row>
      <xdr:rowOff>701040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22860</xdr:colOff>
      <xdr:row>50</xdr:row>
      <xdr:rowOff>99060</xdr:rowOff>
    </xdr:from>
    <xdr:to>
      <xdr:col>15</xdr:col>
      <xdr:colOff>327660</xdr:colOff>
      <xdr:row>52</xdr:row>
      <xdr:rowOff>693420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45720</xdr:colOff>
      <xdr:row>54</xdr:row>
      <xdr:rowOff>41910</xdr:rowOff>
    </xdr:from>
    <xdr:to>
      <xdr:col>15</xdr:col>
      <xdr:colOff>350520</xdr:colOff>
      <xdr:row>57</xdr:row>
      <xdr:rowOff>701040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45720</xdr:colOff>
      <xdr:row>59</xdr:row>
      <xdr:rowOff>76200</xdr:rowOff>
    </xdr:from>
    <xdr:to>
      <xdr:col>15</xdr:col>
      <xdr:colOff>350520</xdr:colOff>
      <xdr:row>61</xdr:row>
      <xdr:rowOff>708660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83820</xdr:colOff>
      <xdr:row>63</xdr:row>
      <xdr:rowOff>34290</xdr:rowOff>
    </xdr:from>
    <xdr:to>
      <xdr:col>15</xdr:col>
      <xdr:colOff>388620</xdr:colOff>
      <xdr:row>64</xdr:row>
      <xdr:rowOff>975360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91440</xdr:colOff>
      <xdr:row>66</xdr:row>
      <xdr:rowOff>19050</xdr:rowOff>
    </xdr:from>
    <xdr:to>
      <xdr:col>15</xdr:col>
      <xdr:colOff>396240</xdr:colOff>
      <xdr:row>68</xdr:row>
      <xdr:rowOff>701040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91440</xdr:colOff>
      <xdr:row>70</xdr:row>
      <xdr:rowOff>26670</xdr:rowOff>
    </xdr:from>
    <xdr:to>
      <xdr:col>15</xdr:col>
      <xdr:colOff>396240</xdr:colOff>
      <xdr:row>70</xdr:row>
      <xdr:rowOff>2087880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91440</xdr:colOff>
      <xdr:row>72</xdr:row>
      <xdr:rowOff>34290</xdr:rowOff>
    </xdr:from>
    <xdr:to>
      <xdr:col>15</xdr:col>
      <xdr:colOff>396240</xdr:colOff>
      <xdr:row>74</xdr:row>
      <xdr:rowOff>693420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60960</xdr:colOff>
      <xdr:row>78</xdr:row>
      <xdr:rowOff>83820</xdr:rowOff>
    </xdr:from>
    <xdr:to>
      <xdr:col>15</xdr:col>
      <xdr:colOff>365760</xdr:colOff>
      <xdr:row>79</xdr:row>
      <xdr:rowOff>998220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</xdr:col>
      <xdr:colOff>60960</xdr:colOff>
      <xdr:row>81</xdr:row>
      <xdr:rowOff>3810</xdr:rowOff>
    </xdr:from>
    <xdr:to>
      <xdr:col>15</xdr:col>
      <xdr:colOff>365760</xdr:colOff>
      <xdr:row>83</xdr:row>
      <xdr:rowOff>716280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</xdr:col>
      <xdr:colOff>30480</xdr:colOff>
      <xdr:row>85</xdr:row>
      <xdr:rowOff>76200</xdr:rowOff>
    </xdr:from>
    <xdr:to>
      <xdr:col>15</xdr:col>
      <xdr:colOff>335280</xdr:colOff>
      <xdr:row>86</xdr:row>
      <xdr:rowOff>982980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</xdr:col>
      <xdr:colOff>76200</xdr:colOff>
      <xdr:row>88</xdr:row>
      <xdr:rowOff>19050</xdr:rowOff>
    </xdr:from>
    <xdr:to>
      <xdr:col>15</xdr:col>
      <xdr:colOff>381000</xdr:colOff>
      <xdr:row>91</xdr:row>
      <xdr:rowOff>693420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</xdr:col>
      <xdr:colOff>38100</xdr:colOff>
      <xdr:row>93</xdr:row>
      <xdr:rowOff>11430</xdr:rowOff>
    </xdr:from>
    <xdr:to>
      <xdr:col>15</xdr:col>
      <xdr:colOff>342900</xdr:colOff>
      <xdr:row>95</xdr:row>
      <xdr:rowOff>708660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8</xdr:col>
      <xdr:colOff>144780</xdr:colOff>
      <xdr:row>97</xdr:row>
      <xdr:rowOff>53340</xdr:rowOff>
    </xdr:from>
    <xdr:to>
      <xdr:col>15</xdr:col>
      <xdr:colOff>449580</xdr:colOff>
      <xdr:row>98</xdr:row>
      <xdr:rowOff>1409700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8</xdr:col>
      <xdr:colOff>68580</xdr:colOff>
      <xdr:row>100</xdr:row>
      <xdr:rowOff>68580</xdr:rowOff>
    </xdr:from>
    <xdr:to>
      <xdr:col>15</xdr:col>
      <xdr:colOff>373380</xdr:colOff>
      <xdr:row>100</xdr:row>
      <xdr:rowOff>1805940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175260</xdr:colOff>
      <xdr:row>0</xdr:row>
      <xdr:rowOff>190500</xdr:rowOff>
    </xdr:from>
    <xdr:to>
      <xdr:col>18</xdr:col>
      <xdr:colOff>335280</xdr:colOff>
      <xdr:row>24</xdr:row>
      <xdr:rowOff>68580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121920</xdr:colOff>
      <xdr:row>0</xdr:row>
      <xdr:rowOff>38100</xdr:rowOff>
    </xdr:from>
    <xdr:to>
      <xdr:col>19</xdr:col>
      <xdr:colOff>144780</xdr:colOff>
      <xdr:row>25</xdr:row>
      <xdr:rowOff>99060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3"/>
  <sheetViews>
    <sheetView tabSelected="1" topLeftCell="A4" zoomScaleNormal="100" workbookViewId="0">
      <selection activeCell="E8" sqref="E8"/>
    </sheetView>
  </sheetViews>
  <sheetFormatPr defaultRowHeight="14.4" outlineLevelRow="2" x14ac:dyDescent="0.3"/>
  <cols>
    <col min="2" max="3" width="11.21875" customWidth="1"/>
    <col min="4" max="4" width="10.33203125" customWidth="1"/>
    <col min="5" max="5" width="36.21875" style="1" customWidth="1"/>
    <col min="6" max="6" width="6.77734375" customWidth="1"/>
    <col min="7" max="7" width="6.6640625" customWidth="1"/>
    <col min="8" max="8" width="9.44140625" style="106" customWidth="1"/>
  </cols>
  <sheetData>
    <row r="1" spans="2:8" ht="60" customHeight="1" thickBot="1" x14ac:dyDescent="0.35">
      <c r="B1" s="62" t="s">
        <v>124</v>
      </c>
      <c r="C1" s="62" t="s">
        <v>171</v>
      </c>
      <c r="D1" s="63" t="s">
        <v>125</v>
      </c>
      <c r="E1" s="64" t="s">
        <v>126</v>
      </c>
      <c r="F1" s="64"/>
      <c r="G1" s="64" t="s">
        <v>173</v>
      </c>
      <c r="H1" s="94" t="s">
        <v>214</v>
      </c>
    </row>
    <row r="2" spans="2:8" ht="60" customHeight="1" thickTop="1" thickBot="1" x14ac:dyDescent="0.35">
      <c r="B2" s="113" t="s">
        <v>97</v>
      </c>
      <c r="C2" s="114">
        <v>240</v>
      </c>
      <c r="D2" s="112" t="s">
        <v>96</v>
      </c>
      <c r="E2" s="5" t="s">
        <v>136</v>
      </c>
      <c r="F2" s="6" t="s">
        <v>177</v>
      </c>
      <c r="G2" s="6">
        <v>40</v>
      </c>
      <c r="H2" s="95">
        <f>G2/240</f>
        <v>0.16666666666666666</v>
      </c>
    </row>
    <row r="3" spans="2:8" ht="60" customHeight="1" outlineLevel="1" thickTop="1" thickBot="1" x14ac:dyDescent="0.35">
      <c r="B3" s="113"/>
      <c r="C3" s="148"/>
      <c r="D3" s="112"/>
      <c r="E3" s="7" t="s">
        <v>5</v>
      </c>
      <c r="F3" s="6" t="s">
        <v>179</v>
      </c>
      <c r="G3" s="6">
        <v>29</v>
      </c>
      <c r="H3" s="95">
        <f>G3/240</f>
        <v>0.12083333333333333</v>
      </c>
    </row>
    <row r="4" spans="2:8" ht="60" customHeight="1" outlineLevel="1" thickTop="1" thickBot="1" x14ac:dyDescent="0.35">
      <c r="B4" s="113"/>
      <c r="C4" s="148"/>
      <c r="D4" s="112"/>
      <c r="E4" s="7" t="s">
        <v>133</v>
      </c>
      <c r="F4" s="6" t="s">
        <v>178</v>
      </c>
      <c r="G4" s="6">
        <v>5</v>
      </c>
      <c r="H4" s="95">
        <f>G4/240</f>
        <v>2.0833333333333332E-2</v>
      </c>
    </row>
    <row r="5" spans="2:8" ht="60" customHeight="1" outlineLevel="1" thickTop="1" thickBot="1" x14ac:dyDescent="0.35">
      <c r="B5" s="113"/>
      <c r="C5" s="148"/>
      <c r="D5" s="112"/>
      <c r="E5" s="5" t="s">
        <v>157</v>
      </c>
      <c r="F5" s="6" t="s">
        <v>213</v>
      </c>
      <c r="G5" s="6">
        <v>2</v>
      </c>
      <c r="H5" s="95">
        <f>G5/240</f>
        <v>8.3333333333333332E-3</v>
      </c>
    </row>
    <row r="6" spans="2:8" ht="60" customHeight="1" outlineLevel="1" thickTop="1" thickBot="1" x14ac:dyDescent="0.35">
      <c r="B6" s="113"/>
      <c r="C6" s="115"/>
      <c r="D6" s="112"/>
      <c r="E6" s="5" t="s">
        <v>164</v>
      </c>
      <c r="F6" s="6" t="s">
        <v>180</v>
      </c>
      <c r="G6" s="6">
        <v>1</v>
      </c>
      <c r="H6" s="95">
        <f>G6/240</f>
        <v>4.1666666666666666E-3</v>
      </c>
    </row>
    <row r="7" spans="2:8" ht="42.6" customHeight="1" outlineLevel="1" thickTop="1" thickBot="1" x14ac:dyDescent="0.35">
      <c r="B7" s="84" t="s">
        <v>242</v>
      </c>
      <c r="C7" s="69">
        <v>240</v>
      </c>
      <c r="D7" s="85"/>
      <c r="E7" s="5"/>
      <c r="F7" s="6"/>
      <c r="G7" s="6">
        <f>SUM(G2:G6)</f>
        <v>77</v>
      </c>
      <c r="H7" s="95">
        <f>SUM(H2:H6)</f>
        <v>0.3208333333333333</v>
      </c>
    </row>
    <row r="8" spans="2:8" ht="60" customHeight="1" outlineLevel="2" thickTop="1" thickBot="1" x14ac:dyDescent="0.35">
      <c r="B8" s="111" t="s">
        <v>98</v>
      </c>
      <c r="C8" s="142">
        <v>331</v>
      </c>
      <c r="D8" s="116" t="s">
        <v>175</v>
      </c>
      <c r="E8" s="9" t="s">
        <v>6</v>
      </c>
      <c r="F8" s="10" t="s">
        <v>179</v>
      </c>
      <c r="G8" s="10">
        <v>7</v>
      </c>
      <c r="H8" s="96">
        <f t="shared" ref="H8:H14" si="0">G8/331</f>
        <v>2.1148036253776436E-2</v>
      </c>
    </row>
    <row r="9" spans="2:8" ht="60" customHeight="1" outlineLevel="2" thickTop="1" thickBot="1" x14ac:dyDescent="0.35">
      <c r="B9" s="111"/>
      <c r="C9" s="143"/>
      <c r="D9" s="116"/>
      <c r="E9" s="9" t="s">
        <v>139</v>
      </c>
      <c r="F9" s="10" t="s">
        <v>213</v>
      </c>
      <c r="G9" s="10">
        <v>7</v>
      </c>
      <c r="H9" s="96">
        <f t="shared" si="0"/>
        <v>2.1148036253776436E-2</v>
      </c>
    </row>
    <row r="10" spans="2:8" ht="60" customHeight="1" outlineLevel="2" thickTop="1" thickBot="1" x14ac:dyDescent="0.35">
      <c r="B10" s="111"/>
      <c r="C10" s="143"/>
      <c r="D10" s="116"/>
      <c r="E10" s="9" t="s">
        <v>24</v>
      </c>
      <c r="F10" s="10" t="s">
        <v>181</v>
      </c>
      <c r="G10" s="10">
        <v>3</v>
      </c>
      <c r="H10" s="96">
        <f t="shared" si="0"/>
        <v>9.0634441087613302E-3</v>
      </c>
    </row>
    <row r="11" spans="2:8" ht="60" customHeight="1" outlineLevel="2" thickTop="1" thickBot="1" x14ac:dyDescent="0.35">
      <c r="B11" s="111"/>
      <c r="C11" s="143"/>
      <c r="D11" s="116"/>
      <c r="E11" s="9" t="s">
        <v>4</v>
      </c>
      <c r="F11" s="10" t="s">
        <v>178</v>
      </c>
      <c r="G11" s="10">
        <v>2</v>
      </c>
      <c r="H11" s="96">
        <f t="shared" si="0"/>
        <v>6.0422960725075529E-3</v>
      </c>
    </row>
    <row r="12" spans="2:8" ht="60" customHeight="1" outlineLevel="2" thickTop="1" thickBot="1" x14ac:dyDescent="0.35">
      <c r="B12" s="111"/>
      <c r="C12" s="143"/>
      <c r="D12" s="116"/>
      <c r="E12" s="9" t="s">
        <v>160</v>
      </c>
      <c r="F12" s="10" t="s">
        <v>184</v>
      </c>
      <c r="G12" s="10">
        <v>2</v>
      </c>
      <c r="H12" s="96">
        <f t="shared" si="0"/>
        <v>6.0422960725075529E-3</v>
      </c>
    </row>
    <row r="13" spans="2:8" ht="60" customHeight="1" outlineLevel="2" thickTop="1" thickBot="1" x14ac:dyDescent="0.35">
      <c r="B13" s="111"/>
      <c r="C13" s="143"/>
      <c r="D13" s="116"/>
      <c r="E13" s="9" t="s">
        <v>149</v>
      </c>
      <c r="F13" s="10" t="s">
        <v>182</v>
      </c>
      <c r="G13" s="10">
        <v>1</v>
      </c>
      <c r="H13" s="96">
        <f t="shared" si="0"/>
        <v>3.0211480362537764E-3</v>
      </c>
    </row>
    <row r="14" spans="2:8" ht="60" customHeight="1" outlineLevel="2" thickTop="1" thickBot="1" x14ac:dyDescent="0.35">
      <c r="B14" s="111"/>
      <c r="C14" s="144"/>
      <c r="D14" s="116"/>
      <c r="E14" s="9" t="s">
        <v>146</v>
      </c>
      <c r="F14" s="10" t="s">
        <v>183</v>
      </c>
      <c r="G14" s="10">
        <v>1</v>
      </c>
      <c r="H14" s="96">
        <f t="shared" si="0"/>
        <v>3.0211480362537764E-3</v>
      </c>
    </row>
    <row r="15" spans="2:8" ht="23.4" customHeight="1" outlineLevel="1" thickTop="1" thickBot="1" x14ac:dyDescent="0.35">
      <c r="B15" s="171" t="s">
        <v>215</v>
      </c>
      <c r="C15" s="66">
        <f>SUBTOTAL(9,C8:C14)</f>
        <v>331</v>
      </c>
      <c r="D15" s="80"/>
      <c r="E15" s="9"/>
      <c r="F15" s="10"/>
      <c r="G15" s="10">
        <f>SUBTOTAL(9,G8:G14)</f>
        <v>23</v>
      </c>
      <c r="H15" s="96">
        <f>SUBTOTAL(9,H8:H14)</f>
        <v>6.9486404833836862E-2</v>
      </c>
    </row>
    <row r="16" spans="2:8" ht="60" customHeight="1" outlineLevel="2" thickTop="1" thickBot="1" x14ac:dyDescent="0.35">
      <c r="B16" s="125" t="s">
        <v>99</v>
      </c>
      <c r="C16" s="135">
        <v>129</v>
      </c>
      <c r="D16" s="126" t="s">
        <v>70</v>
      </c>
      <c r="E16" s="12" t="s">
        <v>127</v>
      </c>
      <c r="F16" s="13" t="s">
        <v>185</v>
      </c>
      <c r="G16" s="13">
        <v>1</v>
      </c>
      <c r="H16" s="97">
        <f>G16/129</f>
        <v>7.7519379844961239E-3</v>
      </c>
    </row>
    <row r="17" spans="2:8" ht="119.4" customHeight="1" outlineLevel="2" thickTop="1" thickBot="1" x14ac:dyDescent="0.35">
      <c r="B17" s="125"/>
      <c r="C17" s="137"/>
      <c r="D17" s="126"/>
      <c r="E17" s="12" t="s">
        <v>168</v>
      </c>
      <c r="F17" s="13" t="s">
        <v>182</v>
      </c>
      <c r="G17" s="13">
        <v>1</v>
      </c>
      <c r="H17" s="97">
        <f>G17/129</f>
        <v>7.7519379844961239E-3</v>
      </c>
    </row>
    <row r="18" spans="2:8" ht="31.8" customHeight="1" outlineLevel="1" thickTop="1" thickBot="1" x14ac:dyDescent="0.35">
      <c r="B18" s="172" t="s">
        <v>216</v>
      </c>
      <c r="C18" s="72">
        <f>SUBTOTAL(9,C16:C17)</f>
        <v>129</v>
      </c>
      <c r="D18" s="82"/>
      <c r="E18" s="12"/>
      <c r="F18" s="13"/>
      <c r="G18" s="13">
        <f>SUBTOTAL(9,G16:G17)</f>
        <v>2</v>
      </c>
      <c r="H18" s="97">
        <f>SUBTOTAL(9,H16:H17)</f>
        <v>1.5503875968992248E-2</v>
      </c>
    </row>
    <row r="19" spans="2:8" ht="78.599999999999994" customHeight="1" outlineLevel="2" thickTop="1" thickBot="1" x14ac:dyDescent="0.35">
      <c r="B19" s="119" t="s">
        <v>100</v>
      </c>
      <c r="C19" s="149">
        <v>29</v>
      </c>
      <c r="D19" s="117" t="s">
        <v>71</v>
      </c>
      <c r="E19" s="15" t="s">
        <v>131</v>
      </c>
      <c r="F19" s="16" t="s">
        <v>186</v>
      </c>
      <c r="G19" s="16">
        <v>3</v>
      </c>
      <c r="H19" s="98">
        <f>G19/29</f>
        <v>0.10344827586206896</v>
      </c>
    </row>
    <row r="20" spans="2:8" ht="90" customHeight="1" outlineLevel="2" thickTop="1" thickBot="1" x14ac:dyDescent="0.35">
      <c r="B20" s="120"/>
      <c r="C20" s="150"/>
      <c r="D20" s="118"/>
      <c r="E20" s="15" t="s">
        <v>134</v>
      </c>
      <c r="F20" s="16" t="s">
        <v>187</v>
      </c>
      <c r="G20" s="16">
        <v>3</v>
      </c>
      <c r="H20" s="98">
        <f>G20/29</f>
        <v>0.10344827586206896</v>
      </c>
    </row>
    <row r="21" spans="2:8" ht="23.4" customHeight="1" outlineLevel="1" thickTop="1" thickBot="1" x14ac:dyDescent="0.35">
      <c r="B21" s="173" t="s">
        <v>217</v>
      </c>
      <c r="C21" s="167">
        <f>SUBTOTAL(9,C19:C20)</f>
        <v>29</v>
      </c>
      <c r="D21" s="89"/>
      <c r="E21" s="15"/>
      <c r="F21" s="16"/>
      <c r="G21" s="16">
        <f>SUBTOTAL(9,G19:G20)</f>
        <v>6</v>
      </c>
      <c r="H21" s="98">
        <f>SUBTOTAL(9,H19:H20)</f>
        <v>0.20689655172413793</v>
      </c>
    </row>
    <row r="22" spans="2:8" ht="87" customHeight="1" outlineLevel="2" thickTop="1" thickBot="1" x14ac:dyDescent="0.35">
      <c r="B22" s="111" t="s">
        <v>101</v>
      </c>
      <c r="C22" s="142">
        <v>59</v>
      </c>
      <c r="D22" s="116" t="s">
        <v>72</v>
      </c>
      <c r="E22" s="17" t="s">
        <v>16</v>
      </c>
      <c r="F22" s="18" t="s">
        <v>186</v>
      </c>
      <c r="G22" s="18">
        <v>11</v>
      </c>
      <c r="H22" s="99">
        <f>G22/59</f>
        <v>0.1864406779661017</v>
      </c>
    </row>
    <row r="23" spans="2:8" ht="99" customHeight="1" outlineLevel="2" thickTop="1" thickBot="1" x14ac:dyDescent="0.35">
      <c r="B23" s="111"/>
      <c r="C23" s="144"/>
      <c r="D23" s="116"/>
      <c r="E23" s="19" t="s">
        <v>140</v>
      </c>
      <c r="F23" s="18" t="s">
        <v>182</v>
      </c>
      <c r="G23" s="18">
        <v>1</v>
      </c>
      <c r="H23" s="99">
        <f>G23/59</f>
        <v>1.6949152542372881E-2</v>
      </c>
    </row>
    <row r="24" spans="2:8" ht="26.4" customHeight="1" outlineLevel="1" thickTop="1" thickBot="1" x14ac:dyDescent="0.35">
      <c r="B24" s="171" t="s">
        <v>218</v>
      </c>
      <c r="C24" s="67">
        <f>SUBTOTAL(9,C22:C23)</f>
        <v>59</v>
      </c>
      <c r="D24" s="80"/>
      <c r="E24" s="19"/>
      <c r="F24" s="18"/>
      <c r="G24" s="18">
        <f>SUBTOTAL(9,G22:G23)</f>
        <v>12</v>
      </c>
      <c r="H24" s="99">
        <f>SUBTOTAL(9,H22:H23)</f>
        <v>0.20338983050847459</v>
      </c>
    </row>
    <row r="25" spans="2:8" s="3" customFormat="1" ht="19.2" customHeight="1" outlineLevel="2" thickTop="1" thickBot="1" x14ac:dyDescent="0.35">
      <c r="B25" s="11" t="s">
        <v>102</v>
      </c>
      <c r="C25" s="11">
        <v>27</v>
      </c>
      <c r="D25" s="20" t="s">
        <v>73</v>
      </c>
      <c r="E25" s="12">
        <v>0</v>
      </c>
      <c r="F25" s="13">
        <v>0</v>
      </c>
      <c r="G25" s="13">
        <v>0</v>
      </c>
      <c r="H25" s="97">
        <v>0</v>
      </c>
    </row>
    <row r="26" spans="2:8" s="3" customFormat="1" ht="19.2" customHeight="1" outlineLevel="1" thickTop="1" thickBot="1" x14ac:dyDescent="0.35">
      <c r="B26" s="172" t="s">
        <v>219</v>
      </c>
      <c r="C26" s="71">
        <f>SUBTOTAL(9,C25:C25)</f>
        <v>27</v>
      </c>
      <c r="D26" s="82"/>
      <c r="E26" s="12"/>
      <c r="F26" s="13"/>
      <c r="G26" s="13">
        <f>SUBTOTAL(9,G25:G25)</f>
        <v>0</v>
      </c>
      <c r="H26" s="97">
        <f>SUBTOTAL(9,H25:H25)</f>
        <v>0</v>
      </c>
    </row>
    <row r="27" spans="2:8" ht="60" customHeight="1" outlineLevel="2" thickTop="1" thickBot="1" x14ac:dyDescent="0.35">
      <c r="B27" s="113" t="s">
        <v>103</v>
      </c>
      <c r="C27" s="114">
        <v>20</v>
      </c>
      <c r="D27" s="112" t="s">
        <v>74</v>
      </c>
      <c r="E27" s="5" t="s">
        <v>25</v>
      </c>
      <c r="F27" s="6" t="s">
        <v>188</v>
      </c>
      <c r="G27" s="6">
        <v>5</v>
      </c>
      <c r="H27" s="95">
        <f>G27/20</f>
        <v>0.25</v>
      </c>
    </row>
    <row r="28" spans="2:8" ht="60" customHeight="1" outlineLevel="2" thickTop="1" thickBot="1" x14ac:dyDescent="0.35">
      <c r="B28" s="113"/>
      <c r="C28" s="148"/>
      <c r="D28" s="112"/>
      <c r="E28" s="5" t="s">
        <v>167</v>
      </c>
      <c r="F28" s="6" t="s">
        <v>190</v>
      </c>
      <c r="G28" s="6">
        <v>5</v>
      </c>
      <c r="H28" s="95">
        <f>G28/20</f>
        <v>0.25</v>
      </c>
    </row>
    <row r="29" spans="2:8" ht="60" customHeight="1" outlineLevel="2" thickTop="1" thickBot="1" x14ac:dyDescent="0.35">
      <c r="B29" s="113"/>
      <c r="C29" s="115"/>
      <c r="D29" s="112"/>
      <c r="E29" s="5" t="s">
        <v>17</v>
      </c>
      <c r="F29" s="6" t="s">
        <v>189</v>
      </c>
      <c r="G29" s="6">
        <v>3</v>
      </c>
      <c r="H29" s="95">
        <f>G29/20</f>
        <v>0.15</v>
      </c>
    </row>
    <row r="30" spans="2:8" ht="25.8" customHeight="1" outlineLevel="1" thickTop="1" thickBot="1" x14ac:dyDescent="0.35">
      <c r="B30" s="174" t="s">
        <v>220</v>
      </c>
      <c r="C30" s="70">
        <f>SUBTOTAL(9,C27:C29)</f>
        <v>20</v>
      </c>
      <c r="D30" s="85"/>
      <c r="E30" s="5"/>
      <c r="F30" s="6"/>
      <c r="G30" s="6">
        <f>SUBTOTAL(9,G27:G29)</f>
        <v>13</v>
      </c>
      <c r="H30" s="95">
        <f>SUBTOTAL(9,H27:H29)</f>
        <v>0.65</v>
      </c>
    </row>
    <row r="31" spans="2:8" ht="163.19999999999999" customHeight="1" outlineLevel="2" thickTop="1" thickBot="1" x14ac:dyDescent="0.35">
      <c r="B31" s="14" t="s">
        <v>104</v>
      </c>
      <c r="C31" s="14">
        <v>38</v>
      </c>
      <c r="D31" s="14" t="s">
        <v>75</v>
      </c>
      <c r="E31" s="21" t="s">
        <v>163</v>
      </c>
      <c r="F31" s="16" t="s">
        <v>190</v>
      </c>
      <c r="G31" s="16">
        <v>4</v>
      </c>
      <c r="H31" s="98">
        <f>G31/38</f>
        <v>0.10526315789473684</v>
      </c>
    </row>
    <row r="32" spans="2:8" ht="33.6" customHeight="1" outlineLevel="1" thickTop="1" thickBot="1" x14ac:dyDescent="0.35">
      <c r="B32" s="173" t="s">
        <v>221</v>
      </c>
      <c r="C32" s="90">
        <f>SUBTOTAL(9,C31:C31)</f>
        <v>38</v>
      </c>
      <c r="D32" s="90"/>
      <c r="E32" s="21"/>
      <c r="F32" s="16"/>
      <c r="G32" s="16">
        <f>SUBTOTAL(9,G31:G31)</f>
        <v>4</v>
      </c>
      <c r="H32" s="98">
        <f>SUBTOTAL(9,H31:H31)</f>
        <v>0.10526315789473684</v>
      </c>
    </row>
    <row r="33" spans="2:8" ht="165.6" customHeight="1" outlineLevel="2" thickTop="1" thickBot="1" x14ac:dyDescent="0.35">
      <c r="B33" s="111" t="s">
        <v>105</v>
      </c>
      <c r="C33" s="8">
        <v>86</v>
      </c>
      <c r="D33" s="116" t="s">
        <v>76</v>
      </c>
      <c r="E33" s="22" t="s">
        <v>14</v>
      </c>
      <c r="F33" s="10" t="s">
        <v>191</v>
      </c>
      <c r="G33" s="10">
        <v>39</v>
      </c>
      <c r="H33" s="96">
        <f>G33/C33</f>
        <v>0.45348837209302323</v>
      </c>
    </row>
    <row r="34" spans="2:8" ht="15.6" customHeight="1" outlineLevel="1" thickTop="1" thickBot="1" x14ac:dyDescent="0.35">
      <c r="B34" s="171" t="s">
        <v>222</v>
      </c>
      <c r="C34" s="65">
        <f>SUBTOTAL(9,C33:C33)</f>
        <v>86</v>
      </c>
      <c r="D34" s="80"/>
      <c r="E34" s="22"/>
      <c r="F34" s="10"/>
      <c r="G34" s="10">
        <f>SUBTOTAL(9,G33:G33)</f>
        <v>39</v>
      </c>
      <c r="H34" s="96">
        <f>SUBTOTAL(9,H33:H33)</f>
        <v>0.45348837209302323</v>
      </c>
    </row>
    <row r="35" spans="2:8" ht="60" customHeight="1" outlineLevel="2" thickTop="1" thickBot="1" x14ac:dyDescent="0.35">
      <c r="B35" s="125" t="s">
        <v>174</v>
      </c>
      <c r="C35" s="135">
        <v>78</v>
      </c>
      <c r="D35" s="126" t="s">
        <v>77</v>
      </c>
      <c r="E35" s="23" t="s">
        <v>135</v>
      </c>
      <c r="F35" s="24" t="s">
        <v>192</v>
      </c>
      <c r="G35" s="24">
        <v>20</v>
      </c>
      <c r="H35" s="100">
        <f>G35/78</f>
        <v>0.25641025641025639</v>
      </c>
    </row>
    <row r="36" spans="2:8" ht="60" customHeight="1" outlineLevel="2" thickTop="1" thickBot="1" x14ac:dyDescent="0.35">
      <c r="B36" s="125"/>
      <c r="C36" s="136"/>
      <c r="D36" s="126"/>
      <c r="E36" s="23" t="s">
        <v>21</v>
      </c>
      <c r="F36" s="24" t="s">
        <v>194</v>
      </c>
      <c r="G36" s="24">
        <v>11</v>
      </c>
      <c r="H36" s="100">
        <f>G36/78</f>
        <v>0.14102564102564102</v>
      </c>
    </row>
    <row r="37" spans="2:8" ht="60" customHeight="1" outlineLevel="2" thickTop="1" thickBot="1" x14ac:dyDescent="0.35">
      <c r="B37" s="125"/>
      <c r="C37" s="136"/>
      <c r="D37" s="126"/>
      <c r="E37" s="23" t="s">
        <v>28</v>
      </c>
      <c r="F37" s="24" t="s">
        <v>193</v>
      </c>
      <c r="G37" s="24">
        <v>3</v>
      </c>
      <c r="H37" s="100">
        <f>G37/78</f>
        <v>3.8461538461538464E-2</v>
      </c>
    </row>
    <row r="38" spans="2:8" ht="60" customHeight="1" outlineLevel="2" thickTop="1" thickBot="1" x14ac:dyDescent="0.35">
      <c r="B38" s="125"/>
      <c r="C38" s="137"/>
      <c r="D38" s="126"/>
      <c r="E38" s="25" t="s">
        <v>29</v>
      </c>
      <c r="F38" s="24" t="s">
        <v>190</v>
      </c>
      <c r="G38" s="24">
        <v>1</v>
      </c>
      <c r="H38" s="100">
        <f>G38/78</f>
        <v>1.282051282051282E-2</v>
      </c>
    </row>
    <row r="39" spans="2:8" ht="31.8" customHeight="1" outlineLevel="1" thickTop="1" thickBot="1" x14ac:dyDescent="0.35">
      <c r="B39" s="172" t="s">
        <v>223</v>
      </c>
      <c r="C39" s="72">
        <f>SUBTOTAL(9,C35:C38)</f>
        <v>78</v>
      </c>
      <c r="D39" s="82"/>
      <c r="E39" s="25"/>
      <c r="F39" s="24"/>
      <c r="G39" s="24">
        <f>SUBTOTAL(9,G35:G38)</f>
        <v>35</v>
      </c>
      <c r="H39" s="100">
        <f>SUBTOTAL(9,H35:H38)</f>
        <v>0.44871794871794873</v>
      </c>
    </row>
    <row r="40" spans="2:8" ht="60" customHeight="1" outlineLevel="2" thickTop="1" thickBot="1" x14ac:dyDescent="0.35">
      <c r="B40" s="113" t="s">
        <v>106</v>
      </c>
      <c r="C40" s="114">
        <v>61</v>
      </c>
      <c r="D40" s="112" t="s">
        <v>78</v>
      </c>
      <c r="E40" s="7" t="s">
        <v>7</v>
      </c>
      <c r="F40" s="6" t="s">
        <v>195</v>
      </c>
      <c r="G40" s="6">
        <v>14</v>
      </c>
      <c r="H40" s="95">
        <f>G40/61</f>
        <v>0.22950819672131148</v>
      </c>
    </row>
    <row r="41" spans="2:8" ht="60" customHeight="1" outlineLevel="2" thickTop="1" thickBot="1" x14ac:dyDescent="0.35">
      <c r="B41" s="113"/>
      <c r="C41" s="148"/>
      <c r="D41" s="112"/>
      <c r="E41" s="7" t="s">
        <v>8</v>
      </c>
      <c r="F41" s="6" t="s">
        <v>196</v>
      </c>
      <c r="G41" s="6">
        <v>4</v>
      </c>
      <c r="H41" s="95">
        <f>G41/61</f>
        <v>6.5573770491803282E-2</v>
      </c>
    </row>
    <row r="42" spans="2:8" ht="60" customHeight="1" outlineLevel="2" thickTop="1" thickBot="1" x14ac:dyDescent="0.35">
      <c r="B42" s="113"/>
      <c r="C42" s="148"/>
      <c r="D42" s="112"/>
      <c r="E42" s="7" t="s">
        <v>9</v>
      </c>
      <c r="F42" s="6" t="s">
        <v>197</v>
      </c>
      <c r="G42" s="6">
        <v>2</v>
      </c>
      <c r="H42" s="95">
        <f t="shared" ref="H42:H43" si="1">G42/61</f>
        <v>3.2786885245901641E-2</v>
      </c>
    </row>
    <row r="43" spans="2:8" ht="60" customHeight="1" outlineLevel="2" thickTop="1" thickBot="1" x14ac:dyDescent="0.35">
      <c r="B43" s="113"/>
      <c r="C43" s="115"/>
      <c r="D43" s="112"/>
      <c r="E43" s="5" t="s">
        <v>148</v>
      </c>
      <c r="F43" s="6" t="s">
        <v>197</v>
      </c>
      <c r="G43" s="6">
        <v>1</v>
      </c>
      <c r="H43" s="95">
        <f t="shared" si="1"/>
        <v>1.6393442622950821E-2</v>
      </c>
    </row>
    <row r="44" spans="2:8" ht="31.8" customHeight="1" outlineLevel="1" thickTop="1" thickBot="1" x14ac:dyDescent="0.35">
      <c r="B44" s="174" t="s">
        <v>224</v>
      </c>
      <c r="C44" s="70">
        <f>SUBTOTAL(9,C40:C43)</f>
        <v>61</v>
      </c>
      <c r="D44" s="85"/>
      <c r="E44" s="5"/>
      <c r="F44" s="6"/>
      <c r="G44" s="6">
        <f>SUBTOTAL(9,G40:G43)</f>
        <v>21</v>
      </c>
      <c r="H44" s="95">
        <f>SUBTOTAL(9,H40:H43)</f>
        <v>0.34426229508196721</v>
      </c>
    </row>
    <row r="45" spans="2:8" ht="196.2" customHeight="1" outlineLevel="2" thickTop="1" thickBot="1" x14ac:dyDescent="0.35">
      <c r="B45" s="26" t="s">
        <v>107</v>
      </c>
      <c r="C45" s="27">
        <v>56</v>
      </c>
      <c r="D45" s="28" t="s">
        <v>79</v>
      </c>
      <c r="E45" s="29" t="s">
        <v>18</v>
      </c>
      <c r="F45" s="30" t="s">
        <v>186</v>
      </c>
      <c r="G45" s="30">
        <v>1</v>
      </c>
      <c r="H45" s="101">
        <f>G45/C45</f>
        <v>1.7857142857142856E-2</v>
      </c>
    </row>
    <row r="46" spans="2:8" ht="23.4" customHeight="1" outlineLevel="1" thickTop="1" thickBot="1" x14ac:dyDescent="0.35">
      <c r="B46" s="175" t="s">
        <v>225</v>
      </c>
      <c r="C46" s="75">
        <f>SUBTOTAL(9,C45:C45)</f>
        <v>56</v>
      </c>
      <c r="D46" s="78"/>
      <c r="E46" s="29"/>
      <c r="F46" s="30"/>
      <c r="G46" s="30">
        <f>SUBTOTAL(9,G45:G45)</f>
        <v>1</v>
      </c>
      <c r="H46" s="101">
        <f>SUBTOTAL(9,H45:H45)</f>
        <v>1.7857142857142856E-2</v>
      </c>
    </row>
    <row r="47" spans="2:8" ht="60" customHeight="1" outlineLevel="2" thickTop="1" thickBot="1" x14ac:dyDescent="0.35">
      <c r="B47" s="142" t="s">
        <v>108</v>
      </c>
      <c r="C47" s="142">
        <v>43</v>
      </c>
      <c r="D47" s="145" t="s">
        <v>80</v>
      </c>
      <c r="E47" s="22" t="s">
        <v>13</v>
      </c>
      <c r="F47" s="10" t="s">
        <v>199</v>
      </c>
      <c r="G47" s="10">
        <v>2</v>
      </c>
      <c r="H47" s="96">
        <f>G47/43</f>
        <v>4.6511627906976744E-2</v>
      </c>
    </row>
    <row r="48" spans="2:8" ht="60" customHeight="1" outlineLevel="2" thickTop="1" thickBot="1" x14ac:dyDescent="0.35">
      <c r="B48" s="143"/>
      <c r="C48" s="143"/>
      <c r="D48" s="146"/>
      <c r="E48" s="22" t="s">
        <v>129</v>
      </c>
      <c r="F48" s="10" t="s">
        <v>198</v>
      </c>
      <c r="G48" s="10">
        <v>1</v>
      </c>
      <c r="H48" s="96">
        <f>G48/43</f>
        <v>2.3255813953488372E-2</v>
      </c>
    </row>
    <row r="49" spans="2:8" ht="60" customHeight="1" outlineLevel="2" thickTop="1" thickBot="1" x14ac:dyDescent="0.35">
      <c r="B49" s="144"/>
      <c r="C49" s="144"/>
      <c r="D49" s="147"/>
      <c r="E49" s="9" t="s">
        <v>165</v>
      </c>
      <c r="F49" s="10" t="s">
        <v>196</v>
      </c>
      <c r="G49" s="10">
        <v>1</v>
      </c>
      <c r="H49" s="96">
        <f>G49/43</f>
        <v>2.3255813953488372E-2</v>
      </c>
    </row>
    <row r="50" spans="2:8" ht="26.4" customHeight="1" outlineLevel="1" thickTop="1" thickBot="1" x14ac:dyDescent="0.35">
      <c r="B50" s="176" t="s">
        <v>226</v>
      </c>
      <c r="C50" s="66">
        <f>SUBTOTAL(9,C47:C49)</f>
        <v>43</v>
      </c>
      <c r="D50" s="86"/>
      <c r="E50" s="9"/>
      <c r="F50" s="10"/>
      <c r="G50" s="10">
        <f>SUBTOTAL(9,G47:G49)</f>
        <v>4</v>
      </c>
      <c r="H50" s="96">
        <f>SUBTOTAL(9,H47:H49)</f>
        <v>9.3023255813953487E-2</v>
      </c>
    </row>
    <row r="51" spans="2:8" ht="60" customHeight="1" outlineLevel="2" thickTop="1" thickBot="1" x14ac:dyDescent="0.35">
      <c r="B51" s="165" t="s">
        <v>109</v>
      </c>
      <c r="C51" s="162">
        <v>44</v>
      </c>
      <c r="D51" s="127" t="s">
        <v>81</v>
      </c>
      <c r="E51" s="32" t="s">
        <v>39</v>
      </c>
      <c r="F51" s="33" t="s">
        <v>200</v>
      </c>
      <c r="G51" s="33">
        <v>5</v>
      </c>
      <c r="H51" s="102">
        <f>G51/44</f>
        <v>0.11363636363636363</v>
      </c>
    </row>
    <row r="52" spans="2:8" ht="60" customHeight="1" outlineLevel="2" thickTop="1" thickBot="1" x14ac:dyDescent="0.35">
      <c r="B52" s="165"/>
      <c r="C52" s="163"/>
      <c r="D52" s="127"/>
      <c r="E52" s="32" t="s">
        <v>3</v>
      </c>
      <c r="F52" s="33" t="s">
        <v>201</v>
      </c>
      <c r="G52" s="33">
        <v>3</v>
      </c>
      <c r="H52" s="102">
        <f t="shared" ref="H52:H53" si="2">G52/44</f>
        <v>6.8181818181818177E-2</v>
      </c>
    </row>
    <row r="53" spans="2:8" ht="60" customHeight="1" outlineLevel="2" thickTop="1" thickBot="1" x14ac:dyDescent="0.35">
      <c r="B53" s="165"/>
      <c r="C53" s="164"/>
      <c r="D53" s="127"/>
      <c r="E53" s="34" t="s">
        <v>162</v>
      </c>
      <c r="F53" s="33" t="s">
        <v>202</v>
      </c>
      <c r="G53" s="33">
        <v>1</v>
      </c>
      <c r="H53" s="102">
        <f t="shared" si="2"/>
        <v>2.2727272727272728E-2</v>
      </c>
    </row>
    <row r="54" spans="2:8" ht="27.6" customHeight="1" outlineLevel="1" thickTop="1" thickBot="1" x14ac:dyDescent="0.35">
      <c r="B54" s="177" t="s">
        <v>227</v>
      </c>
      <c r="C54" s="74">
        <f>SUBTOTAL(9,C51:C53)</f>
        <v>44</v>
      </c>
      <c r="D54" s="92"/>
      <c r="E54" s="34"/>
      <c r="F54" s="33"/>
      <c r="G54" s="33">
        <f>SUBTOTAL(9,G51:G53)</f>
        <v>9</v>
      </c>
      <c r="H54" s="102">
        <f>SUBTOTAL(9,H51:H53)</f>
        <v>0.20454545454545456</v>
      </c>
    </row>
    <row r="55" spans="2:8" ht="60" customHeight="1" outlineLevel="2" thickTop="1" thickBot="1" x14ac:dyDescent="0.35">
      <c r="B55" s="140" t="s">
        <v>110</v>
      </c>
      <c r="C55" s="159">
        <v>114</v>
      </c>
      <c r="D55" s="138" t="s">
        <v>82</v>
      </c>
      <c r="E55" s="35" t="s">
        <v>2</v>
      </c>
      <c r="F55" s="36" t="s">
        <v>201</v>
      </c>
      <c r="G55" s="36">
        <v>29</v>
      </c>
      <c r="H55" s="103">
        <f>G55/114</f>
        <v>0.25438596491228072</v>
      </c>
    </row>
    <row r="56" spans="2:8" ht="60" customHeight="1" outlineLevel="2" thickTop="1" thickBot="1" x14ac:dyDescent="0.35">
      <c r="B56" s="141"/>
      <c r="C56" s="160"/>
      <c r="D56" s="139"/>
      <c r="E56" s="35" t="s">
        <v>40</v>
      </c>
      <c r="F56" s="36" t="s">
        <v>203</v>
      </c>
      <c r="G56" s="36">
        <v>5</v>
      </c>
      <c r="H56" s="103">
        <f>G56/114</f>
        <v>4.3859649122807015E-2</v>
      </c>
    </row>
    <row r="57" spans="2:8" ht="60" customHeight="1" outlineLevel="2" thickTop="1" thickBot="1" x14ac:dyDescent="0.35">
      <c r="B57" s="141"/>
      <c r="C57" s="160"/>
      <c r="D57" s="139"/>
      <c r="E57" s="35" t="s">
        <v>36</v>
      </c>
      <c r="F57" s="36" t="s">
        <v>199</v>
      </c>
      <c r="G57" s="36">
        <v>1</v>
      </c>
      <c r="H57" s="103">
        <f>G57/114</f>
        <v>8.771929824561403E-3</v>
      </c>
    </row>
    <row r="58" spans="2:8" ht="60" customHeight="1" outlineLevel="2" thickTop="1" thickBot="1" x14ac:dyDescent="0.35">
      <c r="B58" s="141"/>
      <c r="C58" s="161"/>
      <c r="D58" s="139"/>
      <c r="E58" s="37" t="s">
        <v>161</v>
      </c>
      <c r="F58" s="36" t="s">
        <v>184</v>
      </c>
      <c r="G58" s="36">
        <v>1</v>
      </c>
      <c r="H58" s="103">
        <f>G58/114</f>
        <v>8.771929824561403E-3</v>
      </c>
    </row>
    <row r="59" spans="2:8" ht="27" customHeight="1" outlineLevel="1" thickTop="1" thickBot="1" x14ac:dyDescent="0.35">
      <c r="B59" s="178" t="s">
        <v>228</v>
      </c>
      <c r="C59" s="73">
        <f>SUBTOTAL(9,C55:C58)</f>
        <v>114</v>
      </c>
      <c r="D59" s="83"/>
      <c r="E59" s="37"/>
      <c r="F59" s="36"/>
      <c r="G59" s="36">
        <f>SUBTOTAL(9,G55:G58)</f>
        <v>36</v>
      </c>
      <c r="H59" s="103">
        <f>SUBTOTAL(9,H55:H58)</f>
        <v>0.31578947368421062</v>
      </c>
    </row>
    <row r="60" spans="2:8" ht="60" customHeight="1" outlineLevel="2" thickTop="1" thickBot="1" x14ac:dyDescent="0.35">
      <c r="B60" s="125" t="s">
        <v>111</v>
      </c>
      <c r="C60" s="135">
        <v>84</v>
      </c>
      <c r="D60" s="126" t="s">
        <v>83</v>
      </c>
      <c r="E60" s="23" t="s">
        <v>30</v>
      </c>
      <c r="F60" s="24" t="s">
        <v>200</v>
      </c>
      <c r="G60" s="24">
        <v>29</v>
      </c>
      <c r="H60" s="100">
        <f>G60/84</f>
        <v>0.34523809523809523</v>
      </c>
    </row>
    <row r="61" spans="2:8" ht="60" customHeight="1" outlineLevel="2" thickTop="1" thickBot="1" x14ac:dyDescent="0.35">
      <c r="B61" s="125"/>
      <c r="C61" s="136"/>
      <c r="D61" s="126"/>
      <c r="E61" s="23" t="s">
        <v>32</v>
      </c>
      <c r="F61" s="24" t="s">
        <v>198</v>
      </c>
      <c r="G61" s="24">
        <v>13</v>
      </c>
      <c r="H61" s="100">
        <f>G61/84</f>
        <v>0.15476190476190477</v>
      </c>
    </row>
    <row r="62" spans="2:8" ht="60" customHeight="1" outlineLevel="2" thickTop="1" thickBot="1" x14ac:dyDescent="0.35">
      <c r="B62" s="125"/>
      <c r="C62" s="137"/>
      <c r="D62" s="126"/>
      <c r="E62" s="23" t="s">
        <v>41</v>
      </c>
      <c r="F62" s="24" t="s">
        <v>204</v>
      </c>
      <c r="G62" s="24">
        <v>1</v>
      </c>
      <c r="H62" s="100">
        <f>G62/84</f>
        <v>1.1904761904761904E-2</v>
      </c>
    </row>
    <row r="63" spans="2:8" ht="27.6" customHeight="1" outlineLevel="1" thickTop="1" thickBot="1" x14ac:dyDescent="0.35">
      <c r="B63" s="172" t="s">
        <v>229</v>
      </c>
      <c r="C63" s="72">
        <f>SUBTOTAL(9,C60:C62)</f>
        <v>84</v>
      </c>
      <c r="D63" s="82"/>
      <c r="E63" s="23"/>
      <c r="F63" s="24"/>
      <c r="G63" s="24">
        <f>SUBTOTAL(9,G60:G62)</f>
        <v>43</v>
      </c>
      <c r="H63" s="100">
        <f>SUBTOTAL(9,H60:H62)</f>
        <v>0.51190476190476186</v>
      </c>
    </row>
    <row r="64" spans="2:8" ht="81" customHeight="1" outlineLevel="2" thickTop="1" thickBot="1" x14ac:dyDescent="0.35">
      <c r="B64" s="121" t="s">
        <v>112</v>
      </c>
      <c r="C64" s="157">
        <v>84</v>
      </c>
      <c r="D64" s="123" t="s">
        <v>84</v>
      </c>
      <c r="E64" s="38" t="s">
        <v>33</v>
      </c>
      <c r="F64" s="39" t="s">
        <v>199</v>
      </c>
      <c r="G64" s="39">
        <v>20</v>
      </c>
      <c r="H64" s="104">
        <f>G64/84</f>
        <v>0.23809523809523808</v>
      </c>
    </row>
    <row r="65" spans="2:8" ht="79.8" customHeight="1" outlineLevel="2" thickTop="1" thickBot="1" x14ac:dyDescent="0.35">
      <c r="B65" s="122"/>
      <c r="C65" s="158"/>
      <c r="D65" s="124"/>
      <c r="E65" s="38" t="s">
        <v>31</v>
      </c>
      <c r="F65" s="39" t="s">
        <v>200</v>
      </c>
      <c r="G65" s="39">
        <v>16</v>
      </c>
      <c r="H65" s="104">
        <f>G65/84</f>
        <v>0.19047619047619047</v>
      </c>
    </row>
    <row r="66" spans="2:8" ht="33.6" customHeight="1" outlineLevel="1" thickTop="1" thickBot="1" x14ac:dyDescent="0.35">
      <c r="B66" s="179" t="s">
        <v>230</v>
      </c>
      <c r="C66" s="168">
        <f>SUBTOTAL(9,C64:C65)</f>
        <v>84</v>
      </c>
      <c r="D66" s="91"/>
      <c r="E66" s="38"/>
      <c r="F66" s="39"/>
      <c r="G66" s="39">
        <f>SUBTOTAL(9,G64:G65)</f>
        <v>36</v>
      </c>
      <c r="H66" s="104">
        <f>SUBTOTAL(9,H64:H65)</f>
        <v>0.42857142857142855</v>
      </c>
    </row>
    <row r="67" spans="2:8" ht="60" customHeight="1" outlineLevel="2" thickTop="1" thickBot="1" x14ac:dyDescent="0.35">
      <c r="B67" s="111" t="s">
        <v>113</v>
      </c>
      <c r="C67" s="142">
        <v>227</v>
      </c>
      <c r="D67" s="116" t="s">
        <v>85</v>
      </c>
      <c r="E67" s="9" t="s">
        <v>159</v>
      </c>
      <c r="F67" s="10" t="s">
        <v>202</v>
      </c>
      <c r="G67" s="10">
        <v>24</v>
      </c>
      <c r="H67" s="96">
        <f>G67/227</f>
        <v>0.10572687224669604</v>
      </c>
    </row>
    <row r="68" spans="2:8" ht="60" customHeight="1" outlineLevel="2" thickTop="1" thickBot="1" x14ac:dyDescent="0.35">
      <c r="B68" s="111"/>
      <c r="C68" s="143"/>
      <c r="D68" s="116"/>
      <c r="E68" s="9" t="s">
        <v>158</v>
      </c>
      <c r="F68" s="10" t="s">
        <v>184</v>
      </c>
      <c r="G68" s="10">
        <v>2</v>
      </c>
      <c r="H68" s="96">
        <f>G68/227</f>
        <v>8.8105726872246704E-3</v>
      </c>
    </row>
    <row r="69" spans="2:8" ht="60" customHeight="1" outlineLevel="2" thickTop="1" thickBot="1" x14ac:dyDescent="0.35">
      <c r="B69" s="111"/>
      <c r="C69" s="144"/>
      <c r="D69" s="116"/>
      <c r="E69" s="9" t="s">
        <v>45</v>
      </c>
      <c r="F69" s="10" t="s">
        <v>213</v>
      </c>
      <c r="G69" s="10">
        <v>1</v>
      </c>
      <c r="H69" s="96">
        <f>G69/227</f>
        <v>4.4052863436123352E-3</v>
      </c>
    </row>
    <row r="70" spans="2:8" ht="27.6" customHeight="1" outlineLevel="1" thickTop="1" thickBot="1" x14ac:dyDescent="0.35">
      <c r="B70" s="171" t="s">
        <v>231</v>
      </c>
      <c r="C70" s="67">
        <f>SUBTOTAL(9,C67:C69)</f>
        <v>227</v>
      </c>
      <c r="D70" s="80"/>
      <c r="E70" s="9"/>
      <c r="F70" s="10"/>
      <c r="G70" s="10">
        <f>SUBTOTAL(9,G67:G69)</f>
        <v>27</v>
      </c>
      <c r="H70" s="96">
        <f>SUBTOTAL(9,H67:H69)</f>
        <v>0.11894273127753305</v>
      </c>
    </row>
    <row r="71" spans="2:8" ht="166.2" customHeight="1" outlineLevel="2" thickTop="1" thickBot="1" x14ac:dyDescent="0.35">
      <c r="B71" s="113" t="s">
        <v>114</v>
      </c>
      <c r="C71" s="4">
        <v>136</v>
      </c>
      <c r="D71" s="112" t="s">
        <v>86</v>
      </c>
      <c r="E71" s="5" t="s">
        <v>166</v>
      </c>
      <c r="F71" s="6" t="s">
        <v>195</v>
      </c>
      <c r="G71" s="6">
        <v>1</v>
      </c>
      <c r="H71" s="95">
        <f>G71/136</f>
        <v>7.3529411764705881E-3</v>
      </c>
    </row>
    <row r="72" spans="2:8" ht="40.200000000000003" customHeight="1" outlineLevel="1" thickTop="1" thickBot="1" x14ac:dyDescent="0.35">
      <c r="B72" s="180" t="s">
        <v>232</v>
      </c>
      <c r="C72" s="68">
        <f>SUBTOTAL(9,C71:C71)</f>
        <v>136</v>
      </c>
      <c r="D72" s="87"/>
      <c r="E72" s="5"/>
      <c r="F72" s="6"/>
      <c r="G72" s="6">
        <f>SUBTOTAL(9,G71:G71)</f>
        <v>1</v>
      </c>
      <c r="H72" s="95">
        <f>SUBTOTAL(9,H71:H71)</f>
        <v>7.3529411764705881E-3</v>
      </c>
    </row>
    <row r="73" spans="2:8" ht="60" customHeight="1" outlineLevel="2" thickTop="1" thickBot="1" x14ac:dyDescent="0.35">
      <c r="B73" s="154" t="s">
        <v>115</v>
      </c>
      <c r="C73" s="132">
        <v>162</v>
      </c>
      <c r="D73" s="151" t="s">
        <v>87</v>
      </c>
      <c r="E73" s="29" t="s">
        <v>48</v>
      </c>
      <c r="F73" s="93" t="s">
        <v>213</v>
      </c>
      <c r="G73" s="30">
        <v>2</v>
      </c>
      <c r="H73" s="101">
        <f>G73/162</f>
        <v>1.2345679012345678E-2</v>
      </c>
    </row>
    <row r="74" spans="2:8" ht="60" customHeight="1" outlineLevel="2" thickTop="1" thickBot="1" x14ac:dyDescent="0.35">
      <c r="B74" s="155"/>
      <c r="C74" s="133"/>
      <c r="D74" s="152"/>
      <c r="E74" s="29" t="s">
        <v>37</v>
      </c>
      <c r="F74" s="30" t="s">
        <v>200</v>
      </c>
      <c r="G74" s="30">
        <v>1</v>
      </c>
      <c r="H74" s="101">
        <f>G74/162</f>
        <v>6.1728395061728392E-3</v>
      </c>
    </row>
    <row r="75" spans="2:8" ht="60" customHeight="1" outlineLevel="2" thickTop="1" thickBot="1" x14ac:dyDescent="0.35">
      <c r="B75" s="156"/>
      <c r="C75" s="134"/>
      <c r="D75" s="153"/>
      <c r="E75" s="29" t="s">
        <v>145</v>
      </c>
      <c r="F75" s="30" t="s">
        <v>183</v>
      </c>
      <c r="G75" s="30">
        <v>1</v>
      </c>
      <c r="H75" s="101">
        <f>G75/162</f>
        <v>6.1728395061728392E-3</v>
      </c>
    </row>
    <row r="76" spans="2:8" ht="20.399999999999999" customHeight="1" outlineLevel="1" thickTop="1" thickBot="1" x14ac:dyDescent="0.35">
      <c r="B76" s="181" t="s">
        <v>233</v>
      </c>
      <c r="C76" s="77">
        <f>SUBTOTAL(9,C73:C75)</f>
        <v>162</v>
      </c>
      <c r="D76" s="79"/>
      <c r="E76" s="29"/>
      <c r="F76" s="30"/>
      <c r="G76" s="30">
        <f>SUBTOTAL(9,G73:G75)</f>
        <v>4</v>
      </c>
      <c r="H76" s="101">
        <f>SUBTOTAL(9,H73:H75)</f>
        <v>2.4691358024691357E-2</v>
      </c>
    </row>
    <row r="77" spans="2:8" ht="19.2" customHeight="1" outlineLevel="2" thickTop="1" thickBot="1" x14ac:dyDescent="0.35">
      <c r="B77" s="40" t="s">
        <v>116</v>
      </c>
      <c r="C77" s="40">
        <v>217</v>
      </c>
      <c r="D77" s="41" t="s">
        <v>88</v>
      </c>
      <c r="E77" s="42">
        <v>0</v>
      </c>
      <c r="F77" s="43">
        <v>0</v>
      </c>
      <c r="G77" s="43">
        <v>0</v>
      </c>
      <c r="H77" s="105">
        <v>0</v>
      </c>
    </row>
    <row r="78" spans="2:8" ht="19.2" customHeight="1" outlineLevel="1" thickTop="1" thickBot="1" x14ac:dyDescent="0.35">
      <c r="B78" s="182" t="s">
        <v>234</v>
      </c>
      <c r="C78" s="169">
        <f>SUBTOTAL(9,C77:C77)</f>
        <v>217</v>
      </c>
      <c r="D78" s="41"/>
      <c r="E78" s="42"/>
      <c r="F78" s="43"/>
      <c r="G78" s="43">
        <f>SUBTOTAL(9,G77:G77)</f>
        <v>0</v>
      </c>
      <c r="H78" s="105">
        <f>SUBTOTAL(9,H77:H77)</f>
        <v>0</v>
      </c>
    </row>
    <row r="79" spans="2:8" ht="76.8" customHeight="1" outlineLevel="2" thickTop="1" thickBot="1" x14ac:dyDescent="0.35">
      <c r="B79" s="113" t="s">
        <v>117</v>
      </c>
      <c r="C79" s="114">
        <v>175</v>
      </c>
      <c r="D79" s="112" t="s">
        <v>89</v>
      </c>
      <c r="E79" s="5" t="s">
        <v>42</v>
      </c>
      <c r="F79" s="6" t="s">
        <v>207</v>
      </c>
      <c r="G79" s="6">
        <v>51</v>
      </c>
      <c r="H79" s="95">
        <f>G79/175</f>
        <v>0.29142857142857143</v>
      </c>
    </row>
    <row r="80" spans="2:8" ht="81" customHeight="1" outlineLevel="2" thickTop="1" thickBot="1" x14ac:dyDescent="0.35">
      <c r="B80" s="113"/>
      <c r="C80" s="115"/>
      <c r="D80" s="112"/>
      <c r="E80" s="5" t="s">
        <v>43</v>
      </c>
      <c r="F80" s="6" t="s">
        <v>206</v>
      </c>
      <c r="G80" s="6">
        <v>6</v>
      </c>
      <c r="H80" s="95">
        <f>G80/175</f>
        <v>3.4285714285714287E-2</v>
      </c>
    </row>
    <row r="81" spans="2:8" ht="36" customHeight="1" outlineLevel="1" thickTop="1" thickBot="1" x14ac:dyDescent="0.35">
      <c r="B81" s="174" t="s">
        <v>235</v>
      </c>
      <c r="C81" s="69">
        <f>SUBTOTAL(9,C79:C80)</f>
        <v>175</v>
      </c>
      <c r="D81" s="85"/>
      <c r="E81" s="5"/>
      <c r="F81" s="6"/>
      <c r="G81" s="6">
        <f>SUBTOTAL(9,G79:G80)</f>
        <v>57</v>
      </c>
      <c r="H81" s="95">
        <f>SUBTOTAL(9,H79:H80)</f>
        <v>0.32571428571428573</v>
      </c>
    </row>
    <row r="82" spans="2:8" ht="60" customHeight="1" outlineLevel="2" thickTop="1" thickBot="1" x14ac:dyDescent="0.35">
      <c r="B82" s="111" t="s">
        <v>118</v>
      </c>
      <c r="C82" s="142">
        <v>55</v>
      </c>
      <c r="D82" s="116" t="s">
        <v>90</v>
      </c>
      <c r="E82" s="9" t="s">
        <v>128</v>
      </c>
      <c r="F82" s="10" t="s">
        <v>180</v>
      </c>
      <c r="G82" s="10">
        <v>9</v>
      </c>
      <c r="H82" s="96">
        <f>G82/55</f>
        <v>0.16363636363636364</v>
      </c>
    </row>
    <row r="83" spans="2:8" ht="60" customHeight="1" outlineLevel="2" thickTop="1" thickBot="1" x14ac:dyDescent="0.35">
      <c r="B83" s="111"/>
      <c r="C83" s="143"/>
      <c r="D83" s="116"/>
      <c r="E83" s="9" t="s">
        <v>20</v>
      </c>
      <c r="F83" s="10" t="s">
        <v>208</v>
      </c>
      <c r="G83" s="10">
        <v>3</v>
      </c>
      <c r="H83" s="96">
        <f t="shared" ref="H83:H84" si="3">G83/55</f>
        <v>5.4545454545454543E-2</v>
      </c>
    </row>
    <row r="84" spans="2:8" ht="60" customHeight="1" outlineLevel="2" thickTop="1" thickBot="1" x14ac:dyDescent="0.35">
      <c r="B84" s="111"/>
      <c r="C84" s="144"/>
      <c r="D84" s="116"/>
      <c r="E84" s="9" t="s">
        <v>141</v>
      </c>
      <c r="F84" s="10" t="s">
        <v>200</v>
      </c>
      <c r="G84" s="10">
        <v>1</v>
      </c>
      <c r="H84" s="96">
        <f t="shared" si="3"/>
        <v>1.8181818181818181E-2</v>
      </c>
    </row>
    <row r="85" spans="2:8" ht="35.4" customHeight="1" outlineLevel="1" thickTop="1" thickBot="1" x14ac:dyDescent="0.35">
      <c r="B85" s="171" t="s">
        <v>236</v>
      </c>
      <c r="C85" s="66">
        <f>SUBTOTAL(9,C82:C84)</f>
        <v>55</v>
      </c>
      <c r="D85" s="80"/>
      <c r="E85" s="9"/>
      <c r="F85" s="10"/>
      <c r="G85" s="10">
        <f>SUBTOTAL(9,G82:G84)</f>
        <v>13</v>
      </c>
      <c r="H85" s="96">
        <f>SUBTOTAL(9,H82:H84)</f>
        <v>0.23636363636363636</v>
      </c>
    </row>
    <row r="86" spans="2:8" ht="81" customHeight="1" outlineLevel="2" thickTop="1" thickBot="1" x14ac:dyDescent="0.35">
      <c r="B86" s="113" t="s">
        <v>119</v>
      </c>
      <c r="C86" s="114">
        <v>147</v>
      </c>
      <c r="D86" s="112" t="s">
        <v>91</v>
      </c>
      <c r="E86" s="7" t="s">
        <v>15</v>
      </c>
      <c r="F86" s="6" t="s">
        <v>208</v>
      </c>
      <c r="G86" s="6">
        <v>46</v>
      </c>
      <c r="H86" s="95">
        <f>G86/147</f>
        <v>0.31292517006802723</v>
      </c>
    </row>
    <row r="87" spans="2:8" ht="81" customHeight="1" outlineLevel="2" thickTop="1" thickBot="1" x14ac:dyDescent="0.35">
      <c r="B87" s="113"/>
      <c r="C87" s="115"/>
      <c r="D87" s="112"/>
      <c r="E87" s="5" t="s">
        <v>150</v>
      </c>
      <c r="F87" s="6" t="s">
        <v>205</v>
      </c>
      <c r="G87" s="6">
        <v>1</v>
      </c>
      <c r="H87" s="95">
        <f>G87/147</f>
        <v>6.8027210884353739E-3</v>
      </c>
    </row>
    <row r="88" spans="2:8" ht="29.4" customHeight="1" outlineLevel="1" thickTop="1" thickBot="1" x14ac:dyDescent="0.35">
      <c r="B88" s="174" t="s">
        <v>237</v>
      </c>
      <c r="C88" s="69">
        <f>SUBTOTAL(9,C86:C87)</f>
        <v>147</v>
      </c>
      <c r="D88" s="85"/>
      <c r="E88" s="5"/>
      <c r="F88" s="6"/>
      <c r="G88" s="6">
        <f>SUBTOTAL(9,G86:G87)</f>
        <v>47</v>
      </c>
      <c r="H88" s="95">
        <f>SUBTOTAL(9,H86:H87)</f>
        <v>0.31972789115646261</v>
      </c>
    </row>
    <row r="89" spans="2:8" ht="60" customHeight="1" outlineLevel="2" thickTop="1" thickBot="1" x14ac:dyDescent="0.35">
      <c r="B89" s="125" t="s">
        <v>120</v>
      </c>
      <c r="C89" s="135">
        <v>143</v>
      </c>
      <c r="D89" s="126" t="s">
        <v>92</v>
      </c>
      <c r="E89" s="23" t="s">
        <v>38</v>
      </c>
      <c r="F89" s="24" t="s">
        <v>180</v>
      </c>
      <c r="G89" s="24">
        <v>33</v>
      </c>
      <c r="H89" s="100">
        <f>G89/143</f>
        <v>0.23076923076923078</v>
      </c>
    </row>
    <row r="90" spans="2:8" ht="60" customHeight="1" outlineLevel="2" thickTop="1" thickBot="1" x14ac:dyDescent="0.35">
      <c r="B90" s="125"/>
      <c r="C90" s="136"/>
      <c r="D90" s="126"/>
      <c r="E90" s="23" t="s">
        <v>130</v>
      </c>
      <c r="F90" s="24" t="s">
        <v>210</v>
      </c>
      <c r="G90" s="24">
        <v>21</v>
      </c>
      <c r="H90" s="100">
        <f>G90/143</f>
        <v>0.14685314685314685</v>
      </c>
    </row>
    <row r="91" spans="2:8" ht="60" customHeight="1" outlineLevel="2" thickTop="1" thickBot="1" x14ac:dyDescent="0.35">
      <c r="B91" s="125"/>
      <c r="C91" s="136"/>
      <c r="D91" s="126"/>
      <c r="E91" s="25" t="s">
        <v>44</v>
      </c>
      <c r="F91" s="24" t="s">
        <v>208</v>
      </c>
      <c r="G91" s="24">
        <v>6</v>
      </c>
      <c r="H91" s="100">
        <f>G91/143</f>
        <v>4.195804195804196E-2</v>
      </c>
    </row>
    <row r="92" spans="2:8" ht="60" customHeight="1" outlineLevel="2" thickTop="1" thickBot="1" x14ac:dyDescent="0.35">
      <c r="B92" s="125"/>
      <c r="C92" s="137"/>
      <c r="D92" s="126"/>
      <c r="E92" s="25" t="s">
        <v>23</v>
      </c>
      <c r="F92" s="24" t="s">
        <v>209</v>
      </c>
      <c r="G92" s="24">
        <v>2</v>
      </c>
      <c r="H92" s="100">
        <f>G92/143</f>
        <v>1.3986013986013986E-2</v>
      </c>
    </row>
    <row r="93" spans="2:8" ht="27.6" customHeight="1" outlineLevel="1" thickTop="1" thickBot="1" x14ac:dyDescent="0.35">
      <c r="B93" s="172" t="s">
        <v>238</v>
      </c>
      <c r="C93" s="72">
        <f>SUBTOTAL(9,C89:C92)</f>
        <v>143</v>
      </c>
      <c r="D93" s="82"/>
      <c r="E93" s="25"/>
      <c r="F93" s="24"/>
      <c r="G93" s="24">
        <f>SUBTOTAL(9,G89:G92)</f>
        <v>62</v>
      </c>
      <c r="H93" s="100">
        <f>SUBTOTAL(9,H89:H92)</f>
        <v>0.4335664335664336</v>
      </c>
    </row>
    <row r="94" spans="2:8" ht="60" customHeight="1" outlineLevel="2" thickTop="1" thickBot="1" x14ac:dyDescent="0.35">
      <c r="B94" s="128" t="s">
        <v>121</v>
      </c>
      <c r="C94" s="132">
        <v>32</v>
      </c>
      <c r="D94" s="129" t="s">
        <v>93</v>
      </c>
      <c r="E94" s="44" t="s">
        <v>132</v>
      </c>
      <c r="F94" s="30" t="s">
        <v>209</v>
      </c>
      <c r="G94" s="30">
        <v>13</v>
      </c>
      <c r="H94" s="101">
        <f>G94/32</f>
        <v>0.40625</v>
      </c>
    </row>
    <row r="95" spans="2:8" ht="60" customHeight="1" outlineLevel="2" thickTop="1" thickBot="1" x14ac:dyDescent="0.35">
      <c r="B95" s="128"/>
      <c r="C95" s="133"/>
      <c r="D95" s="129"/>
      <c r="E95" s="44" t="s">
        <v>19</v>
      </c>
      <c r="F95" s="30" t="s">
        <v>190</v>
      </c>
      <c r="G95" s="30">
        <v>7</v>
      </c>
      <c r="H95" s="101">
        <f>G95/32</f>
        <v>0.21875</v>
      </c>
    </row>
    <row r="96" spans="2:8" ht="60" customHeight="1" outlineLevel="2" thickTop="1" thickBot="1" x14ac:dyDescent="0.35">
      <c r="B96" s="128"/>
      <c r="C96" s="134"/>
      <c r="D96" s="129"/>
      <c r="E96" s="44" t="s">
        <v>22</v>
      </c>
      <c r="F96" s="30" t="s">
        <v>180</v>
      </c>
      <c r="G96" s="30">
        <v>2</v>
      </c>
      <c r="H96" s="101">
        <f>G96/32</f>
        <v>6.25E-2</v>
      </c>
    </row>
    <row r="97" spans="2:8" ht="34.200000000000003" customHeight="1" outlineLevel="1" thickTop="1" thickBot="1" x14ac:dyDescent="0.35">
      <c r="B97" s="175" t="s">
        <v>239</v>
      </c>
      <c r="C97" s="76">
        <f>SUBTOTAL(9,C94:C96)</f>
        <v>32</v>
      </c>
      <c r="D97" s="170"/>
      <c r="E97" s="44"/>
      <c r="F97" s="30"/>
      <c r="G97" s="30">
        <f>SUBTOTAL(9,G94:G96)</f>
        <v>22</v>
      </c>
      <c r="H97" s="101">
        <f>SUBTOTAL(9,H94:H96)</f>
        <v>0.6875</v>
      </c>
    </row>
    <row r="98" spans="2:8" ht="60" customHeight="1" outlineLevel="2" thickTop="1" thickBot="1" x14ac:dyDescent="0.35">
      <c r="B98" s="114" t="s">
        <v>122</v>
      </c>
      <c r="C98" s="114">
        <v>97</v>
      </c>
      <c r="D98" s="130" t="s">
        <v>94</v>
      </c>
      <c r="E98" s="5" t="s">
        <v>169</v>
      </c>
      <c r="F98" s="6" t="s">
        <v>211</v>
      </c>
      <c r="G98" s="6">
        <v>6</v>
      </c>
      <c r="H98" s="95">
        <f>G98/97</f>
        <v>6.1855670103092786E-2</v>
      </c>
    </row>
    <row r="99" spans="2:8" ht="114.6" customHeight="1" outlineLevel="2" thickTop="1" thickBot="1" x14ac:dyDescent="0.35">
      <c r="B99" s="115"/>
      <c r="C99" s="115"/>
      <c r="D99" s="131"/>
      <c r="E99" s="5" t="s">
        <v>142</v>
      </c>
      <c r="F99" s="6" t="s">
        <v>197</v>
      </c>
      <c r="G99" s="6">
        <v>1</v>
      </c>
      <c r="H99" s="95">
        <f>G99/97</f>
        <v>1.0309278350515464E-2</v>
      </c>
    </row>
    <row r="100" spans="2:8" ht="34.799999999999997" customHeight="1" outlineLevel="1" thickTop="1" thickBot="1" x14ac:dyDescent="0.35">
      <c r="B100" s="183" t="s">
        <v>240</v>
      </c>
      <c r="C100" s="70">
        <f>SUBTOTAL(9,C98:C99)</f>
        <v>97</v>
      </c>
      <c r="D100" s="88"/>
      <c r="E100" s="5"/>
      <c r="F100" s="6"/>
      <c r="G100" s="6">
        <f>SUBTOTAL(9,G98:G99)</f>
        <v>7</v>
      </c>
      <c r="H100" s="95">
        <f>SUBTOTAL(9,H98:H99)</f>
        <v>7.2164948453608255E-2</v>
      </c>
    </row>
    <row r="101" spans="2:8" ht="147" customHeight="1" outlineLevel="2" thickTop="1" thickBot="1" x14ac:dyDescent="0.35">
      <c r="B101" s="8" t="s">
        <v>123</v>
      </c>
      <c r="C101" s="8">
        <v>105</v>
      </c>
      <c r="D101" s="31" t="s">
        <v>95</v>
      </c>
      <c r="E101" s="19" t="s">
        <v>170</v>
      </c>
      <c r="F101" s="10" t="s">
        <v>212</v>
      </c>
      <c r="G101" s="10">
        <v>2</v>
      </c>
      <c r="H101" s="96">
        <f>G101/105</f>
        <v>1.9047619047619049E-2</v>
      </c>
    </row>
    <row r="102" spans="2:8" ht="24.6" customHeight="1" outlineLevel="1" thickTop="1" thickBot="1" x14ac:dyDescent="0.35">
      <c r="B102" s="171" t="s">
        <v>241</v>
      </c>
      <c r="C102" s="81">
        <f>SUBTOTAL(9,C101:C101)</f>
        <v>105</v>
      </c>
      <c r="D102" s="80"/>
      <c r="E102" s="19"/>
      <c r="F102" s="10"/>
      <c r="G102" s="10">
        <f>SUBTOTAL(9,G101:G101)</f>
        <v>2</v>
      </c>
      <c r="H102" s="96">
        <f>SUBTOTAL(9,H101:H101)</f>
        <v>1.9047619047619049E-2</v>
      </c>
    </row>
    <row r="103" spans="2:8" ht="15" thickTop="1" x14ac:dyDescent="0.3"/>
  </sheetData>
  <sortState ref="E72:H73">
    <sortCondition descending="1" ref="G72:G73"/>
  </sortState>
  <mergeCells count="67">
    <mergeCell ref="C55:C58"/>
    <mergeCell ref="C51:C53"/>
    <mergeCell ref="B51:B53"/>
    <mergeCell ref="D33"/>
    <mergeCell ref="B33"/>
    <mergeCell ref="D35:D38"/>
    <mergeCell ref="B35:B38"/>
    <mergeCell ref="D16:D17"/>
    <mergeCell ref="B16:B17"/>
    <mergeCell ref="B22:B23"/>
    <mergeCell ref="D22:D23"/>
    <mergeCell ref="C35:C38"/>
    <mergeCell ref="C27:C29"/>
    <mergeCell ref="C22:C23"/>
    <mergeCell ref="C16:C17"/>
    <mergeCell ref="C19:C20"/>
    <mergeCell ref="B40:B43"/>
    <mergeCell ref="D40:D43"/>
    <mergeCell ref="C47:C49"/>
    <mergeCell ref="D47:D49"/>
    <mergeCell ref="B47:B49"/>
    <mergeCell ref="C40:C43"/>
    <mergeCell ref="B98:B99"/>
    <mergeCell ref="C98:C99"/>
    <mergeCell ref="D98:D99"/>
    <mergeCell ref="C94:C96"/>
    <mergeCell ref="C89:C92"/>
    <mergeCell ref="D51:D53"/>
    <mergeCell ref="B89:B92"/>
    <mergeCell ref="D89:D92"/>
    <mergeCell ref="B94:B96"/>
    <mergeCell ref="D94:D96"/>
    <mergeCell ref="D55:D58"/>
    <mergeCell ref="B55:B58"/>
    <mergeCell ref="C82:C84"/>
    <mergeCell ref="C79:C80"/>
    <mergeCell ref="C73:C75"/>
    <mergeCell ref="D73:D75"/>
    <mergeCell ref="C67:C69"/>
    <mergeCell ref="D82:D84"/>
    <mergeCell ref="B73:B75"/>
    <mergeCell ref="C64:C65"/>
    <mergeCell ref="C60:C62"/>
    <mergeCell ref="D2:D6"/>
    <mergeCell ref="B2:B6"/>
    <mergeCell ref="D8:D14"/>
    <mergeCell ref="B8:B14"/>
    <mergeCell ref="D19:D20"/>
    <mergeCell ref="B19:B20"/>
    <mergeCell ref="C8:C14"/>
    <mergeCell ref="C2:C6"/>
    <mergeCell ref="B82:B84"/>
    <mergeCell ref="D86:D87"/>
    <mergeCell ref="B86:B87"/>
    <mergeCell ref="D27:D29"/>
    <mergeCell ref="B27:B29"/>
    <mergeCell ref="B79:B80"/>
    <mergeCell ref="D79:D80"/>
    <mergeCell ref="C86:C87"/>
    <mergeCell ref="B64:B65"/>
    <mergeCell ref="D64:D65"/>
    <mergeCell ref="D67:D69"/>
    <mergeCell ref="B67:B69"/>
    <mergeCell ref="D71"/>
    <mergeCell ref="B71"/>
    <mergeCell ref="B60:B62"/>
    <mergeCell ref="D60:D62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66"/>
  <sheetViews>
    <sheetView workbookViewId="0">
      <selection activeCell="B11" sqref="B11"/>
    </sheetView>
  </sheetViews>
  <sheetFormatPr defaultRowHeight="15.6" thickTop="1" thickBottom="1" x14ac:dyDescent="0.35"/>
  <cols>
    <col min="2" max="2" width="7.109375" style="52" customWidth="1"/>
    <col min="3" max="3" width="48.77734375" style="52" customWidth="1"/>
    <col min="4" max="4" width="8.88671875" style="46"/>
    <col min="5" max="5" width="8.88671875" style="106"/>
  </cols>
  <sheetData>
    <row r="1" spans="2:5" ht="64.2" thickTop="1" thickBot="1" x14ac:dyDescent="0.35">
      <c r="B1" s="2" t="s">
        <v>171</v>
      </c>
      <c r="C1" s="2" t="s">
        <v>172</v>
      </c>
      <c r="D1" s="2" t="s">
        <v>173</v>
      </c>
      <c r="E1" s="107" t="s">
        <v>214</v>
      </c>
    </row>
    <row r="2" spans="2:5" ht="32.4" thickTop="1" thickBot="1" x14ac:dyDescent="0.35">
      <c r="B2" s="45">
        <v>87</v>
      </c>
      <c r="C2" s="45" t="s">
        <v>26</v>
      </c>
      <c r="D2" s="46">
        <v>32</v>
      </c>
      <c r="E2" s="109">
        <f>D2/B2</f>
        <v>0.36781609195402298</v>
      </c>
    </row>
    <row r="3" spans="2:5" ht="32.4" thickTop="1" thickBot="1" x14ac:dyDescent="0.35">
      <c r="B3" s="166">
        <v>263</v>
      </c>
      <c r="C3" s="47" t="s">
        <v>137</v>
      </c>
      <c r="D3" s="46">
        <v>1</v>
      </c>
      <c r="E3" s="109">
        <f>D3/263</f>
        <v>3.8022813688212928E-3</v>
      </c>
    </row>
    <row r="4" spans="2:5" ht="31.2" thickTop="1" thickBot="1" x14ac:dyDescent="0.35">
      <c r="B4" s="166"/>
      <c r="C4" s="48" t="s">
        <v>35</v>
      </c>
      <c r="D4" s="46">
        <v>2</v>
      </c>
      <c r="E4" s="109">
        <f t="shared" ref="E4:E8" si="0">D4/263</f>
        <v>7.6045627376425855E-3</v>
      </c>
    </row>
    <row r="5" spans="2:5" ht="31.2" thickTop="1" thickBot="1" x14ac:dyDescent="0.35">
      <c r="B5" s="166"/>
      <c r="C5" s="49" t="s">
        <v>34</v>
      </c>
      <c r="D5" s="46">
        <v>4</v>
      </c>
      <c r="E5" s="109">
        <f t="shared" si="0"/>
        <v>1.5209125475285171E-2</v>
      </c>
    </row>
    <row r="6" spans="2:5" ht="31.2" thickTop="1" thickBot="1" x14ac:dyDescent="0.35">
      <c r="B6" s="166"/>
      <c r="C6" s="49" t="s">
        <v>11</v>
      </c>
      <c r="D6" s="46">
        <v>9</v>
      </c>
      <c r="E6" s="109">
        <f t="shared" si="0"/>
        <v>3.4220532319391636E-2</v>
      </c>
    </row>
    <row r="7" spans="2:5" ht="31.2" thickTop="1" thickBot="1" x14ac:dyDescent="0.35">
      <c r="B7" s="166"/>
      <c r="C7" s="49" t="s">
        <v>10</v>
      </c>
      <c r="D7" s="46">
        <v>29</v>
      </c>
      <c r="E7" s="109">
        <f t="shared" si="0"/>
        <v>0.11026615969581749</v>
      </c>
    </row>
    <row r="8" spans="2:5" ht="31.2" thickTop="1" thickBot="1" x14ac:dyDescent="0.35">
      <c r="B8" s="166"/>
      <c r="C8" s="49" t="s">
        <v>12</v>
      </c>
      <c r="D8" s="46">
        <v>13</v>
      </c>
      <c r="E8" s="109">
        <f t="shared" si="0"/>
        <v>4.9429657794676805E-2</v>
      </c>
    </row>
    <row r="9" spans="2:5" ht="16.8" thickTop="1" thickBot="1" x14ac:dyDescent="0.35">
      <c r="B9" s="45">
        <v>439</v>
      </c>
      <c r="C9" s="45" t="s">
        <v>51</v>
      </c>
      <c r="D9" s="46">
        <v>13</v>
      </c>
      <c r="E9" s="109">
        <f>D9/439</f>
        <v>2.9612756264236904E-2</v>
      </c>
    </row>
    <row r="10" spans="2:5" ht="16.8" thickTop="1" thickBot="1" x14ac:dyDescent="0.35">
      <c r="B10" s="45"/>
      <c r="C10" s="45" t="s">
        <v>27</v>
      </c>
      <c r="D10" s="46">
        <v>10</v>
      </c>
      <c r="E10" s="109"/>
    </row>
    <row r="11" spans="2:5" ht="32.4" thickTop="1" thickBot="1" x14ac:dyDescent="0.35">
      <c r="B11" s="47"/>
      <c r="C11" s="47" t="s">
        <v>46</v>
      </c>
      <c r="D11" s="46">
        <v>7</v>
      </c>
      <c r="E11" s="109"/>
    </row>
    <row r="12" spans="2:5" ht="16.2" thickTop="1" thickBot="1" x14ac:dyDescent="0.35">
      <c r="B12" s="51"/>
      <c r="C12" s="51" t="s">
        <v>138</v>
      </c>
      <c r="D12" s="46">
        <v>6</v>
      </c>
      <c r="E12" s="109"/>
    </row>
    <row r="13" spans="2:5" ht="31.2" thickTop="1" thickBot="1" x14ac:dyDescent="0.35">
      <c r="B13" s="49"/>
      <c r="C13" s="49" t="s">
        <v>50</v>
      </c>
      <c r="D13" s="46">
        <v>6</v>
      </c>
      <c r="E13" s="109"/>
    </row>
    <row r="14" spans="2:5" ht="16.2" thickTop="1" thickBot="1" x14ac:dyDescent="0.35">
      <c r="B14" s="48"/>
      <c r="C14" s="48" t="s">
        <v>0</v>
      </c>
      <c r="D14" s="46">
        <v>5</v>
      </c>
      <c r="E14" s="109"/>
    </row>
    <row r="15" spans="2:5" ht="32.4" thickTop="1" thickBot="1" x14ac:dyDescent="0.35">
      <c r="B15" s="47"/>
      <c r="C15" s="47" t="s">
        <v>147</v>
      </c>
      <c r="D15" s="46">
        <v>2</v>
      </c>
      <c r="E15" s="109"/>
    </row>
    <row r="16" spans="2:5" ht="16.2" thickTop="1" thickBot="1" x14ac:dyDescent="0.35">
      <c r="B16" s="50"/>
      <c r="C16" s="50" t="s">
        <v>1</v>
      </c>
      <c r="D16" s="46">
        <v>1</v>
      </c>
      <c r="E16" s="109"/>
    </row>
    <row r="17" spans="2:5" ht="16.8" thickTop="1" thickBot="1" x14ac:dyDescent="0.35">
      <c r="B17" s="47"/>
      <c r="C17" s="47" t="s">
        <v>52</v>
      </c>
      <c r="D17" s="46">
        <v>1</v>
      </c>
      <c r="E17" s="109"/>
    </row>
    <row r="18" spans="2:5" ht="32.4" thickTop="1" thickBot="1" x14ac:dyDescent="0.35">
      <c r="B18" s="47"/>
      <c r="C18" s="47" t="s">
        <v>143</v>
      </c>
      <c r="D18" s="46">
        <v>1</v>
      </c>
      <c r="E18" s="109"/>
    </row>
    <row r="19" spans="2:5" ht="32.4" thickTop="1" thickBot="1" x14ac:dyDescent="0.35">
      <c r="B19" s="47"/>
      <c r="C19" s="47" t="s">
        <v>144</v>
      </c>
      <c r="D19" s="46">
        <v>1</v>
      </c>
      <c r="E19" s="109"/>
    </row>
    <row r="20" spans="2:5" ht="32.4" thickTop="1" thickBot="1" x14ac:dyDescent="0.35">
      <c r="B20" s="47"/>
      <c r="C20" s="47" t="s">
        <v>47</v>
      </c>
      <c r="D20" s="46">
        <v>1</v>
      </c>
      <c r="E20" s="109"/>
    </row>
    <row r="21" spans="2:5" ht="32.4" thickTop="1" thickBot="1" x14ac:dyDescent="0.35">
      <c r="B21" s="47"/>
      <c r="C21" s="47" t="s">
        <v>151</v>
      </c>
      <c r="D21" s="46">
        <v>1</v>
      </c>
      <c r="E21" s="109"/>
    </row>
    <row r="22" spans="2:5" ht="32.4" thickTop="1" thickBot="1" x14ac:dyDescent="0.35">
      <c r="B22" s="47"/>
      <c r="C22" s="47" t="s">
        <v>152</v>
      </c>
      <c r="D22" s="46">
        <v>1</v>
      </c>
      <c r="E22" s="109"/>
    </row>
    <row r="23" spans="2:5" ht="32.4" thickTop="1" thickBot="1" x14ac:dyDescent="0.35">
      <c r="B23" s="47"/>
      <c r="C23" s="47" t="s">
        <v>49</v>
      </c>
      <c r="D23" s="46">
        <v>1</v>
      </c>
      <c r="E23" s="109"/>
    </row>
    <row r="24" spans="2:5" ht="16.2" thickTop="1" thickBot="1" x14ac:dyDescent="0.35">
      <c r="B24" s="53"/>
      <c r="C24" s="53"/>
      <c r="D24" s="54">
        <f>SUM(D1:D23)</f>
        <v>147</v>
      </c>
      <c r="E24" s="109"/>
    </row>
    <row r="25" spans="2:5" ht="15" thickTop="1" x14ac:dyDescent="0.3">
      <c r="B25" s="57"/>
      <c r="C25" s="57"/>
      <c r="D25" s="58"/>
      <c r="E25" s="108"/>
    </row>
    <row r="26" spans="2:5" ht="14.4" x14ac:dyDescent="0.3">
      <c r="B26" s="57"/>
      <c r="C26" s="57"/>
      <c r="D26" s="58"/>
      <c r="E26" s="108"/>
    </row>
    <row r="27" spans="2:5" ht="14.4" x14ac:dyDescent="0.3">
      <c r="B27" s="57"/>
      <c r="C27" s="57"/>
      <c r="D27" s="58"/>
      <c r="E27" s="108"/>
    </row>
    <row r="28" spans="2:5" ht="14.4" x14ac:dyDescent="0.3">
      <c r="B28" s="57"/>
      <c r="C28" s="57"/>
      <c r="D28" s="58"/>
      <c r="E28" s="108"/>
    </row>
    <row r="29" spans="2:5" ht="14.4" x14ac:dyDescent="0.3">
      <c r="B29" s="57"/>
      <c r="C29" s="57"/>
      <c r="D29" s="58"/>
      <c r="E29" s="108"/>
    </row>
    <row r="30" spans="2:5" ht="14.4" x14ac:dyDescent="0.3">
      <c r="B30" s="57"/>
      <c r="C30" s="57"/>
      <c r="D30" s="58"/>
      <c r="E30" s="108"/>
    </row>
    <row r="31" spans="2:5" ht="14.4" x14ac:dyDescent="0.3">
      <c r="B31" s="57"/>
      <c r="C31" s="57"/>
      <c r="D31" s="58"/>
      <c r="E31" s="108"/>
    </row>
    <row r="32" spans="2:5" ht="14.4" x14ac:dyDescent="0.3">
      <c r="B32" s="57"/>
      <c r="C32" s="57"/>
      <c r="D32" s="58"/>
      <c r="E32" s="108"/>
    </row>
    <row r="33" spans="2:5" ht="14.4" x14ac:dyDescent="0.3">
      <c r="B33" s="57"/>
      <c r="C33" s="57"/>
      <c r="D33" s="58"/>
      <c r="E33" s="108"/>
    </row>
    <row r="34" spans="2:5" ht="14.4" x14ac:dyDescent="0.3">
      <c r="B34" s="57"/>
      <c r="C34" s="57"/>
      <c r="D34" s="58"/>
      <c r="E34" s="108"/>
    </row>
    <row r="35" spans="2:5" ht="14.4" x14ac:dyDescent="0.3">
      <c r="B35" s="57"/>
      <c r="C35" s="57"/>
      <c r="D35" s="58"/>
      <c r="E35" s="108"/>
    </row>
    <row r="36" spans="2:5" ht="14.4" x14ac:dyDescent="0.3">
      <c r="B36" s="57"/>
      <c r="C36" s="57"/>
      <c r="D36" s="58"/>
      <c r="E36" s="108"/>
    </row>
    <row r="37" spans="2:5" ht="14.4" x14ac:dyDescent="0.3">
      <c r="B37" s="57"/>
      <c r="C37" s="57"/>
      <c r="D37" s="58"/>
      <c r="E37" s="108"/>
    </row>
    <row r="38" spans="2:5" ht="14.4" x14ac:dyDescent="0.3">
      <c r="B38" s="57"/>
      <c r="C38" s="57"/>
      <c r="D38" s="58"/>
      <c r="E38" s="108"/>
    </row>
    <row r="39" spans="2:5" ht="14.4" x14ac:dyDescent="0.3">
      <c r="B39" s="57"/>
      <c r="C39" s="57"/>
      <c r="D39" s="58"/>
      <c r="E39" s="108"/>
    </row>
    <row r="40" spans="2:5" ht="14.4" x14ac:dyDescent="0.3">
      <c r="B40" s="57"/>
      <c r="C40" s="57"/>
      <c r="D40" s="58"/>
      <c r="E40" s="108"/>
    </row>
    <row r="41" spans="2:5" ht="14.4" x14ac:dyDescent="0.3">
      <c r="B41" s="57"/>
      <c r="C41" s="57"/>
      <c r="D41" s="58"/>
      <c r="E41" s="108"/>
    </row>
    <row r="42" spans="2:5" ht="14.4" x14ac:dyDescent="0.3">
      <c r="B42" s="57"/>
      <c r="C42" s="57"/>
      <c r="D42" s="58"/>
      <c r="E42" s="108"/>
    </row>
    <row r="43" spans="2:5" ht="14.4" x14ac:dyDescent="0.3">
      <c r="B43" s="57"/>
      <c r="C43" s="57"/>
      <c r="D43" s="58"/>
      <c r="E43" s="108"/>
    </row>
    <row r="44" spans="2:5" ht="14.4" x14ac:dyDescent="0.3">
      <c r="B44" s="57"/>
      <c r="C44" s="57"/>
      <c r="D44" s="58"/>
      <c r="E44" s="108"/>
    </row>
    <row r="45" spans="2:5" ht="14.4" x14ac:dyDescent="0.3">
      <c r="B45" s="57"/>
      <c r="C45" s="57"/>
      <c r="D45" s="58"/>
      <c r="E45" s="108"/>
    </row>
    <row r="46" spans="2:5" ht="14.4" x14ac:dyDescent="0.3">
      <c r="B46" s="57"/>
      <c r="C46" s="57"/>
      <c r="D46" s="58"/>
      <c r="E46" s="108"/>
    </row>
    <row r="47" spans="2:5" ht="14.4" x14ac:dyDescent="0.3">
      <c r="B47" s="57"/>
      <c r="C47" s="57"/>
      <c r="D47" s="58"/>
      <c r="E47" s="108"/>
    </row>
    <row r="48" spans="2:5" ht="14.4" x14ac:dyDescent="0.3">
      <c r="B48" s="57"/>
      <c r="C48" s="57"/>
      <c r="D48" s="58"/>
      <c r="E48" s="108"/>
    </row>
    <row r="49" spans="2:5" ht="14.4" x14ac:dyDescent="0.3">
      <c r="B49" s="57"/>
      <c r="C49" s="57"/>
      <c r="D49" s="58"/>
      <c r="E49" s="108"/>
    </row>
    <row r="50" spans="2:5" ht="14.4" x14ac:dyDescent="0.3">
      <c r="B50" s="57"/>
      <c r="C50" s="57"/>
      <c r="D50" s="58"/>
      <c r="E50" s="108"/>
    </row>
    <row r="51" spans="2:5" ht="14.4" x14ac:dyDescent="0.3">
      <c r="B51" s="57"/>
      <c r="C51" s="57"/>
      <c r="D51" s="58"/>
      <c r="E51" s="108"/>
    </row>
    <row r="52" spans="2:5" ht="14.4" x14ac:dyDescent="0.3">
      <c r="B52" s="57"/>
      <c r="C52" s="57"/>
      <c r="D52" s="58"/>
      <c r="E52" s="108"/>
    </row>
    <row r="53" spans="2:5" ht="14.4" x14ac:dyDescent="0.3">
      <c r="B53" s="57"/>
      <c r="C53" s="57"/>
      <c r="D53" s="58"/>
      <c r="E53" s="108"/>
    </row>
    <row r="54" spans="2:5" ht="14.4" x14ac:dyDescent="0.3">
      <c r="B54" s="57"/>
      <c r="C54" s="57"/>
      <c r="D54" s="58"/>
      <c r="E54" s="108"/>
    </row>
    <row r="55" spans="2:5" ht="14.4" x14ac:dyDescent="0.3">
      <c r="B55" s="57"/>
      <c r="C55" s="57"/>
      <c r="D55" s="58"/>
      <c r="E55" s="108"/>
    </row>
    <row r="56" spans="2:5" ht="14.4" x14ac:dyDescent="0.3">
      <c r="B56" s="57"/>
      <c r="C56" s="57"/>
      <c r="D56" s="58"/>
      <c r="E56" s="108"/>
    </row>
    <row r="57" spans="2:5" ht="14.4" x14ac:dyDescent="0.3">
      <c r="B57" s="57"/>
      <c r="C57" s="57"/>
      <c r="D57" s="58"/>
      <c r="E57" s="108"/>
    </row>
    <row r="58" spans="2:5" ht="14.4" x14ac:dyDescent="0.3">
      <c r="B58" s="57"/>
      <c r="C58" s="57"/>
      <c r="D58" s="58"/>
      <c r="E58" s="108"/>
    </row>
    <row r="59" spans="2:5" ht="14.4" x14ac:dyDescent="0.3">
      <c r="B59" s="57"/>
      <c r="C59" s="57"/>
      <c r="D59" s="58"/>
      <c r="E59" s="108"/>
    </row>
    <row r="60" spans="2:5" ht="14.4" x14ac:dyDescent="0.3">
      <c r="B60" s="57"/>
      <c r="C60" s="57"/>
      <c r="D60" s="58"/>
      <c r="E60" s="108"/>
    </row>
    <row r="61" spans="2:5" ht="14.4" x14ac:dyDescent="0.3">
      <c r="B61" s="57"/>
      <c r="C61" s="57"/>
      <c r="D61" s="58"/>
      <c r="E61" s="108"/>
    </row>
    <row r="62" spans="2:5" ht="14.4" x14ac:dyDescent="0.3">
      <c r="B62" s="57"/>
      <c r="C62" s="57"/>
      <c r="D62" s="58"/>
      <c r="E62" s="108"/>
    </row>
    <row r="63" spans="2:5" ht="14.4" x14ac:dyDescent="0.3">
      <c r="B63" s="57"/>
      <c r="C63" s="57"/>
      <c r="D63" s="58"/>
      <c r="E63" s="108"/>
    </row>
    <row r="64" spans="2:5" ht="14.4" x14ac:dyDescent="0.3">
      <c r="B64" s="57"/>
      <c r="C64" s="57"/>
      <c r="D64" s="58"/>
      <c r="E64" s="108"/>
    </row>
    <row r="65" spans="2:5" ht="14.4" x14ac:dyDescent="0.3">
      <c r="B65" s="57"/>
      <c r="C65" s="57"/>
      <c r="D65" s="58"/>
      <c r="E65" s="108"/>
    </row>
    <row r="66" spans="2:5" ht="14.4" x14ac:dyDescent="0.3">
      <c r="B66" s="57"/>
      <c r="C66" s="57"/>
      <c r="D66" s="58"/>
      <c r="E66" s="108"/>
    </row>
    <row r="67" spans="2:5" ht="14.4" x14ac:dyDescent="0.3">
      <c r="B67" s="57"/>
      <c r="C67" s="57"/>
      <c r="D67" s="58"/>
      <c r="E67" s="108"/>
    </row>
    <row r="68" spans="2:5" ht="14.4" x14ac:dyDescent="0.3">
      <c r="B68" s="57"/>
      <c r="C68" s="57"/>
      <c r="D68" s="58"/>
      <c r="E68" s="108"/>
    </row>
    <row r="69" spans="2:5" ht="14.4" x14ac:dyDescent="0.3">
      <c r="B69" s="57"/>
      <c r="C69" s="57"/>
      <c r="D69" s="58"/>
      <c r="E69" s="108"/>
    </row>
    <row r="70" spans="2:5" ht="14.4" x14ac:dyDescent="0.3">
      <c r="B70" s="57"/>
      <c r="C70" s="57"/>
      <c r="D70" s="58"/>
      <c r="E70" s="108"/>
    </row>
    <row r="71" spans="2:5" ht="14.4" x14ac:dyDescent="0.3">
      <c r="B71" s="57"/>
      <c r="C71" s="57"/>
      <c r="D71" s="58"/>
      <c r="E71" s="108"/>
    </row>
    <row r="72" spans="2:5" ht="14.4" x14ac:dyDescent="0.3">
      <c r="B72" s="57"/>
      <c r="C72" s="57"/>
      <c r="D72" s="58"/>
      <c r="E72" s="108"/>
    </row>
    <row r="73" spans="2:5" ht="14.4" x14ac:dyDescent="0.3">
      <c r="B73" s="57"/>
      <c r="C73" s="57"/>
      <c r="D73" s="58"/>
      <c r="E73" s="108"/>
    </row>
    <row r="74" spans="2:5" ht="14.4" x14ac:dyDescent="0.3">
      <c r="B74" s="57"/>
      <c r="C74" s="57"/>
      <c r="D74" s="58"/>
      <c r="E74" s="108"/>
    </row>
    <row r="75" spans="2:5" ht="14.4" x14ac:dyDescent="0.3">
      <c r="B75" s="57"/>
      <c r="C75" s="57"/>
      <c r="D75" s="58"/>
      <c r="E75" s="108"/>
    </row>
    <row r="76" spans="2:5" ht="14.4" x14ac:dyDescent="0.3">
      <c r="B76" s="57"/>
      <c r="C76" s="57"/>
      <c r="D76" s="58"/>
      <c r="E76" s="108"/>
    </row>
    <row r="77" spans="2:5" ht="14.4" x14ac:dyDescent="0.3">
      <c r="B77" s="57"/>
      <c r="C77" s="57"/>
      <c r="D77" s="58"/>
      <c r="E77" s="108"/>
    </row>
    <row r="78" spans="2:5" ht="14.4" x14ac:dyDescent="0.3">
      <c r="B78" s="57"/>
      <c r="C78" s="57"/>
      <c r="D78" s="58"/>
      <c r="E78" s="108"/>
    </row>
    <row r="79" spans="2:5" ht="14.4" x14ac:dyDescent="0.3">
      <c r="B79" s="57"/>
      <c r="C79" s="57"/>
      <c r="D79" s="58"/>
      <c r="E79" s="108"/>
    </row>
    <row r="80" spans="2:5" ht="14.4" x14ac:dyDescent="0.3">
      <c r="B80" s="57"/>
      <c r="C80" s="57"/>
      <c r="D80" s="58"/>
      <c r="E80" s="108"/>
    </row>
    <row r="81" spans="2:5" ht="14.4" x14ac:dyDescent="0.3">
      <c r="B81" s="57"/>
      <c r="C81" s="57"/>
      <c r="D81" s="58"/>
      <c r="E81" s="108"/>
    </row>
    <row r="82" spans="2:5" ht="14.4" x14ac:dyDescent="0.3">
      <c r="B82" s="57"/>
      <c r="C82" s="57"/>
      <c r="D82" s="58"/>
      <c r="E82" s="108"/>
    </row>
    <row r="83" spans="2:5" ht="14.4" x14ac:dyDescent="0.3">
      <c r="B83" s="57"/>
      <c r="C83" s="57"/>
      <c r="D83" s="58"/>
      <c r="E83" s="108"/>
    </row>
    <row r="84" spans="2:5" ht="14.4" x14ac:dyDescent="0.3">
      <c r="B84" s="57"/>
      <c r="C84" s="57"/>
      <c r="D84" s="58"/>
      <c r="E84" s="108"/>
    </row>
    <row r="85" spans="2:5" ht="14.4" x14ac:dyDescent="0.3">
      <c r="B85" s="57"/>
      <c r="C85" s="57"/>
      <c r="D85" s="58"/>
      <c r="E85" s="108"/>
    </row>
    <row r="86" spans="2:5" ht="14.4" x14ac:dyDescent="0.3">
      <c r="B86" s="57"/>
      <c r="C86" s="57"/>
      <c r="D86" s="58"/>
      <c r="E86" s="108"/>
    </row>
    <row r="87" spans="2:5" ht="14.4" x14ac:dyDescent="0.3">
      <c r="B87" s="57"/>
      <c r="C87" s="57"/>
      <c r="D87" s="58"/>
      <c r="E87" s="108"/>
    </row>
    <row r="88" spans="2:5" ht="14.4" x14ac:dyDescent="0.3">
      <c r="B88" s="57"/>
      <c r="C88" s="57"/>
      <c r="D88" s="58"/>
      <c r="E88" s="108"/>
    </row>
    <row r="89" spans="2:5" ht="14.4" x14ac:dyDescent="0.3">
      <c r="B89" s="57"/>
      <c r="C89" s="57"/>
      <c r="D89" s="58"/>
      <c r="E89" s="108"/>
    </row>
    <row r="90" spans="2:5" ht="14.4" x14ac:dyDescent="0.3">
      <c r="B90" s="57"/>
      <c r="C90" s="57"/>
      <c r="D90" s="58"/>
      <c r="E90" s="108"/>
    </row>
    <row r="91" spans="2:5" ht="14.4" x14ac:dyDescent="0.3">
      <c r="B91" s="57"/>
      <c r="C91" s="57"/>
      <c r="D91" s="58"/>
      <c r="E91" s="108"/>
    </row>
    <row r="92" spans="2:5" ht="14.4" x14ac:dyDescent="0.3">
      <c r="B92" s="57"/>
      <c r="C92" s="57"/>
      <c r="D92" s="58"/>
      <c r="E92" s="108"/>
    </row>
    <row r="93" spans="2:5" ht="14.4" x14ac:dyDescent="0.3">
      <c r="B93" s="57"/>
      <c r="C93" s="57"/>
      <c r="D93" s="58"/>
      <c r="E93" s="108"/>
    </row>
    <row r="94" spans="2:5" ht="14.4" x14ac:dyDescent="0.3">
      <c r="B94" s="57"/>
      <c r="C94" s="57"/>
      <c r="D94" s="58"/>
      <c r="E94" s="108"/>
    </row>
    <row r="95" spans="2:5" ht="14.4" x14ac:dyDescent="0.3">
      <c r="B95" s="57"/>
      <c r="C95" s="57"/>
      <c r="D95" s="58"/>
      <c r="E95" s="108"/>
    </row>
    <row r="96" spans="2:5" ht="14.4" x14ac:dyDescent="0.3">
      <c r="B96" s="57"/>
      <c r="C96" s="57"/>
      <c r="D96" s="58"/>
      <c r="E96" s="108"/>
    </row>
    <row r="97" spans="2:5" ht="14.4" x14ac:dyDescent="0.3">
      <c r="B97" s="57"/>
      <c r="C97" s="57"/>
      <c r="D97" s="58"/>
      <c r="E97" s="108"/>
    </row>
    <row r="98" spans="2:5" ht="14.4" x14ac:dyDescent="0.3">
      <c r="B98" s="57"/>
      <c r="C98" s="57"/>
      <c r="D98" s="58"/>
      <c r="E98" s="108"/>
    </row>
    <row r="99" spans="2:5" ht="14.4" x14ac:dyDescent="0.3">
      <c r="B99" s="57"/>
      <c r="C99" s="57"/>
      <c r="D99" s="58"/>
      <c r="E99" s="108"/>
    </row>
    <row r="100" spans="2:5" ht="14.4" x14ac:dyDescent="0.3">
      <c r="B100" s="57"/>
      <c r="C100" s="57"/>
      <c r="D100" s="58"/>
      <c r="E100" s="108"/>
    </row>
    <row r="101" spans="2:5" ht="14.4" x14ac:dyDescent="0.3">
      <c r="B101" s="57"/>
      <c r="C101" s="57"/>
      <c r="D101" s="58"/>
      <c r="E101" s="108"/>
    </row>
    <row r="102" spans="2:5" ht="14.4" x14ac:dyDescent="0.3">
      <c r="B102" s="57"/>
      <c r="C102" s="57"/>
      <c r="D102" s="58"/>
      <c r="E102" s="108"/>
    </row>
    <row r="103" spans="2:5" ht="14.4" x14ac:dyDescent="0.3">
      <c r="B103" s="57"/>
      <c r="C103" s="57"/>
      <c r="D103" s="58"/>
      <c r="E103" s="108"/>
    </row>
    <row r="104" spans="2:5" ht="14.4" x14ac:dyDescent="0.3">
      <c r="B104" s="57"/>
      <c r="C104" s="57"/>
      <c r="D104" s="58"/>
      <c r="E104" s="108"/>
    </row>
    <row r="105" spans="2:5" ht="14.4" x14ac:dyDescent="0.3">
      <c r="B105" s="57"/>
      <c r="C105" s="57"/>
      <c r="D105" s="58"/>
      <c r="E105" s="108"/>
    </row>
    <row r="106" spans="2:5" ht="14.4" x14ac:dyDescent="0.3">
      <c r="B106" s="57"/>
      <c r="C106" s="57"/>
      <c r="D106" s="58"/>
      <c r="E106" s="108"/>
    </row>
    <row r="107" spans="2:5" ht="14.4" x14ac:dyDescent="0.3">
      <c r="B107" s="57"/>
      <c r="C107" s="57"/>
      <c r="D107" s="58"/>
      <c r="E107" s="108"/>
    </row>
    <row r="108" spans="2:5" ht="14.4" x14ac:dyDescent="0.3">
      <c r="B108" s="57"/>
      <c r="C108" s="57"/>
      <c r="D108" s="58"/>
      <c r="E108" s="108"/>
    </row>
    <row r="109" spans="2:5" ht="14.4" x14ac:dyDescent="0.3">
      <c r="B109" s="57"/>
      <c r="C109" s="57"/>
      <c r="D109" s="58"/>
      <c r="E109" s="108"/>
    </row>
    <row r="110" spans="2:5" ht="14.4" x14ac:dyDescent="0.3">
      <c r="B110" s="57"/>
      <c r="C110" s="57"/>
      <c r="D110" s="58"/>
      <c r="E110" s="108"/>
    </row>
    <row r="111" spans="2:5" ht="14.4" x14ac:dyDescent="0.3">
      <c r="B111" s="57"/>
      <c r="C111" s="57"/>
      <c r="D111" s="58"/>
      <c r="E111" s="108"/>
    </row>
    <row r="112" spans="2:5" ht="14.4" x14ac:dyDescent="0.3">
      <c r="B112" s="57"/>
      <c r="C112" s="57"/>
      <c r="D112" s="58"/>
      <c r="E112" s="108"/>
    </row>
    <row r="113" spans="2:5" ht="14.4" x14ac:dyDescent="0.3">
      <c r="B113" s="57"/>
      <c r="C113" s="57"/>
      <c r="D113" s="58"/>
      <c r="E113" s="108"/>
    </row>
    <row r="114" spans="2:5" ht="14.4" x14ac:dyDescent="0.3">
      <c r="B114" s="57"/>
      <c r="C114" s="57"/>
      <c r="D114" s="58"/>
      <c r="E114" s="108"/>
    </row>
    <row r="115" spans="2:5" ht="14.4" x14ac:dyDescent="0.3">
      <c r="B115" s="57"/>
      <c r="C115" s="57"/>
      <c r="D115" s="58"/>
      <c r="E115" s="108"/>
    </row>
    <row r="116" spans="2:5" ht="14.4" x14ac:dyDescent="0.3">
      <c r="B116" s="57"/>
      <c r="C116" s="57"/>
      <c r="D116" s="58"/>
      <c r="E116" s="108"/>
    </row>
    <row r="117" spans="2:5" ht="14.4" x14ac:dyDescent="0.3">
      <c r="B117" s="57"/>
      <c r="C117" s="57"/>
      <c r="D117" s="58"/>
      <c r="E117" s="108"/>
    </row>
    <row r="118" spans="2:5" ht="14.4" x14ac:dyDescent="0.3">
      <c r="B118" s="57"/>
      <c r="C118" s="57"/>
      <c r="D118" s="58"/>
      <c r="E118" s="108"/>
    </row>
    <row r="119" spans="2:5" ht="14.4" x14ac:dyDescent="0.3">
      <c r="B119" s="57"/>
      <c r="C119" s="57"/>
      <c r="D119" s="58"/>
      <c r="E119" s="108"/>
    </row>
    <row r="120" spans="2:5" ht="14.4" x14ac:dyDescent="0.3">
      <c r="B120" s="57"/>
      <c r="C120" s="57"/>
      <c r="D120" s="58"/>
      <c r="E120" s="108"/>
    </row>
    <row r="121" spans="2:5" ht="14.4" x14ac:dyDescent="0.3">
      <c r="B121" s="57"/>
      <c r="C121" s="57"/>
      <c r="D121" s="58"/>
      <c r="E121" s="108"/>
    </row>
    <row r="122" spans="2:5" ht="14.4" x14ac:dyDescent="0.3">
      <c r="B122" s="57"/>
      <c r="C122" s="57"/>
      <c r="D122" s="58"/>
      <c r="E122" s="108"/>
    </row>
    <row r="123" spans="2:5" ht="14.4" x14ac:dyDescent="0.3">
      <c r="B123" s="57"/>
      <c r="C123" s="57"/>
      <c r="D123" s="58"/>
      <c r="E123" s="108"/>
    </row>
    <row r="124" spans="2:5" ht="14.4" x14ac:dyDescent="0.3">
      <c r="B124" s="57"/>
      <c r="C124" s="57"/>
      <c r="D124" s="58"/>
      <c r="E124" s="108"/>
    </row>
    <row r="125" spans="2:5" ht="14.4" x14ac:dyDescent="0.3">
      <c r="B125" s="57"/>
      <c r="C125" s="57"/>
      <c r="D125" s="58"/>
      <c r="E125" s="108"/>
    </row>
    <row r="126" spans="2:5" ht="14.4" x14ac:dyDescent="0.3">
      <c r="B126" s="57"/>
      <c r="C126" s="57"/>
      <c r="D126" s="58"/>
      <c r="E126" s="108"/>
    </row>
    <row r="127" spans="2:5" ht="14.4" x14ac:dyDescent="0.3">
      <c r="B127" s="57"/>
      <c r="C127" s="57"/>
      <c r="D127" s="58"/>
      <c r="E127" s="108"/>
    </row>
    <row r="128" spans="2:5" ht="14.4" x14ac:dyDescent="0.3">
      <c r="B128" s="57"/>
      <c r="C128" s="57"/>
      <c r="D128" s="58"/>
      <c r="E128" s="108"/>
    </row>
    <row r="129" spans="2:5" ht="14.4" x14ac:dyDescent="0.3">
      <c r="B129" s="57"/>
      <c r="C129" s="57"/>
      <c r="D129" s="58"/>
      <c r="E129" s="108"/>
    </row>
    <row r="130" spans="2:5" ht="14.4" x14ac:dyDescent="0.3">
      <c r="B130" s="57"/>
      <c r="C130" s="57"/>
      <c r="D130" s="58"/>
      <c r="E130" s="108"/>
    </row>
    <row r="131" spans="2:5" ht="14.4" x14ac:dyDescent="0.3">
      <c r="B131" s="57"/>
      <c r="C131" s="57"/>
      <c r="D131" s="58"/>
      <c r="E131" s="108"/>
    </row>
    <row r="132" spans="2:5" ht="14.4" x14ac:dyDescent="0.3">
      <c r="B132" s="57"/>
      <c r="C132" s="57"/>
      <c r="D132" s="58"/>
      <c r="E132" s="108"/>
    </row>
    <row r="133" spans="2:5" ht="14.4" x14ac:dyDescent="0.3">
      <c r="B133" s="57"/>
      <c r="C133" s="57"/>
      <c r="D133" s="58"/>
      <c r="E133" s="108"/>
    </row>
    <row r="134" spans="2:5" ht="14.4" x14ac:dyDescent="0.3">
      <c r="B134" s="57"/>
      <c r="C134" s="57"/>
      <c r="D134" s="58"/>
      <c r="E134" s="108"/>
    </row>
    <row r="135" spans="2:5" ht="14.4" x14ac:dyDescent="0.3">
      <c r="B135" s="57"/>
      <c r="C135" s="57"/>
      <c r="D135" s="58"/>
      <c r="E135" s="108"/>
    </row>
    <row r="136" spans="2:5" ht="14.4" x14ac:dyDescent="0.3">
      <c r="B136" s="57"/>
      <c r="C136" s="57"/>
      <c r="D136" s="58"/>
      <c r="E136" s="108"/>
    </row>
    <row r="137" spans="2:5" ht="14.4" x14ac:dyDescent="0.3">
      <c r="B137" s="57"/>
      <c r="C137" s="57"/>
      <c r="D137" s="58"/>
      <c r="E137" s="108"/>
    </row>
    <row r="138" spans="2:5" ht="14.4" x14ac:dyDescent="0.3">
      <c r="B138" s="57"/>
      <c r="C138" s="57"/>
      <c r="D138" s="58"/>
      <c r="E138" s="108"/>
    </row>
    <row r="139" spans="2:5" ht="14.4" x14ac:dyDescent="0.3">
      <c r="B139" s="57"/>
      <c r="C139" s="57"/>
      <c r="D139" s="58"/>
      <c r="E139" s="108"/>
    </row>
    <row r="140" spans="2:5" ht="14.4" x14ac:dyDescent="0.3">
      <c r="B140" s="57"/>
      <c r="C140" s="57"/>
      <c r="D140" s="58"/>
      <c r="E140" s="108"/>
    </row>
    <row r="141" spans="2:5" ht="14.4" x14ac:dyDescent="0.3">
      <c r="B141" s="57"/>
      <c r="C141" s="57"/>
      <c r="D141" s="58"/>
      <c r="E141" s="108"/>
    </row>
    <row r="142" spans="2:5" ht="14.4" x14ac:dyDescent="0.3">
      <c r="B142" s="57"/>
      <c r="C142" s="57"/>
      <c r="D142" s="58"/>
      <c r="E142" s="108"/>
    </row>
    <row r="143" spans="2:5" ht="14.4" x14ac:dyDescent="0.3">
      <c r="B143" s="57"/>
      <c r="C143" s="57"/>
      <c r="D143" s="58"/>
      <c r="E143" s="108"/>
    </row>
    <row r="144" spans="2:5" ht="14.4" x14ac:dyDescent="0.3">
      <c r="B144" s="57"/>
      <c r="C144" s="57"/>
      <c r="D144" s="58"/>
      <c r="E144" s="108"/>
    </row>
    <row r="145" spans="2:5" ht="14.4" x14ac:dyDescent="0.3">
      <c r="B145" s="57"/>
      <c r="C145" s="57"/>
      <c r="D145" s="58"/>
      <c r="E145" s="108"/>
    </row>
    <row r="146" spans="2:5" ht="14.4" x14ac:dyDescent="0.3">
      <c r="B146" s="57"/>
      <c r="C146" s="57"/>
      <c r="D146" s="58"/>
      <c r="E146" s="108"/>
    </row>
    <row r="147" spans="2:5" ht="14.4" x14ac:dyDescent="0.3">
      <c r="B147" s="57"/>
      <c r="C147" s="57"/>
      <c r="D147" s="58"/>
      <c r="E147" s="108"/>
    </row>
    <row r="148" spans="2:5" ht="14.4" x14ac:dyDescent="0.3">
      <c r="B148" s="57"/>
      <c r="C148" s="57"/>
      <c r="D148" s="58"/>
      <c r="E148" s="108"/>
    </row>
    <row r="149" spans="2:5" ht="14.4" x14ac:dyDescent="0.3">
      <c r="B149" s="57"/>
      <c r="C149" s="57"/>
      <c r="D149" s="58"/>
      <c r="E149" s="108"/>
    </row>
    <row r="150" spans="2:5" ht="14.4" x14ac:dyDescent="0.3">
      <c r="B150" s="57"/>
      <c r="C150" s="57"/>
      <c r="D150" s="58"/>
      <c r="E150" s="108"/>
    </row>
    <row r="151" spans="2:5" ht="14.4" x14ac:dyDescent="0.3">
      <c r="B151" s="57"/>
      <c r="C151" s="57"/>
      <c r="D151" s="58"/>
      <c r="E151" s="108"/>
    </row>
    <row r="152" spans="2:5" ht="14.4" x14ac:dyDescent="0.3">
      <c r="B152" s="57"/>
      <c r="C152" s="57"/>
      <c r="D152" s="58"/>
      <c r="E152" s="108"/>
    </row>
    <row r="153" spans="2:5" ht="14.4" x14ac:dyDescent="0.3">
      <c r="B153" s="57"/>
      <c r="C153" s="57"/>
      <c r="D153" s="58"/>
      <c r="E153" s="108"/>
    </row>
    <row r="154" spans="2:5" ht="14.4" x14ac:dyDescent="0.3">
      <c r="B154" s="57"/>
      <c r="C154" s="57"/>
      <c r="D154" s="58"/>
      <c r="E154" s="108"/>
    </row>
    <row r="155" spans="2:5" ht="14.4" x14ac:dyDescent="0.3">
      <c r="B155" s="57"/>
      <c r="C155" s="57"/>
      <c r="D155" s="58"/>
      <c r="E155" s="108"/>
    </row>
    <row r="156" spans="2:5" ht="14.4" x14ac:dyDescent="0.3">
      <c r="B156" s="57"/>
      <c r="C156" s="57"/>
      <c r="D156" s="58"/>
      <c r="E156" s="108"/>
    </row>
    <row r="157" spans="2:5" ht="14.4" x14ac:dyDescent="0.3">
      <c r="B157" s="57"/>
      <c r="C157" s="57"/>
      <c r="D157" s="58"/>
      <c r="E157" s="108"/>
    </row>
    <row r="158" spans="2:5" ht="14.4" x14ac:dyDescent="0.3">
      <c r="B158" s="57"/>
      <c r="C158" s="57"/>
      <c r="D158" s="58"/>
      <c r="E158" s="108"/>
    </row>
    <row r="159" spans="2:5" ht="14.4" x14ac:dyDescent="0.3">
      <c r="B159" s="57"/>
      <c r="C159" s="57"/>
      <c r="D159" s="58"/>
      <c r="E159" s="108"/>
    </row>
    <row r="160" spans="2:5" ht="14.4" x14ac:dyDescent="0.3">
      <c r="B160" s="57"/>
      <c r="C160" s="57"/>
      <c r="D160" s="58"/>
      <c r="E160" s="108"/>
    </row>
    <row r="161" spans="2:5" ht="14.4" x14ac:dyDescent="0.3">
      <c r="B161" s="57"/>
      <c r="C161" s="57"/>
      <c r="D161" s="58"/>
      <c r="E161" s="108"/>
    </row>
    <row r="162" spans="2:5" ht="14.4" x14ac:dyDescent="0.3">
      <c r="B162" s="57"/>
      <c r="C162" s="57"/>
      <c r="D162" s="58"/>
      <c r="E162" s="108"/>
    </row>
    <row r="163" spans="2:5" ht="14.4" x14ac:dyDescent="0.3">
      <c r="B163" s="57"/>
      <c r="C163" s="57"/>
      <c r="D163" s="58"/>
      <c r="E163" s="108"/>
    </row>
    <row r="164" spans="2:5" ht="14.4" x14ac:dyDescent="0.3">
      <c r="B164" s="57"/>
      <c r="C164" s="57"/>
      <c r="D164" s="58"/>
      <c r="E164" s="108"/>
    </row>
    <row r="165" spans="2:5" ht="14.4" x14ac:dyDescent="0.3">
      <c r="B165" s="57"/>
      <c r="C165" s="57"/>
      <c r="D165" s="58"/>
      <c r="E165" s="108"/>
    </row>
    <row r="166" spans="2:5" ht="15" thickBot="1" x14ac:dyDescent="0.35">
      <c r="B166" s="55"/>
      <c r="C166" s="55"/>
      <c r="D166" s="56"/>
    </row>
  </sheetData>
  <sortState ref="B9:D24">
    <sortCondition descending="1" ref="D9:D24"/>
  </sortState>
  <mergeCells count="1">
    <mergeCell ref="B3:B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6"/>
  <sheetViews>
    <sheetView topLeftCell="C1" workbookViewId="0">
      <selection activeCell="C28" sqref="C28"/>
    </sheetView>
  </sheetViews>
  <sheetFormatPr defaultRowHeight="15" customHeight="1" x14ac:dyDescent="0.3"/>
  <cols>
    <col min="3" max="3" width="42.5546875" customWidth="1"/>
    <col min="5" max="5" width="12.109375" customWidth="1"/>
  </cols>
  <sheetData>
    <row r="1" spans="2:5" ht="15" customHeight="1" thickTop="1" thickBot="1" x14ac:dyDescent="0.35">
      <c r="B1" s="2" t="s">
        <v>171</v>
      </c>
      <c r="C1" s="2" t="s">
        <v>176</v>
      </c>
      <c r="D1" s="2" t="s">
        <v>173</v>
      </c>
      <c r="E1" s="110" t="s">
        <v>214</v>
      </c>
    </row>
    <row r="2" spans="2:5" ht="15" customHeight="1" thickTop="1" thickBot="1" x14ac:dyDescent="0.35">
      <c r="B2" s="46">
        <v>36</v>
      </c>
      <c r="C2" s="47" t="s">
        <v>55</v>
      </c>
      <c r="D2" s="61">
        <v>15</v>
      </c>
      <c r="E2" s="109">
        <f>D2/B2</f>
        <v>0.41666666666666669</v>
      </c>
    </row>
    <row r="3" spans="2:5" ht="15" customHeight="1" thickTop="1" thickBot="1" x14ac:dyDescent="0.35">
      <c r="B3" s="46"/>
      <c r="C3" s="47" t="s">
        <v>60</v>
      </c>
      <c r="D3" s="60">
        <v>15</v>
      </c>
      <c r="E3" s="109"/>
    </row>
    <row r="4" spans="2:5" ht="15" customHeight="1" thickTop="1" thickBot="1" x14ac:dyDescent="0.35">
      <c r="B4" s="46"/>
      <c r="C4" s="48" t="s">
        <v>69</v>
      </c>
      <c r="D4" s="61">
        <v>11</v>
      </c>
      <c r="E4" s="109"/>
    </row>
    <row r="5" spans="2:5" ht="15" customHeight="1" thickTop="1" thickBot="1" x14ac:dyDescent="0.35">
      <c r="B5" s="46"/>
      <c r="C5" s="48" t="s">
        <v>153</v>
      </c>
      <c r="D5" s="61">
        <v>8</v>
      </c>
      <c r="E5" s="109"/>
    </row>
    <row r="6" spans="2:5" ht="15" customHeight="1" thickTop="1" thickBot="1" x14ac:dyDescent="0.35">
      <c r="B6" s="46"/>
      <c r="C6" s="47" t="s">
        <v>63</v>
      </c>
      <c r="D6" s="60">
        <v>6</v>
      </c>
      <c r="E6" s="109"/>
    </row>
    <row r="7" spans="2:5" ht="15" customHeight="1" thickTop="1" thickBot="1" x14ac:dyDescent="0.35">
      <c r="B7" s="46">
        <v>149</v>
      </c>
      <c r="C7" s="47" t="s">
        <v>53</v>
      </c>
      <c r="D7" s="59">
        <v>5</v>
      </c>
      <c r="E7" s="109">
        <f>D7/B7</f>
        <v>3.3557046979865772E-2</v>
      </c>
    </row>
    <row r="8" spans="2:5" ht="15" customHeight="1" thickTop="1" thickBot="1" x14ac:dyDescent="0.35">
      <c r="B8" s="46">
        <v>27</v>
      </c>
      <c r="C8" s="47" t="s">
        <v>54</v>
      </c>
      <c r="D8" s="60">
        <v>5</v>
      </c>
      <c r="E8" s="109">
        <f>D8/B8</f>
        <v>0.18518518518518517</v>
      </c>
    </row>
    <row r="9" spans="2:5" ht="15" customHeight="1" thickTop="1" thickBot="1" x14ac:dyDescent="0.35">
      <c r="B9" s="46"/>
      <c r="C9" s="47" t="s">
        <v>56</v>
      </c>
      <c r="D9" s="61">
        <v>3</v>
      </c>
      <c r="E9" s="109"/>
    </row>
    <row r="10" spans="2:5" ht="15" customHeight="1" thickTop="1" thickBot="1" x14ac:dyDescent="0.35">
      <c r="B10" s="46"/>
      <c r="C10" s="47" t="s">
        <v>64</v>
      </c>
      <c r="D10" s="60">
        <v>2</v>
      </c>
      <c r="E10" s="109"/>
    </row>
    <row r="11" spans="2:5" ht="15" customHeight="1" thickTop="1" thickBot="1" x14ac:dyDescent="0.35">
      <c r="B11" s="46"/>
      <c r="C11" s="47" t="s">
        <v>65</v>
      </c>
      <c r="D11" s="61">
        <v>2</v>
      </c>
      <c r="E11" s="109"/>
    </row>
    <row r="12" spans="2:5" ht="15" customHeight="1" thickTop="1" thickBot="1" x14ac:dyDescent="0.35">
      <c r="B12" s="46"/>
      <c r="C12" s="48" t="s">
        <v>155</v>
      </c>
      <c r="D12" s="60">
        <v>2</v>
      </c>
      <c r="E12" s="109"/>
    </row>
    <row r="13" spans="2:5" ht="15" customHeight="1" thickTop="1" thickBot="1" x14ac:dyDescent="0.35">
      <c r="B13" s="46"/>
      <c r="C13" s="47" t="s">
        <v>57</v>
      </c>
      <c r="D13" s="60">
        <v>1</v>
      </c>
      <c r="E13" s="109"/>
    </row>
    <row r="14" spans="2:5" ht="15" customHeight="1" thickTop="1" thickBot="1" x14ac:dyDescent="0.35">
      <c r="B14" s="46"/>
      <c r="C14" s="47" t="s">
        <v>58</v>
      </c>
      <c r="D14" s="60">
        <v>1</v>
      </c>
      <c r="E14" s="109"/>
    </row>
    <row r="15" spans="2:5" ht="15" customHeight="1" thickTop="1" thickBot="1" x14ac:dyDescent="0.35">
      <c r="B15" s="46"/>
      <c r="C15" s="47" t="s">
        <v>59</v>
      </c>
      <c r="D15" s="60">
        <v>1</v>
      </c>
      <c r="E15" s="109"/>
    </row>
    <row r="16" spans="2:5" ht="15" customHeight="1" thickTop="1" thickBot="1" x14ac:dyDescent="0.35">
      <c r="B16" s="46"/>
      <c r="C16" s="47" t="s">
        <v>66</v>
      </c>
      <c r="D16" s="60">
        <v>1</v>
      </c>
      <c r="E16" s="109"/>
    </row>
    <row r="17" spans="2:5" ht="15" customHeight="1" thickTop="1" thickBot="1" x14ac:dyDescent="0.35">
      <c r="B17" s="46"/>
      <c r="C17" s="47" t="s">
        <v>67</v>
      </c>
      <c r="D17" s="60">
        <v>1</v>
      </c>
      <c r="E17" s="109"/>
    </row>
    <row r="18" spans="2:5" ht="15" customHeight="1" thickTop="1" thickBot="1" x14ac:dyDescent="0.35">
      <c r="B18" s="46"/>
      <c r="C18" s="47" t="s">
        <v>68</v>
      </c>
      <c r="D18" s="61">
        <v>1</v>
      </c>
      <c r="E18" s="109"/>
    </row>
    <row r="19" spans="2:5" ht="15" customHeight="1" thickTop="1" thickBot="1" x14ac:dyDescent="0.35">
      <c r="B19" s="46"/>
      <c r="C19" s="48" t="s">
        <v>62</v>
      </c>
      <c r="D19" s="61">
        <v>1</v>
      </c>
      <c r="E19" s="109"/>
    </row>
    <row r="20" spans="2:5" ht="15" customHeight="1" thickTop="1" thickBot="1" x14ac:dyDescent="0.35">
      <c r="B20" s="46"/>
      <c r="C20" s="48" t="s">
        <v>154</v>
      </c>
      <c r="D20" s="61">
        <v>1</v>
      </c>
      <c r="E20" s="109"/>
    </row>
    <row r="21" spans="2:5" ht="15" customHeight="1" thickTop="1" thickBot="1" x14ac:dyDescent="0.35">
      <c r="B21" s="46"/>
      <c r="C21" s="48" t="s">
        <v>156</v>
      </c>
      <c r="D21" s="61">
        <v>1</v>
      </c>
      <c r="E21" s="109"/>
    </row>
    <row r="22" spans="2:5" ht="15" customHeight="1" thickTop="1" thickBot="1" x14ac:dyDescent="0.35">
      <c r="B22" s="46"/>
      <c r="C22" s="48" t="s">
        <v>61</v>
      </c>
      <c r="D22" s="61">
        <v>1</v>
      </c>
      <c r="E22" s="109"/>
    </row>
    <row r="23" spans="2:5" ht="15" customHeight="1" thickTop="1" thickBot="1" x14ac:dyDescent="0.35">
      <c r="B23" s="46"/>
      <c r="C23" s="52"/>
      <c r="D23" s="46"/>
      <c r="E23" s="109"/>
    </row>
    <row r="24" spans="2:5" ht="15" customHeight="1" thickTop="1" x14ac:dyDescent="0.3">
      <c r="C24" s="1"/>
    </row>
    <row r="25" spans="2:5" ht="15" customHeight="1" x14ac:dyDescent="0.3">
      <c r="C25" s="1"/>
    </row>
    <row r="26" spans="2:5" ht="15" customHeight="1" x14ac:dyDescent="0.3">
      <c r="C26" s="1"/>
    </row>
  </sheetData>
  <sortState ref="B2:D23">
    <sortCondition descending="1" ref="D2:D2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Sheet4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2025-05-10T11:02:56Z</dcterms:modified>
</cp:coreProperties>
</file>