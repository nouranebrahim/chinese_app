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nada_done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4" i="1" l="1"/>
  <c r="G64" i="1"/>
  <c r="C64" i="1"/>
  <c r="H62" i="1"/>
  <c r="G62" i="1"/>
  <c r="C62" i="1"/>
  <c r="G60" i="1"/>
  <c r="C60" i="1"/>
  <c r="G57" i="1"/>
  <c r="C57" i="1"/>
  <c r="G51" i="1"/>
  <c r="C51" i="1"/>
  <c r="G46" i="1"/>
  <c r="C46" i="1"/>
  <c r="G44" i="1"/>
  <c r="C44" i="1"/>
  <c r="G40" i="1"/>
  <c r="C40" i="1"/>
  <c r="G38" i="1"/>
  <c r="C38" i="1"/>
  <c r="G36" i="1"/>
  <c r="C36" i="1"/>
  <c r="G33" i="1"/>
  <c r="C33" i="1"/>
  <c r="G31" i="1"/>
  <c r="C31" i="1"/>
  <c r="G28" i="1"/>
  <c r="C28" i="1"/>
  <c r="G23" i="1"/>
  <c r="C23" i="1"/>
  <c r="G21" i="1"/>
  <c r="C21" i="1"/>
  <c r="G19" i="1"/>
  <c r="C19" i="1"/>
  <c r="G16" i="1"/>
  <c r="C16" i="1"/>
  <c r="G14" i="1"/>
  <c r="C14" i="1"/>
  <c r="G11" i="1"/>
  <c r="C11" i="1"/>
  <c r="G9" i="1"/>
  <c r="C9" i="1"/>
  <c r="G5" i="1"/>
  <c r="C5" i="1"/>
  <c r="E10" i="3" l="1"/>
  <c r="E7" i="3"/>
  <c r="E3" i="3"/>
  <c r="E2" i="3"/>
  <c r="E9" i="2"/>
  <c r="E8" i="2"/>
  <c r="E4" i="2"/>
  <c r="E2" i="2"/>
  <c r="H59" i="1"/>
  <c r="H58" i="1"/>
  <c r="H60" i="1" s="1"/>
  <c r="H56" i="1"/>
  <c r="H53" i="1"/>
  <c r="H52" i="1"/>
  <c r="H48" i="1"/>
  <c r="H47" i="1"/>
  <c r="H45" i="1"/>
  <c r="H46" i="1" s="1"/>
  <c r="H42" i="1"/>
  <c r="H41" i="1"/>
  <c r="H39" i="1"/>
  <c r="H40" i="1" s="1"/>
  <c r="H37" i="1"/>
  <c r="H38" i="1" s="1"/>
  <c r="H34" i="1"/>
  <c r="H32" i="1"/>
  <c r="H33" i="1" s="1"/>
  <c r="H30" i="1"/>
  <c r="H29" i="1"/>
  <c r="H31" i="1" s="1"/>
  <c r="H26" i="1"/>
  <c r="H24" i="1"/>
  <c r="H22" i="1"/>
  <c r="H23" i="1" s="1"/>
  <c r="H20" i="1"/>
  <c r="H21" i="1" s="1"/>
  <c r="H18" i="1"/>
  <c r="H17" i="1"/>
  <c r="H19" i="1" s="1"/>
  <c r="H15" i="1"/>
  <c r="H16" i="1" s="1"/>
  <c r="H10" i="1"/>
  <c r="H11" i="1" s="1"/>
  <c r="H6" i="1"/>
  <c r="H3" i="1"/>
  <c r="H2" i="1"/>
  <c r="E5" i="2" l="1"/>
  <c r="E6" i="2"/>
  <c r="E7" i="2"/>
  <c r="H54" i="1" l="1"/>
  <c r="H55" i="1"/>
  <c r="H50" i="1"/>
  <c r="H49" i="1"/>
  <c r="H51" i="1" s="1"/>
  <c r="H43" i="1"/>
  <c r="H44" i="1" s="1"/>
  <c r="H35" i="1"/>
  <c r="H36" i="1" s="1"/>
  <c r="H25" i="1"/>
  <c r="H27" i="1"/>
  <c r="H12" i="1"/>
  <c r="H13" i="1"/>
  <c r="H7" i="1"/>
  <c r="H8" i="1"/>
  <c r="H4" i="1"/>
  <c r="H5" i="1" s="1"/>
  <c r="D21" i="2"/>
  <c r="H14" i="1" l="1"/>
  <c r="H57" i="1"/>
  <c r="H9" i="1"/>
  <c r="H28" i="1"/>
  <c r="G65" i="1"/>
</calcChain>
</file>

<file path=xl/sharedStrings.xml><?xml version="1.0" encoding="utf-8"?>
<sst xmlns="http://schemas.openxmlformats.org/spreadsheetml/2006/main" count="190" uniqueCount="169">
  <si>
    <t>Vowelization</t>
  </si>
  <si>
    <t>Diphthongization</t>
  </si>
  <si>
    <t xml:space="preserve">Glottalization(substitution of [ʕ] with [ʔ]), </t>
  </si>
  <si>
    <t>Glottalization(insertion of  [ʔ] phone)</t>
  </si>
  <si>
    <t>substitution of [r] with [ɻ]</t>
  </si>
  <si>
    <t>substitution of [l] with [n]</t>
  </si>
  <si>
    <t>substitution of [b] with [t]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</si>
  <si>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</si>
  <si>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</si>
  <si>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</si>
  <si>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>substitution of [t] with [r]</t>
  </si>
  <si>
    <t>substitution of [ɣ] with [ʕ]</t>
  </si>
  <si>
    <t xml:space="preserve">Aspiration ( substitution of [k]with [kʰ]) , </t>
  </si>
  <si>
    <t xml:space="preserve">Aspiration ( substitution of [t]with [tʰ]) </t>
  </si>
  <si>
    <t xml:space="preserve">depharyngealization(substitution of [sˤ] with [s]), </t>
  </si>
  <si>
    <t xml:space="preserve"> depharyngealization(substitution of [ðˤ] with [ð]), </t>
  </si>
  <si>
    <t>pharyngealization(substitution of [t] with [tˤ]),</t>
  </si>
  <si>
    <t>depharyngealization(substitution of [dˤ] with [d]),</t>
  </si>
  <si>
    <t>Devoicing(substitution of [d͡ʒ] with [t͡ʃ])</t>
  </si>
  <si>
    <t>degemination(reduce consonant cluster to one single consonant)</t>
  </si>
  <si>
    <t>germination</t>
  </si>
  <si>
    <t>syllable structure process(final syllable deletion)</t>
  </si>
  <si>
    <t>deaffrication(substitution of [d͡ʒ]with [ʒ])</t>
  </si>
  <si>
    <t>substitution of [ħ]with [χ]</t>
  </si>
  <si>
    <t>substitution of [ħ]with [h]</t>
  </si>
  <si>
    <t>substitution of [h]with [ħ]</t>
  </si>
  <si>
    <t>deaffrication and devoicing(substitution of [d͡ʒ]with [ʃ])</t>
  </si>
  <si>
    <t xml:space="preserve">depharyngealization and devoicing(substitution of [ðˤ] with [θ]),  </t>
  </si>
  <si>
    <t>substitution of [d]with [θ]</t>
  </si>
  <si>
    <t>substitution of [d]with [l]</t>
  </si>
  <si>
    <t>devoicing(substitution of [d]with [t])</t>
  </si>
  <si>
    <t>devoicing(substitution of [ɣ]with [χ])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</si>
  <si>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</si>
  <si>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</si>
  <si>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</si>
  <si>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 xml:space="preserve">syllable structure process (consonant deletion of  [r] phone), </t>
  </si>
  <si>
    <t>syllable structure process (weak syllable deletion)</t>
  </si>
  <si>
    <t>final consonant deletion</t>
  </si>
  <si>
    <t>assimilation (the  [l] phone changes to  [r]  phone to become  similar to the nearby  phone[r])</t>
  </si>
  <si>
    <t>Nasal assimilation</t>
  </si>
  <si>
    <t>Definite Article deletion</t>
  </si>
  <si>
    <t>replace the Modern Standard Arabic diphthong [æj]with the colloquial arabic vowel[e:]</t>
  </si>
  <si>
    <t>replace the Modern Standard Arabic diphthong [æw]with the colloquial arabic vowel[o:]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</si>
  <si>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</si>
  <si>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</si>
  <si>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</si>
  <si>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</si>
  <si>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 [j]with  [i:] affected by colloquial Arabic</t>
  </si>
  <si>
    <t>consonant deletion  of [ʔ] phone affected by colloquial Arabic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</si>
  <si>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</si>
  <si>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t>Deletion of feminine marker</t>
  </si>
  <si>
    <t>س</t>
  </si>
  <si>
    <t>ز</t>
  </si>
  <si>
    <t>ص</t>
  </si>
  <si>
    <t>ظ</t>
  </si>
  <si>
    <t>ذ</t>
  </si>
  <si>
    <t>ك</t>
  </si>
  <si>
    <t>ج</t>
  </si>
  <si>
    <t>غ</t>
  </si>
  <si>
    <t>ع</t>
  </si>
  <si>
    <t>ح</t>
  </si>
  <si>
    <t>ه</t>
  </si>
  <si>
    <t>ء</t>
  </si>
  <si>
    <t>ب</t>
  </si>
  <si>
    <t>ط</t>
  </si>
  <si>
    <t>ت</t>
  </si>
  <si>
    <t>د</t>
  </si>
  <si>
    <t>ض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</si>
  <si>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</si>
  <si>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</si>
  <si>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</si>
  <si>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</si>
  <si>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</si>
  <si>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</si>
  <si>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</si>
  <si>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</si>
  <si>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ðˤ</t>
  </si>
  <si>
    <t>ð</t>
  </si>
  <si>
    <t>k</t>
  </si>
  <si>
    <t>g</t>
  </si>
  <si>
    <t>ɣ</t>
  </si>
  <si>
    <t>ʕ</t>
  </si>
  <si>
    <t>ħ</t>
  </si>
  <si>
    <t>h</t>
  </si>
  <si>
    <t>ʔ</t>
  </si>
  <si>
    <t>b</t>
  </si>
  <si>
    <t>tˤ</t>
  </si>
  <si>
    <t>t</t>
  </si>
  <si>
    <t>d</t>
  </si>
  <si>
    <t>dˤ</t>
  </si>
  <si>
    <t>j</t>
  </si>
  <si>
    <t>letter</t>
  </si>
  <si>
    <t>arabic letter</t>
  </si>
  <si>
    <t>phonological_processes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</si>
  <si>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</si>
  <si>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</si>
  <si>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</si>
  <si>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devoicing (substitution of [ð] with [θ])</t>
  </si>
  <si>
    <t xml:space="preserve">devoicing(substitution of [d]with [d̥])  </t>
  </si>
  <si>
    <t>devoicing(substitution of [z]with [s]),</t>
  </si>
  <si>
    <t>devoicing(substitution of [dˤ]with [tˤ])</t>
  </si>
  <si>
    <t xml:space="preserve">syllable structure process (first syllable deletion) </t>
  </si>
  <si>
    <t xml:space="preserve">devoicing(substitution of [z]with [z̥])                    </t>
  </si>
  <si>
    <t>devoicing (substitution of [d͡ʒ]with [d͡ʒ̥ ])</t>
  </si>
  <si>
    <t>assimilation (the  [l] phone changes to  [n] to become  similar to the nearby  phone[ n])</t>
  </si>
  <si>
    <t>syllable structure process (consonant insertion of  [j] phone)</t>
  </si>
  <si>
    <t>misreading</t>
  </si>
  <si>
    <t>replace the Modern Standard Arabic diphthong [ ɑj]with the colloquial arabic vowel[e:]</t>
  </si>
  <si>
    <t>Epenthesis(insert diphthong [u:] between  consnant cluster)</t>
  </si>
  <si>
    <t>Epenthesis(insert vowel [ɑ:] between  consnant cluster)</t>
  </si>
  <si>
    <t>Gliding (substitution of [r] with [j])</t>
  </si>
  <si>
    <t>Gliding (substitution of [ʔ] with [j])</t>
  </si>
  <si>
    <t>total</t>
  </si>
  <si>
    <t>number of error</t>
  </si>
  <si>
    <r>
      <t xml:space="preserve">Monophthongization </t>
    </r>
    <r>
      <rPr>
        <b/>
        <sz val="12"/>
        <color theme="1"/>
        <rFont val="Arial"/>
        <family val="2"/>
      </rPr>
      <t>(phone change by which a diphthong [aw]becomes a monophthong[u:])</t>
    </r>
  </si>
  <si>
    <t>type of syllable structure error</t>
  </si>
  <si>
    <t>[ɻ]</t>
  </si>
  <si>
    <t>[r]</t>
  </si>
  <si>
    <t>[j]</t>
  </si>
  <si>
    <t>[n]</t>
  </si>
  <si>
    <t>[sˤ]</t>
  </si>
  <si>
    <t>[s]</t>
  </si>
  <si>
    <t>[z̥]</t>
  </si>
  <si>
    <t>[θ]</t>
  </si>
  <si>
    <t>[ð]</t>
  </si>
  <si>
    <t>[kʰ]</t>
  </si>
  <si>
    <t>[ʃ]</t>
  </si>
  <si>
    <t>[d͡ʒ̥]</t>
  </si>
  <si>
    <t>[ʒ]</t>
  </si>
  <si>
    <t>[t͡ʃ]</t>
  </si>
  <si>
    <t>[χ]</t>
  </si>
  <si>
    <t>[ʕ]</t>
  </si>
  <si>
    <t>[ʔ]</t>
  </si>
  <si>
    <t>[h]</t>
  </si>
  <si>
    <t>[ħ]</t>
  </si>
  <si>
    <t>[p]</t>
  </si>
  <si>
    <t>[pʰ]</t>
  </si>
  <si>
    <t>[t]</t>
  </si>
  <si>
    <t>[tˤ]</t>
  </si>
  <si>
    <t>[t͡s]</t>
  </si>
  <si>
    <t>[tʰ]</t>
  </si>
  <si>
    <t>[d̥]</t>
  </si>
  <si>
    <t>[l]</t>
  </si>
  <si>
    <t>[d]</t>
  </si>
  <si>
    <t>[-]</t>
  </si>
  <si>
    <t>percentage</t>
  </si>
  <si>
    <t>w</t>
  </si>
  <si>
    <t>و</t>
  </si>
  <si>
    <t>r Total</t>
  </si>
  <si>
    <t>l Total</t>
  </si>
  <si>
    <t>s Total</t>
  </si>
  <si>
    <t>z Total</t>
  </si>
  <si>
    <t>sˤ Total</t>
  </si>
  <si>
    <t>ðˤ Total</t>
  </si>
  <si>
    <t>ð Total</t>
  </si>
  <si>
    <t>k Total</t>
  </si>
  <si>
    <t>g Total</t>
  </si>
  <si>
    <t>ɣ Total</t>
  </si>
  <si>
    <t>ʕ Total</t>
  </si>
  <si>
    <t>ħ Total</t>
  </si>
  <si>
    <t>h Total</t>
  </si>
  <si>
    <t>ʔ Total</t>
  </si>
  <si>
    <t>b Total</t>
  </si>
  <si>
    <t>tˤ Total</t>
  </si>
  <si>
    <t>t Total</t>
  </si>
  <si>
    <t>d Total</t>
  </si>
  <si>
    <t>dˤ Total</t>
  </si>
  <si>
    <t>w Total</t>
  </si>
  <si>
    <t>j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</si>
</sst>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  <scheme val="minor"/>
    </font>
    <font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54">
    <xf numFmtId="0" fontId="0" fillId="0" borderId="0" xfId="0"/>
    <xf numFmtId="0" fontId="10" fillId="0" borderId="0" xfId="0" applyFo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" fillId="9" borderId="1" xfId="8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" fillId="6" borderId="1" xfId="5" applyBorder="1" applyAlignment="1">
      <alignment horizontal="center" vertical="center"/>
    </xf>
    <xf numFmtId="0" fontId="1" fillId="6" borderId="1" xfId="5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 wrapText="1" readingOrder="2"/>
    </xf>
    <xf numFmtId="0" fontId="5" fillId="2" borderId="1" xfId="1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" fillId="6" borderId="2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0" xfId="0" applyFont="1"/>
    <xf numFmtId="0" fontId="0" fillId="0" borderId="0" xfId="0" applyFont="1" applyAlignment="1">
      <alignment wrapText="1"/>
    </xf>
    <xf numFmtId="0" fontId="11" fillId="10" borderId="1" xfId="1" applyFont="1" applyFill="1" applyBorder="1" applyAlignment="1">
      <alignment horizontal="center" vertical="center" wrapText="1"/>
    </xf>
    <xf numFmtId="0" fontId="0" fillId="0" borderId="1" xfId="0" applyFont="1" applyBorder="1"/>
    <xf numFmtId="0" fontId="3" fillId="3" borderId="2" xfId="2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1" fillId="9" borderId="1" xfId="8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4" fillId="4" borderId="1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4" fillId="4" borderId="1" xfId="3" applyBorder="1" applyAlignment="1">
      <alignment horizontal="left" vertical="center" wrapText="1"/>
    </xf>
    <xf numFmtId="0" fontId="3" fillId="3" borderId="1" xfId="2" applyBorder="1" applyAlignment="1">
      <alignment horizontal="left" vertical="center" wrapText="1"/>
    </xf>
    <xf numFmtId="0" fontId="2" fillId="2" borderId="1" xfId="1" applyBorder="1" applyAlignment="1">
      <alignment horizontal="left" vertical="center" wrapText="1"/>
    </xf>
    <xf numFmtId="0" fontId="0" fillId="9" borderId="1" xfId="8" applyFont="1" applyBorder="1" applyAlignment="1">
      <alignment horizontal="left" vertical="center" wrapText="1"/>
    </xf>
    <xf numFmtId="0" fontId="1" fillId="9" borderId="1" xfId="8" applyBorder="1" applyAlignment="1">
      <alignment horizontal="left" vertical="center" wrapText="1"/>
    </xf>
    <xf numFmtId="0" fontId="1" fillId="5" borderId="1" xfId="4" applyBorder="1" applyAlignment="1">
      <alignment horizontal="left" vertical="center" wrapText="1"/>
    </xf>
    <xf numFmtId="0" fontId="1" fillId="8" borderId="1" xfId="7" applyBorder="1" applyAlignment="1">
      <alignment horizontal="left" vertical="center" wrapText="1"/>
    </xf>
    <xf numFmtId="0" fontId="1" fillId="7" borderId="1" xfId="6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9" borderId="1" xfId="8" applyFont="1" applyBorder="1" applyAlignment="1">
      <alignment horizontal="center" vertical="center"/>
    </xf>
    <xf numFmtId="0" fontId="0" fillId="8" borderId="1" xfId="7" applyFont="1" applyBorder="1" applyAlignment="1">
      <alignment horizontal="center" vertical="center"/>
    </xf>
    <xf numFmtId="0" fontId="5" fillId="4" borderId="1" xfId="3" applyFont="1" applyBorder="1" applyAlignment="1">
      <alignment horizontal="center" vertical="center"/>
    </xf>
    <xf numFmtId="0" fontId="1" fillId="7" borderId="1" xfId="6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10" fontId="10" fillId="0" borderId="1" xfId="0" applyNumberFormat="1" applyFont="1" applyBorder="1" applyAlignment="1">
      <alignment horizontal="center" wrapText="1"/>
    </xf>
    <xf numFmtId="10" fontId="4" fillId="4" borderId="1" xfId="3" applyNumberFormat="1" applyBorder="1" applyAlignment="1">
      <alignment horizontal="center" vertical="center"/>
    </xf>
    <xf numFmtId="10" fontId="3" fillId="3" borderId="1" xfId="2" applyNumberFormat="1" applyBorder="1" applyAlignment="1">
      <alignment horizontal="center" vertical="center"/>
    </xf>
    <xf numFmtId="10" fontId="2" fillId="2" borderId="1" xfId="1" applyNumberFormat="1" applyBorder="1" applyAlignment="1">
      <alignment horizontal="center" vertical="center"/>
    </xf>
    <xf numFmtId="10" fontId="1" fillId="9" borderId="1" xfId="8" applyNumberFormat="1" applyBorder="1" applyAlignment="1">
      <alignment horizontal="center" vertical="center"/>
    </xf>
    <xf numFmtId="10" fontId="0" fillId="9" borderId="1" xfId="8" applyNumberFormat="1" applyFont="1" applyBorder="1" applyAlignment="1">
      <alignment horizontal="center" vertical="center"/>
    </xf>
    <xf numFmtId="10" fontId="1" fillId="5" borderId="1" xfId="4" applyNumberFormat="1" applyBorder="1" applyAlignment="1">
      <alignment horizontal="center" vertical="center"/>
    </xf>
    <xf numFmtId="10" fontId="1" fillId="6" borderId="1" xfId="5" applyNumberFormat="1" applyBorder="1" applyAlignment="1">
      <alignment horizontal="center" vertical="center"/>
    </xf>
    <xf numFmtId="10" fontId="0" fillId="8" borderId="1" xfId="7" applyNumberFormat="1" applyFont="1" applyBorder="1" applyAlignment="1">
      <alignment horizontal="center" vertical="center"/>
    </xf>
    <xf numFmtId="10" fontId="5" fillId="4" borderId="1" xfId="3" applyNumberFormat="1" applyFont="1" applyBorder="1" applyAlignment="1">
      <alignment horizontal="center" vertical="center"/>
    </xf>
    <xf numFmtId="10" fontId="1" fillId="7" borderId="1" xfId="6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5" borderId="1" xfId="4" applyFont="1" applyBorder="1" applyAlignment="1">
      <alignment horizontal="left" vertical="center" wrapText="1"/>
    </xf>
    <xf numFmtId="0" fontId="0" fillId="6" borderId="1" xfId="5" applyFont="1" applyBorder="1" applyAlignment="1">
      <alignment horizontal="left" vertical="center" wrapText="1"/>
    </xf>
    <xf numFmtId="0" fontId="0" fillId="7" borderId="1" xfId="6" applyFont="1" applyBorder="1" applyAlignment="1">
      <alignment horizontal="left" vertical="center" wrapText="1"/>
    </xf>
    <xf numFmtId="10" fontId="0" fillId="0" borderId="1" xfId="0" applyNumberFormat="1" applyBorder="1"/>
    <xf numFmtId="10" fontId="0" fillId="0" borderId="1" xfId="0" applyNumberFormat="1" applyFont="1" applyBorder="1"/>
    <xf numFmtId="10" fontId="11" fillId="10" borderId="1" xfId="1" applyNumberFormat="1" applyFont="1" applyFill="1" applyBorder="1" applyAlignment="1">
      <alignment horizontal="center" vertical="center" wrapText="1"/>
    </xf>
    <xf numFmtId="10" fontId="8" fillId="0" borderId="1" xfId="0" applyNumberFormat="1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10" fontId="0" fillId="0" borderId="0" xfId="0" applyNumberFormat="1"/>
    <xf numFmtId="10" fontId="12" fillId="0" borderId="1" xfId="0" applyNumberFormat="1" applyFont="1" applyBorder="1" applyAlignment="1">
      <alignment vertical="center"/>
    </xf>
    <xf numFmtId="0" fontId="4" fillId="4" borderId="1" xfId="3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5" borderId="1" xfId="4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4" fillId="4" borderId="1" xfId="3" applyBorder="1" applyAlignment="1">
      <alignment horizontal="center" vertical="center" wrapText="1" readingOrder="2"/>
    </xf>
    <xf numFmtId="0" fontId="4" fillId="4" borderId="1" xfId="3" applyBorder="1" applyAlignment="1">
      <alignment horizontal="center" vertical="center"/>
    </xf>
    <xf numFmtId="0" fontId="1" fillId="5" borderId="1" xfId="4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 wrapText="1" readingOrder="2"/>
    </xf>
    <xf numFmtId="0" fontId="3" fillId="3" borderId="1" xfId="2" applyBorder="1" applyAlignment="1">
      <alignment horizontal="center" vertical="center"/>
    </xf>
    <xf numFmtId="0" fontId="1" fillId="9" borderId="1" xfId="8" applyBorder="1" applyAlignment="1">
      <alignment horizontal="center" vertical="center" wrapText="1" readingOrder="2"/>
    </xf>
    <xf numFmtId="0" fontId="1" fillId="9" borderId="1" xfId="8" applyBorder="1" applyAlignment="1">
      <alignment horizontal="center" vertical="center"/>
    </xf>
    <xf numFmtId="0" fontId="0" fillId="0" borderId="1" xfId="0" applyBorder="1"/>
    <xf numFmtId="0" fontId="14" fillId="4" borderId="1" xfId="3" applyFont="1" applyBorder="1" applyAlignment="1">
      <alignment horizontal="center" vertical="center"/>
    </xf>
    <xf numFmtId="0" fontId="15" fillId="3" borderId="1" xfId="2" applyFont="1" applyBorder="1" applyAlignment="1">
      <alignment horizontal="center" vertical="center"/>
    </xf>
    <xf numFmtId="0" fontId="16" fillId="2" borderId="1" xfId="1" applyFont="1" applyBorder="1" applyAlignment="1">
      <alignment horizontal="center" vertical="center"/>
    </xf>
    <xf numFmtId="0" fontId="13" fillId="9" borderId="1" xfId="8" applyFont="1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3" fillId="5" borderId="1" xfId="4" applyFont="1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3" fillId="6" borderId="2" xfId="5" applyFont="1" applyBorder="1" applyAlignment="1">
      <alignment horizontal="center" vertical="center"/>
    </xf>
    <xf numFmtId="0" fontId="16" fillId="2" borderId="3" xfId="1" applyFont="1" applyBorder="1" applyAlignment="1">
      <alignment horizontal="center" vertical="center"/>
    </xf>
    <xf numFmtId="0" fontId="13" fillId="8" borderId="2" xfId="7" applyFont="1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15" fillId="3" borderId="2" xfId="2" applyFont="1" applyBorder="1" applyAlignment="1">
      <alignment horizontal="center" vertical="center"/>
    </xf>
    <xf numFmtId="0" fontId="14" fillId="4" borderId="3" xfId="3" applyFont="1" applyBorder="1" applyAlignment="1">
      <alignment horizontal="center" vertical="center"/>
    </xf>
    <xf numFmtId="0" fontId="16" fillId="2" borderId="2" xfId="1" applyFont="1" applyBorder="1" applyAlignment="1">
      <alignment horizontal="center" vertical="center"/>
    </xf>
    <xf numFmtId="0" fontId="13" fillId="7" borderId="3" xfId="6" applyFont="1" applyBorder="1" applyAlignment="1">
      <alignment horizontal="center" vertical="center"/>
    </xf>
  </cellXfs>
  <cellStyles count="9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Sheet1!$F$2:$F$4</c:f>
              <c:strCache>
                <c:ptCount val="3"/>
                <c:pt idx="0">
                  <c:v>[ɻ]</c:v>
                </c:pt>
                <c:pt idx="1">
                  <c:v>[-]</c:v>
                </c:pt>
                <c:pt idx="2">
                  <c:v>[j]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3-4170-AC5D-C36257736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300160"/>
        <c:axId val="149730099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Sheet1!$F$2:$F$4</c:f>
              <c:strCache>
                <c:ptCount val="3"/>
                <c:pt idx="0">
                  <c:v>[ɻ]</c:v>
                </c:pt>
                <c:pt idx="1">
                  <c:v>[-]</c:v>
                </c:pt>
                <c:pt idx="2">
                  <c:v>[j]</c:v>
                </c:pt>
              </c:strCache>
            </c:strRef>
          </c:cat>
          <c:val>
            <c:numRef>
              <c:f>Sheet1!$H$2:$H$4</c:f>
              <c:numCache>
                <c:formatCode>0.00%</c:formatCode>
                <c:ptCount val="3"/>
                <c:pt idx="0">
                  <c:v>4.4052863436123352E-3</c:v>
                </c:pt>
                <c:pt idx="1">
                  <c:v>4.4052863436123352E-3</c:v>
                </c:pt>
                <c:pt idx="2">
                  <c:v>4.4052863436123352E-3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3-4170-AC5D-C36257736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7440032"/>
        <c:axId val="1497302656"/>
      </c:lineChart>
      <c:catAx>
        <c:axId val="149730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00992"/>
        <c:crosses val="autoZero"/>
        <c:auto val="1"/>
        <c:lblAlgn val="ctr"/>
        <c:lblOffset val="100"/>
        <c:noMultiLvlLbl val="0"/>
      </c:catAx>
      <c:valAx>
        <c:axId val="14973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00160"/>
        <c:crosses val="autoZero"/>
        <c:crossBetween val="between"/>
      </c:valAx>
      <c:valAx>
        <c:axId val="149730265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440032"/>
        <c:crosses val="max"/>
        <c:crossBetween val="between"/>
      </c:valAx>
      <c:catAx>
        <c:axId val="1497440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730265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Sheet1!$F$6:$F$8</c:f>
              <c:strCache>
                <c:ptCount val="3"/>
                <c:pt idx="0">
                  <c:v>[n]</c:v>
                </c:pt>
                <c:pt idx="1">
                  <c:v>[r]</c:v>
                </c:pt>
                <c:pt idx="2">
                  <c:v>[n]</c:v>
                </c:pt>
              </c:strCache>
            </c:strRef>
          </c:cat>
          <c:val>
            <c:numRef>
              <c:f>Sheet1!$G$6:$G$8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C-40BE-907D-B8AE27F4B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226096"/>
        <c:axId val="160122942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Sheet1!$F$6:$F$8</c:f>
              <c:strCache>
                <c:ptCount val="3"/>
                <c:pt idx="0">
                  <c:v>[n]</c:v>
                </c:pt>
                <c:pt idx="1">
                  <c:v>[r]</c:v>
                </c:pt>
                <c:pt idx="2">
                  <c:v>[n]</c:v>
                </c:pt>
              </c:strCache>
            </c:strRef>
          </c:cat>
          <c:val>
            <c:numRef>
              <c:f>Sheet1!$H$6:$H$8</c:f>
              <c:numCache>
                <c:formatCode>0.00%</c:formatCode>
                <c:ptCount val="3"/>
                <c:pt idx="0">
                  <c:v>3.3670033670033669E-3</c:v>
                </c:pt>
                <c:pt idx="1">
                  <c:v>3.3670033670033669E-3</c:v>
                </c:pt>
                <c:pt idx="2">
                  <c:v>3.3670033670033669E-3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C-40BE-907D-B8AE27F4B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218192"/>
        <c:axId val="1601221520"/>
      </c:lineChart>
      <c:catAx>
        <c:axId val="16012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29424"/>
        <c:crosses val="autoZero"/>
        <c:auto val="1"/>
        <c:lblAlgn val="ctr"/>
        <c:lblOffset val="100"/>
        <c:noMultiLvlLbl val="0"/>
      </c:catAx>
      <c:valAx>
        <c:axId val="160122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26096"/>
        <c:crosses val="autoZero"/>
        <c:crossBetween val="between"/>
      </c:valAx>
      <c:valAx>
        <c:axId val="160122152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18192"/>
        <c:crosses val="max"/>
        <c:crossBetween val="between"/>
      </c:valAx>
      <c:catAx>
        <c:axId val="1601218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12215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solidFill>
            <a:schemeClr val="accent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Sheet1!$F$10</c:f>
              <c:strCache>
                <c:ptCount val="1"/>
                <c:pt idx="0">
                  <c:v>[sˤ]</c:v>
                </c:pt>
              </c:strCache>
            </c:strRef>
          </c:cat>
          <c:val>
            <c:numRef>
              <c:f>Sheet1!$G$10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A-40BE-B8D0-376EB07252F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Sheet1!$F$10</c:f>
              <c:strCache>
                <c:ptCount val="1"/>
                <c:pt idx="0">
                  <c:v>[sˤ]</c:v>
                </c:pt>
              </c:strCache>
            </c:strRef>
          </c:cat>
          <c:val>
            <c:numRef>
              <c:f>Sheet1!$H$10</c:f>
              <c:numCache>
                <c:formatCode>0.00%</c:formatCode>
                <c:ptCount val="1"/>
                <c:pt idx="0">
                  <c:v>1.7241379310344827E-2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A-40BE-B8D0-376EB0725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310784"/>
        <c:axId val="1496311200"/>
      </c:barChart>
      <c:catAx>
        <c:axId val="14963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11200"/>
        <c:crosses val="autoZero"/>
        <c:auto val="1"/>
        <c:lblAlgn val="ctr"/>
        <c:lblOffset val="100"/>
        <c:noMultiLvlLbl val="0"/>
      </c:catAx>
      <c:valAx>
        <c:axId val="14963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10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Sheet1!$F$12:$F$13</c:f>
              <c:strCache>
                <c:ptCount val="2"/>
                <c:pt idx="0">
                  <c:v>[z̥]</c:v>
                </c:pt>
                <c:pt idx="1">
                  <c:v>[s]</c:v>
                </c:pt>
              </c:strCache>
            </c:strRef>
          </c:cat>
          <c:val>
            <c:numRef>
              <c:f>Sheet1!$G$12:$G$13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0-48A5-AC55-630006F7C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070368"/>
        <c:axId val="1490068704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Sheet1!$F$12:$F$13</c:f>
              <c:strCache>
                <c:ptCount val="2"/>
                <c:pt idx="0">
                  <c:v>[z̥]</c:v>
                </c:pt>
                <c:pt idx="1">
                  <c:v>[s]</c:v>
                </c:pt>
              </c:strCache>
            </c:strRef>
          </c:cat>
          <c:val>
            <c:numRef>
              <c:f>Sheet1!$H$12:$H$13</c:f>
              <c:numCache>
                <c:formatCode>0.00%</c:formatCode>
                <c:ptCount val="2"/>
                <c:pt idx="0">
                  <c:v>0.17241379310344829</c:v>
                </c:pt>
                <c:pt idx="1">
                  <c:v>0.10344827586206896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0-48A5-AC55-630006F7C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070784"/>
        <c:axId val="1490069536"/>
      </c:lineChart>
      <c:catAx>
        <c:axId val="149007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68704"/>
        <c:crosses val="autoZero"/>
        <c:auto val="1"/>
        <c:lblAlgn val="ctr"/>
        <c:lblOffset val="100"/>
        <c:noMultiLvlLbl val="0"/>
      </c:catAx>
      <c:valAx>
        <c:axId val="14900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70368"/>
        <c:crosses val="autoZero"/>
        <c:crossBetween val="between"/>
      </c:valAx>
      <c:valAx>
        <c:axId val="149006953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070784"/>
        <c:crosses val="max"/>
        <c:crossBetween val="between"/>
      </c:valAx>
      <c:catAx>
        <c:axId val="1490070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006953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Sheet1!$F$15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D-4EE2-A23D-E6739A968A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Sheet1!$F$15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Sheet1!$H$15</c:f>
              <c:numCache>
                <c:formatCode>0.00%</c:formatCode>
                <c:ptCount val="1"/>
                <c:pt idx="0">
                  <c:v>0.19298245614035087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D-4EE2-A23D-E6739A968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314528"/>
        <c:axId val="1496314944"/>
      </c:barChart>
      <c:catAx>
        <c:axId val="14963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14944"/>
        <c:crosses val="autoZero"/>
        <c:auto val="1"/>
        <c:lblAlgn val="ctr"/>
        <c:lblOffset val="100"/>
        <c:noMultiLvlLbl val="0"/>
      </c:catAx>
      <c:valAx>
        <c:axId val="149631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14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Sheet1!$F$17:$F$18</c:f>
              <c:strCache>
                <c:ptCount val="2"/>
                <c:pt idx="0">
                  <c:v>[θ]</c:v>
                </c:pt>
                <c:pt idx="1">
                  <c:v>[ð]</c:v>
                </c:pt>
              </c:strCache>
            </c:strRef>
          </c:cat>
          <c:val>
            <c:numRef>
              <c:f>Sheet1!$G$17:$G$18</c:f>
              <c:numCache>
                <c:formatCode>General</c:formatCode>
                <c:ptCount val="2"/>
                <c:pt idx="0">
                  <c:v>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1-44A8-8B32-A6EB2C645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305568"/>
        <c:axId val="149730764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Sheet1!$F$17:$F$18</c:f>
              <c:strCache>
                <c:ptCount val="2"/>
                <c:pt idx="0">
                  <c:v>[θ]</c:v>
                </c:pt>
                <c:pt idx="1">
                  <c:v>[ð]</c:v>
                </c:pt>
              </c:strCache>
            </c:strRef>
          </c:cat>
          <c:val>
            <c:numRef>
              <c:f>Sheet1!$H$17:$H$18</c:f>
              <c:numCache>
                <c:formatCode>0.00%</c:formatCode>
                <c:ptCount val="2"/>
                <c:pt idx="0">
                  <c:v>0.3888888888888889</c:v>
                </c:pt>
                <c:pt idx="1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1-44A8-8B32-A6EB2C645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309952"/>
        <c:axId val="1496315360"/>
      </c:lineChart>
      <c:catAx>
        <c:axId val="149730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07648"/>
        <c:crosses val="autoZero"/>
        <c:auto val="1"/>
        <c:lblAlgn val="ctr"/>
        <c:lblOffset val="100"/>
        <c:noMultiLvlLbl val="0"/>
      </c:catAx>
      <c:valAx>
        <c:axId val="149730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05568"/>
        <c:crosses val="autoZero"/>
        <c:crossBetween val="between"/>
      </c:valAx>
      <c:valAx>
        <c:axId val="149631536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09952"/>
        <c:crosses val="max"/>
        <c:crossBetween val="between"/>
      </c:valAx>
      <c:catAx>
        <c:axId val="1496309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631536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Sheet1!$F$20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Sheet1!$G$20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C-4DA3-8115-9059C8B908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Sheet1!$F$20</c:f>
              <c:strCache>
                <c:ptCount val="1"/>
                <c:pt idx="0">
                  <c:v>[θ]</c:v>
                </c:pt>
              </c:strCache>
            </c:strRef>
          </c:cat>
          <c:val>
            <c:numRef>
              <c:f>Sheet1!$H$20</c:f>
              <c:numCache>
                <c:formatCode>0.00%</c:formatCode>
                <c:ptCount val="1"/>
                <c:pt idx="0">
                  <c:v>0.27027027027027029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C-4DA3-8115-9059C8B9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221104"/>
        <c:axId val="1601225264"/>
      </c:barChart>
      <c:catAx>
        <c:axId val="16012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25264"/>
        <c:crosses val="autoZero"/>
        <c:auto val="1"/>
        <c:lblAlgn val="ctr"/>
        <c:lblOffset val="100"/>
        <c:noMultiLvlLbl val="0"/>
      </c:catAx>
      <c:valAx>
        <c:axId val="16012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21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Sheet1!$G$22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D-41A2-83C0-376F4D38C21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Sheet1!$F$22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Sheet1!$H$22</c:f>
              <c:numCache>
                <c:formatCode>0.00%</c:formatCode>
                <c:ptCount val="1"/>
                <c:pt idx="0">
                  <c:v>0.54878048780487809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D-41A2-83C0-376F4D38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139184"/>
        <c:axId val="1493138768"/>
      </c:barChart>
      <c:catAx>
        <c:axId val="149313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38768"/>
        <c:crosses val="autoZero"/>
        <c:auto val="1"/>
        <c:lblAlgn val="ctr"/>
        <c:lblOffset val="100"/>
        <c:noMultiLvlLbl val="0"/>
      </c:catAx>
      <c:valAx>
        <c:axId val="149313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13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Sheet1!$F$24:$F$27</c:f>
              <c:strCache>
                <c:ptCount val="4"/>
                <c:pt idx="0">
                  <c:v>[ʒ]</c:v>
                </c:pt>
                <c:pt idx="1">
                  <c:v>[d͡ʒ̥]</c:v>
                </c:pt>
                <c:pt idx="2">
                  <c:v>[t͡ʃ]</c:v>
                </c:pt>
                <c:pt idx="3">
                  <c:v>[ʃ]</c:v>
                </c:pt>
              </c:strCache>
            </c:strRef>
          </c:cat>
          <c:val>
            <c:numRef>
              <c:f>Sheet1!$G$24:$G$27</c:f>
              <c:numCache>
                <c:formatCode>General</c:formatCode>
                <c:ptCount val="4"/>
                <c:pt idx="0">
                  <c:v>46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C-47CB-B094-5B009BC60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366576"/>
        <c:axId val="160036740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Sheet1!$F$24:$F$27</c:f>
              <c:strCache>
                <c:ptCount val="4"/>
                <c:pt idx="0">
                  <c:v>[ʒ]</c:v>
                </c:pt>
                <c:pt idx="1">
                  <c:v>[d͡ʒ̥]</c:v>
                </c:pt>
                <c:pt idx="2">
                  <c:v>[t͡ʃ]</c:v>
                </c:pt>
                <c:pt idx="3">
                  <c:v>[ʃ]</c:v>
                </c:pt>
              </c:strCache>
            </c:strRef>
          </c:cat>
          <c:val>
            <c:numRef>
              <c:f>Sheet1!$H$24:$H$27</c:f>
              <c:numCache>
                <c:formatCode>0.00%</c:formatCode>
                <c:ptCount val="4"/>
                <c:pt idx="0">
                  <c:v>0.63888888888888884</c:v>
                </c:pt>
                <c:pt idx="1">
                  <c:v>6.9444444444444448E-2</c:v>
                </c:pt>
                <c:pt idx="2">
                  <c:v>4.1666666666666664E-2</c:v>
                </c:pt>
                <c:pt idx="3">
                  <c:v>2.7777777777777776E-2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CC-47CB-B094-5B009BC60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330272"/>
        <c:axId val="1604333600"/>
      </c:lineChart>
      <c:catAx>
        <c:axId val="160036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67408"/>
        <c:crosses val="autoZero"/>
        <c:auto val="1"/>
        <c:lblAlgn val="ctr"/>
        <c:lblOffset val="100"/>
        <c:noMultiLvlLbl val="0"/>
      </c:catAx>
      <c:valAx>
        <c:axId val="16003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66576"/>
        <c:crosses val="autoZero"/>
        <c:crossBetween val="between"/>
      </c:valAx>
      <c:valAx>
        <c:axId val="160433360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330272"/>
        <c:crosses val="max"/>
        <c:crossBetween val="between"/>
      </c:valAx>
      <c:catAx>
        <c:axId val="1604330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43336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Sheet1!$F$29:$F$30</c:f>
              <c:strCache>
                <c:ptCount val="2"/>
                <c:pt idx="0">
                  <c:v>[χ]</c:v>
                </c:pt>
                <c:pt idx="1">
                  <c:v>[ʕ]</c:v>
                </c:pt>
              </c:strCache>
            </c:strRef>
          </c:cat>
          <c:val>
            <c:numRef>
              <c:f>Sheet1!$G$29:$G$30</c:f>
              <c:numCache>
                <c:formatCode>General</c:formatCode>
                <c:ptCount val="2"/>
                <c:pt idx="0">
                  <c:v>12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C-473A-B268-09DDBDA28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707568"/>
        <c:axId val="170970881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Sheet1!$F$29:$F$30</c:f>
              <c:strCache>
                <c:ptCount val="2"/>
                <c:pt idx="0">
                  <c:v>[χ]</c:v>
                </c:pt>
                <c:pt idx="1">
                  <c:v>[ʕ]</c:v>
                </c:pt>
              </c:strCache>
            </c:strRef>
          </c:cat>
          <c:val>
            <c:numRef>
              <c:f>Sheet1!$H$29:$H$30</c:f>
              <c:numCache>
                <c:formatCode>0.00%</c:formatCode>
                <c:ptCount val="2"/>
                <c:pt idx="0">
                  <c:v>0.35294117647058826</c:v>
                </c:pt>
                <c:pt idx="1">
                  <c:v>2.9411764705882353E-2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C-473A-B268-09DDBDA28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709648"/>
        <c:axId val="1709708400"/>
      </c:lineChart>
      <c:catAx>
        <c:axId val="170970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08816"/>
        <c:crosses val="autoZero"/>
        <c:auto val="1"/>
        <c:lblAlgn val="ctr"/>
        <c:lblOffset val="100"/>
        <c:noMultiLvlLbl val="0"/>
      </c:catAx>
      <c:valAx>
        <c:axId val="17097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07568"/>
        <c:crosses val="autoZero"/>
        <c:crossBetween val="between"/>
      </c:valAx>
      <c:valAx>
        <c:axId val="170970840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09648"/>
        <c:crosses val="max"/>
        <c:crossBetween val="between"/>
      </c:valAx>
      <c:catAx>
        <c:axId val="1709709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0970840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Sheet1!$F$32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Sheet1!$G$32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4-43B1-81D9-F2900B4033A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Sheet1!$F$32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Sheet1!$H$32</c:f>
              <c:numCache>
                <c:formatCode>0.00%</c:formatCode>
                <c:ptCount val="1"/>
                <c:pt idx="0">
                  <c:v>6.5420560747663545E-2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A4-43B1-81D9-F2900B403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448928"/>
        <c:axId val="1486448512"/>
      </c:barChart>
      <c:catAx>
        <c:axId val="14864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48512"/>
        <c:crosses val="autoZero"/>
        <c:auto val="1"/>
        <c:lblAlgn val="ctr"/>
        <c:lblOffset val="100"/>
        <c:noMultiLvlLbl val="0"/>
      </c:catAx>
      <c:valAx>
        <c:axId val="148644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48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Sheet1!$F$34:$F$35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Sheet1!$G$34:$G$35</c:f>
              <c:numCache>
                <c:formatCode>General</c:formatCode>
                <c:ptCount val="2"/>
                <c:pt idx="0">
                  <c:v>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B-40B1-8946-45A7AF23B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359104"/>
        <c:axId val="170436035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Sheet1!$F$34:$F$35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Sheet1!$H$34:$H$35</c:f>
              <c:numCache>
                <c:formatCode>0.00%</c:formatCode>
                <c:ptCount val="2"/>
                <c:pt idx="0">
                  <c:v>8.6419753086419748E-2</c:v>
                </c:pt>
                <c:pt idx="1">
                  <c:v>1.2345679012345678E-2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0B1-8946-45A7AF23B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368240"/>
        <c:axId val="1600366992"/>
      </c:lineChart>
      <c:catAx>
        <c:axId val="170435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60352"/>
        <c:crosses val="autoZero"/>
        <c:auto val="1"/>
        <c:lblAlgn val="ctr"/>
        <c:lblOffset val="100"/>
        <c:noMultiLvlLbl val="0"/>
      </c:catAx>
      <c:valAx>
        <c:axId val="17043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59104"/>
        <c:crosses val="autoZero"/>
        <c:crossBetween val="between"/>
      </c:valAx>
      <c:valAx>
        <c:axId val="16003669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68240"/>
        <c:crosses val="max"/>
        <c:crossBetween val="between"/>
      </c:valAx>
      <c:catAx>
        <c:axId val="1600368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036699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Sheet1!$F$37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Sheet1!$G$37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4-45E5-8839-A302BC88992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Sheet1!$F$37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Sheet1!$H$37</c:f>
              <c:numCache>
                <c:formatCode>0.00%</c:formatCode>
                <c:ptCount val="1"/>
                <c:pt idx="0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4-45E5-8839-A302BC889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222352"/>
        <c:axId val="1601223600"/>
      </c:barChart>
      <c:catAx>
        <c:axId val="160122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23600"/>
        <c:crosses val="autoZero"/>
        <c:auto val="1"/>
        <c:lblAlgn val="ctr"/>
        <c:lblOffset val="100"/>
        <c:noMultiLvlLbl val="0"/>
      </c:catAx>
      <c:valAx>
        <c:axId val="160122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22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Sheet1!$F$39</c:f>
              <c:strCache>
                <c:ptCount val="1"/>
                <c:pt idx="0">
                  <c:v>[j]</c:v>
                </c:pt>
              </c:strCache>
            </c:strRef>
          </c:cat>
          <c:val>
            <c:numRef>
              <c:f>Sheet1!$G$39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8-4675-9675-1B87D7E209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Sheet1!$F$39</c:f>
              <c:strCache>
                <c:ptCount val="1"/>
                <c:pt idx="0">
                  <c:v>[j]</c:v>
                </c:pt>
              </c:strCache>
            </c:strRef>
          </c:cat>
          <c:val>
            <c:numRef>
              <c:f>Sheet1!$H$39</c:f>
              <c:numCache>
                <c:formatCode>0.00%</c:formatCode>
                <c:ptCount val="1"/>
                <c:pt idx="0">
                  <c:v>4.7393364928909956E-3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8-4675-9675-1B87D7E20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448096"/>
        <c:axId val="1714066912"/>
      </c:barChart>
      <c:catAx>
        <c:axId val="148644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066912"/>
        <c:crosses val="autoZero"/>
        <c:auto val="1"/>
        <c:lblAlgn val="ctr"/>
        <c:lblOffset val="100"/>
        <c:noMultiLvlLbl val="0"/>
      </c:catAx>
      <c:valAx>
        <c:axId val="171406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48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 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Sheet1!$F$41:$F$43</c:f>
              <c:strCache>
                <c:ptCount val="3"/>
                <c:pt idx="0">
                  <c:v>[pʰ]</c:v>
                </c:pt>
                <c:pt idx="1">
                  <c:v>[p]</c:v>
                </c:pt>
                <c:pt idx="2">
                  <c:v>[t]</c:v>
                </c:pt>
              </c:strCache>
            </c:strRef>
          </c:cat>
          <c:val>
            <c:numRef>
              <c:f>Sheet1!$G$41:$G$43</c:f>
              <c:numCache>
                <c:formatCode>General</c:formatCode>
                <c:ptCount val="3"/>
                <c:pt idx="0">
                  <c:v>29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2-43A4-87E6-0EFCB2EB5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789040"/>
        <c:axId val="160279028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Sheet1!$F$41:$F$43</c:f>
              <c:strCache>
                <c:ptCount val="3"/>
                <c:pt idx="0">
                  <c:v>[pʰ]</c:v>
                </c:pt>
                <c:pt idx="1">
                  <c:v>[p]</c:v>
                </c:pt>
                <c:pt idx="2">
                  <c:v>[t]</c:v>
                </c:pt>
              </c:strCache>
            </c:strRef>
          </c:cat>
          <c:val>
            <c:numRef>
              <c:f>Sheet1!$H$41:$H$43</c:f>
              <c:numCache>
                <c:formatCode>0.00%</c:formatCode>
                <c:ptCount val="3"/>
                <c:pt idx="0">
                  <c:v>0.17901234567901234</c:v>
                </c:pt>
                <c:pt idx="1">
                  <c:v>4.3209876543209874E-2</c:v>
                </c:pt>
                <c:pt idx="2">
                  <c:v>6.1728395061728392E-3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42-43A4-87E6-0EFCB2EB5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791952"/>
        <c:axId val="1602788624"/>
      </c:lineChart>
      <c:catAx>
        <c:axId val="160278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790288"/>
        <c:crosses val="autoZero"/>
        <c:auto val="1"/>
        <c:lblAlgn val="ctr"/>
        <c:lblOffset val="100"/>
        <c:noMultiLvlLbl val="0"/>
      </c:catAx>
      <c:valAx>
        <c:axId val="160279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789040"/>
        <c:crosses val="autoZero"/>
        <c:crossBetween val="between"/>
      </c:valAx>
      <c:valAx>
        <c:axId val="160278862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791952"/>
        <c:crosses val="max"/>
        <c:crossBetween val="between"/>
      </c:valAx>
      <c:catAx>
        <c:axId val="1602791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278862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Sheet1!$F$45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Sheet1!$G$45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2-45BD-AEDB-72E059DAF91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Sheet1!$F$45</c:f>
              <c:strCache>
                <c:ptCount val="1"/>
                <c:pt idx="0">
                  <c:v>[t]</c:v>
                </c:pt>
              </c:strCache>
            </c:strRef>
          </c:cat>
          <c:val>
            <c:numRef>
              <c:f>Sheet1!$H$45</c:f>
              <c:numCache>
                <c:formatCode>0.00%</c:formatCode>
                <c:ptCount val="1"/>
                <c:pt idx="0">
                  <c:v>0.15555555555555556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2-45BD-AEDB-72E059DAF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366160"/>
        <c:axId val="1600368656"/>
      </c:barChart>
      <c:catAx>
        <c:axId val="160036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68656"/>
        <c:crosses val="autoZero"/>
        <c:auto val="1"/>
        <c:lblAlgn val="ctr"/>
        <c:lblOffset val="100"/>
        <c:noMultiLvlLbl val="0"/>
      </c:catAx>
      <c:valAx>
        <c:axId val="16003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366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Sheet1!$F$47:$F$50</c:f>
              <c:strCache>
                <c:ptCount val="4"/>
                <c:pt idx="0">
                  <c:v>[tʰ]</c:v>
                </c:pt>
                <c:pt idx="1">
                  <c:v>[t͡s]</c:v>
                </c:pt>
                <c:pt idx="2">
                  <c:v>[tˤ]</c:v>
                </c:pt>
                <c:pt idx="3">
                  <c:v>[r]</c:v>
                </c:pt>
              </c:strCache>
            </c:strRef>
          </c:cat>
          <c:val>
            <c:numRef>
              <c:f>Sheet1!$G$47:$G$50</c:f>
              <c:numCache>
                <c:formatCode>General</c:formatCode>
                <c:ptCount val="4"/>
                <c:pt idx="0">
                  <c:v>32</c:v>
                </c:pt>
                <c:pt idx="1">
                  <c:v>10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3-4853-B815-44417640C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358272"/>
        <c:axId val="1602791536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Sheet1!$F$47:$F$50</c:f>
              <c:strCache>
                <c:ptCount val="4"/>
                <c:pt idx="0">
                  <c:v>[tʰ]</c:v>
                </c:pt>
                <c:pt idx="1">
                  <c:v>[t͡s]</c:v>
                </c:pt>
                <c:pt idx="2">
                  <c:v>[tˤ]</c:v>
                </c:pt>
                <c:pt idx="3">
                  <c:v>[r]</c:v>
                </c:pt>
              </c:strCache>
            </c:strRef>
          </c:cat>
          <c:val>
            <c:numRef>
              <c:f>Sheet1!$H$47:$H$50</c:f>
              <c:numCache>
                <c:formatCode>0.00%</c:formatCode>
                <c:ptCount val="4"/>
                <c:pt idx="0">
                  <c:v>0.21476510067114093</c:v>
                </c:pt>
                <c:pt idx="1">
                  <c:v>6.7114093959731544E-2</c:v>
                </c:pt>
                <c:pt idx="2">
                  <c:v>2.0134228187919462E-2</c:v>
                </c:pt>
                <c:pt idx="3">
                  <c:v>6.7114093959731542E-3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3-4853-B815-44417640C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436016"/>
        <c:axId val="1713437264"/>
      </c:lineChart>
      <c:catAx>
        <c:axId val="170435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791536"/>
        <c:crosses val="autoZero"/>
        <c:auto val="1"/>
        <c:lblAlgn val="ctr"/>
        <c:lblOffset val="100"/>
        <c:noMultiLvlLbl val="0"/>
      </c:catAx>
      <c:valAx>
        <c:axId val="160279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58272"/>
        <c:crosses val="autoZero"/>
        <c:crossBetween val="between"/>
      </c:valAx>
      <c:valAx>
        <c:axId val="171343726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436016"/>
        <c:crosses val="max"/>
        <c:crossBetween val="between"/>
      </c:valAx>
      <c:catAx>
        <c:axId val="1713436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34372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Sheet1!$F$52:$F$56</c:f>
              <c:strCache>
                <c:ptCount val="5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[θ]</c:v>
                </c:pt>
                <c:pt idx="4">
                  <c:v>[l]</c:v>
                </c:pt>
              </c:strCache>
            </c:strRef>
          </c:cat>
          <c:val>
            <c:numRef>
              <c:f>Sheet1!$G$52:$G$56</c:f>
              <c:numCache>
                <c:formatCode>General</c:formatCode>
                <c:ptCount val="5"/>
                <c:pt idx="0">
                  <c:v>38</c:v>
                </c:pt>
                <c:pt idx="1">
                  <c:v>14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E80-B3C2-4A6AD941C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216944"/>
        <c:axId val="1601219440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Sheet1!$F$52:$F$56</c:f>
              <c:strCache>
                <c:ptCount val="5"/>
                <c:pt idx="0">
                  <c:v>[t]</c:v>
                </c:pt>
                <c:pt idx="1">
                  <c:v>[d̥]</c:v>
                </c:pt>
                <c:pt idx="2">
                  <c:v>[tʰ]</c:v>
                </c:pt>
                <c:pt idx="3">
                  <c:v>[θ]</c:v>
                </c:pt>
                <c:pt idx="4">
                  <c:v>[l]</c:v>
                </c:pt>
              </c:strCache>
            </c:strRef>
          </c:cat>
          <c:val>
            <c:numRef>
              <c:f>Sheet1!$H$52:$H$56</c:f>
              <c:numCache>
                <c:formatCode>0.00%</c:formatCode>
                <c:ptCount val="5"/>
                <c:pt idx="0">
                  <c:v>0.27737226277372262</c:v>
                </c:pt>
                <c:pt idx="1">
                  <c:v>0.10218978102189781</c:v>
                </c:pt>
                <c:pt idx="2">
                  <c:v>1.4598540145985401E-2</c:v>
                </c:pt>
                <c:pt idx="3">
                  <c:v>7.2992700729927005E-3</c:v>
                </c:pt>
                <c:pt idx="4">
                  <c:v>7.2992700729927005E-3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C6-4E80-B3C2-4A6AD941C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218608"/>
        <c:axId val="1601227344"/>
      </c:lineChart>
      <c:catAx>
        <c:axId val="16012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19440"/>
        <c:crosses val="autoZero"/>
        <c:auto val="1"/>
        <c:lblAlgn val="ctr"/>
        <c:lblOffset val="100"/>
        <c:noMultiLvlLbl val="0"/>
      </c:catAx>
      <c:valAx>
        <c:axId val="16012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16944"/>
        <c:crosses val="autoZero"/>
        <c:crossBetween val="between"/>
      </c:valAx>
      <c:valAx>
        <c:axId val="160122734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218608"/>
        <c:crosses val="max"/>
        <c:crossBetween val="between"/>
      </c:valAx>
      <c:catAx>
        <c:axId val="1601218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12273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Sheet1!$F$58:$F$59</c:f>
              <c:strCache>
                <c:ptCount val="2"/>
                <c:pt idx="0">
                  <c:v>[d]</c:v>
                </c:pt>
                <c:pt idx="1">
                  <c:v>[tˤ]</c:v>
                </c:pt>
              </c:strCache>
            </c:strRef>
          </c:cat>
          <c:val>
            <c:numRef>
              <c:f>Sheet1!$G$58:$G$59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D-4D89-A569-39E62C39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529648"/>
        <c:axId val="1491527568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Sheet1!$F$58:$F$59</c:f>
              <c:strCache>
                <c:ptCount val="2"/>
                <c:pt idx="0">
                  <c:v>[d]</c:v>
                </c:pt>
                <c:pt idx="1">
                  <c:v>[tˤ]</c:v>
                </c:pt>
              </c:strCache>
            </c:strRef>
          </c:cat>
          <c:val>
            <c:numRef>
              <c:f>Sheet1!$H$58:$H$59</c:f>
              <c:numCache>
                <c:formatCode>0.00%</c:formatCode>
                <c:ptCount val="2"/>
                <c:pt idx="0">
                  <c:v>0.16666666666666666</c:v>
                </c:pt>
                <c:pt idx="1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D-4D89-A569-39E62C39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312448"/>
        <c:axId val="1496313696"/>
      </c:lineChart>
      <c:catAx>
        <c:axId val="14915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27568"/>
        <c:crosses val="autoZero"/>
        <c:auto val="1"/>
        <c:lblAlgn val="ctr"/>
        <c:lblOffset val="100"/>
        <c:noMultiLvlLbl val="0"/>
      </c:catAx>
      <c:valAx>
        <c:axId val="149152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29648"/>
        <c:crosses val="autoZero"/>
        <c:crossBetween val="between"/>
      </c:valAx>
      <c:valAx>
        <c:axId val="149631369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312448"/>
        <c:crosses val="max"/>
        <c:crossBetween val="between"/>
      </c:valAx>
      <c:catAx>
        <c:axId val="1496312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63136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Sheet2!$C$2:$C$20</c:f>
              <c:strCache>
                <c:ptCount val="19"/>
                <c:pt idx="0">
                  <c:v>degemination(reduce consonant cluster to one single consonant)</c:v>
                </c:pt>
                <c:pt idx="1">
                  <c:v>Diphthongization</c:v>
                </c:pt>
                <c:pt idx="2">
                  <c:v>Epenthesis(insert diphthong [u:] between  consnant cluster)</c:v>
                </c:pt>
                <c:pt idx="3">
                  <c:v>Epenthesis(insert vowel [ɑ:]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final consonant deletion</c:v>
                </c:pt>
                <c:pt idx="8">
                  <c:v>germination</c:v>
                </c:pt>
                <c:pt idx="9">
                  <c:v>Glottalization(insertion of  [ʔ] phone)</c:v>
                </c:pt>
                <c:pt idx="10">
                  <c:v>Monophthongization (phone change by which a diphthong [aw]becomes a monophthong[u:])</c:v>
                </c:pt>
                <c:pt idx="11">
                  <c:v>Nasal assimilation</c:v>
                </c:pt>
                <c:pt idx="12">
                  <c:v>syllable structure process (consonant deletion of  [r] phone), </c:v>
                </c:pt>
                <c:pt idx="13">
                  <c:v>syllable structure process (first syllable deletion) </c:v>
                </c:pt>
                <c:pt idx="14">
                  <c:v>syllable structure process (weak syllable deletion)</c:v>
                </c:pt>
                <c:pt idx="15">
                  <c:v>syllable structure process(final syllable deletion)</c:v>
                </c:pt>
                <c:pt idx="16">
                  <c:v>Vowelization</c:v>
                </c:pt>
                <c:pt idx="17">
                  <c:v>Glottalization(insertion of  [ʔ] phone)</c:v>
                </c:pt>
                <c:pt idx="18">
                  <c:v>syllable structure process (consonant insertion of  [j] phone)</c:v>
                </c:pt>
              </c:strCache>
            </c:strRef>
          </c:cat>
          <c:val>
            <c:numRef>
              <c:f>Sheet2!$D$2:$D$20</c:f>
              <c:numCache>
                <c:formatCode>General</c:formatCode>
                <c:ptCount val="19"/>
                <c:pt idx="0">
                  <c:v>22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15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6-4256-A512-43F270B32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7652640"/>
        <c:axId val="57765347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Sheet2!$C$2:$C$20</c:f>
              <c:strCache>
                <c:ptCount val="19"/>
                <c:pt idx="0">
                  <c:v>degemination(reduce consonant cluster to one single consonant)</c:v>
                </c:pt>
                <c:pt idx="1">
                  <c:v>Diphthongization</c:v>
                </c:pt>
                <c:pt idx="2">
                  <c:v>Epenthesis(insert diphthong [u:] between  consnant cluster)</c:v>
                </c:pt>
                <c:pt idx="3">
                  <c:v>Epenthesis(insert vowel [ɑ:] between  consnant cluster)</c:v>
                </c:pt>
                <c:pt idx="4">
                  <c:v>Epenthesis(insertion of [ ɑ] phone between consonant cluster)</c:v>
                </c:pt>
                <c:pt idx="5">
                  <c:v>Epenthesis(insertion of [ æ] phone between consonant cluster)</c:v>
                </c:pt>
                <c:pt idx="6">
                  <c:v>Epenthesis(insertion of [ɪ] phone between consonant cluster)</c:v>
                </c:pt>
                <c:pt idx="7">
                  <c:v>final consonant deletion</c:v>
                </c:pt>
                <c:pt idx="8">
                  <c:v>germination</c:v>
                </c:pt>
                <c:pt idx="9">
                  <c:v>Glottalization(insertion of  [ʔ] phone)</c:v>
                </c:pt>
                <c:pt idx="10">
                  <c:v>Monophthongization (phone change by which a diphthong [aw]becomes a monophthong[u:])</c:v>
                </c:pt>
                <c:pt idx="11">
                  <c:v>Nasal assimilation</c:v>
                </c:pt>
                <c:pt idx="12">
                  <c:v>syllable structure process (consonant deletion of  [r] phone), </c:v>
                </c:pt>
                <c:pt idx="13">
                  <c:v>syllable structure process (first syllable deletion) </c:v>
                </c:pt>
                <c:pt idx="14">
                  <c:v>syllable structure process (weak syllable deletion)</c:v>
                </c:pt>
                <c:pt idx="15">
                  <c:v>syllable structure process(final syllable deletion)</c:v>
                </c:pt>
                <c:pt idx="16">
                  <c:v>Vowelization</c:v>
                </c:pt>
                <c:pt idx="17">
                  <c:v>Glottalization(insertion of  [ʔ] phone)</c:v>
                </c:pt>
                <c:pt idx="18">
                  <c:v>syllable structure process (consonant insertion of  [j] phone)</c:v>
                </c:pt>
              </c:strCache>
            </c:strRef>
          </c:cat>
          <c:val>
            <c:numRef>
              <c:f>Sheet2!$E$2:$E$20</c:f>
              <c:numCache>
                <c:formatCode>0.00%</c:formatCode>
                <c:ptCount val="19"/>
                <c:pt idx="0">
                  <c:v>0.26829268292682928</c:v>
                </c:pt>
                <c:pt idx="2">
                  <c:v>8.1632653061224497E-3</c:v>
                </c:pt>
                <c:pt idx="3">
                  <c:v>1.2244897959183673E-2</c:v>
                </c:pt>
                <c:pt idx="4">
                  <c:v>6.1224489795918366E-2</c:v>
                </c:pt>
                <c:pt idx="5">
                  <c:v>6.1224489795918366E-2</c:v>
                </c:pt>
                <c:pt idx="6">
                  <c:v>4.0816326530612242E-2</c:v>
                </c:pt>
                <c:pt idx="7">
                  <c:v>1.179245283018868E-2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6-4256-A512-43F270B32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653056"/>
        <c:axId val="577648064"/>
      </c:lineChart>
      <c:catAx>
        <c:axId val="57765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53472"/>
        <c:crosses val="autoZero"/>
        <c:auto val="1"/>
        <c:lblAlgn val="ctr"/>
        <c:lblOffset val="100"/>
        <c:noMultiLvlLbl val="0"/>
      </c:catAx>
      <c:valAx>
        <c:axId val="5776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652640"/>
        <c:crosses val="autoZero"/>
        <c:crossBetween val="between"/>
      </c:valAx>
      <c:valAx>
        <c:axId val="577648064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577653056"/>
        <c:crosses val="max"/>
        <c:crossBetween val="between"/>
      </c:valAx>
      <c:catAx>
        <c:axId val="577653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76480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Sheet3!$C$2:$C$14</c:f>
              <c:strCache>
                <c:ptCount val="13"/>
                <c:pt idx="0">
                  <c:v>Definite Article deletion</c:v>
                </c:pt>
                <c:pt idx="1">
                  <c:v>replace the Modern Standard Arabic diphthong [æj]with the colloquial arabic vowel[e:]</c:v>
                </c:pt>
                <c:pt idx="2">
                  <c:v>replace the Modern Standard Arabic consonant [ðˤ]with the colloquial arabic consonant [zˤ]</c:v>
                </c:pt>
                <c:pt idx="3">
                  <c:v>replace  [j]with  [i:] affected by colloquial Arabic</c:v>
                </c:pt>
                <c:pt idx="4">
                  <c:v>Deletion of feminine marker</c:v>
                </c:pt>
                <c:pt idx="5">
                  <c:v>replace the Modern Standard Arabic diphthong [æw]with the colloquial arabic vowel[o:]</c:v>
                </c:pt>
                <c:pt idx="6">
                  <c:v>consonant deletion  of [ʔ] phone affected by colloquial Arabic</c:v>
                </c:pt>
                <c:pt idx="7">
                  <c:v>misreading</c:v>
                </c:pt>
                <c:pt idx="8">
                  <c:v>replace the Modern Standard Arabic diphthong [ ɑj]with the colloquial arabic vowel[e:]</c:v>
                </c:pt>
                <c:pt idx="9">
                  <c:v>replace the Modern Standard Arabic consonant [θ]with the colloquial arabic consonant [s]</c:v>
                </c:pt>
                <c:pt idx="10">
                  <c:v>replace the Modern Standard Arabic consonant [ð]with the colloquial arabic consonant [z]</c:v>
                </c:pt>
                <c:pt idx="11">
                  <c:v>replace the Modern Standard Arabic consonant [ð]with the colloquial arabic consonant [d]</c:v>
                </c:pt>
                <c:pt idx="12">
                  <c:v>replace feminine with masculine</c:v>
                </c:pt>
              </c:strCache>
            </c:strRef>
          </c:cat>
          <c:val>
            <c:numRef>
              <c:f>Sheet3!$D$2:$D$14</c:f>
              <c:numCache>
                <c:formatCode>General</c:formatCode>
                <c:ptCount val="13"/>
                <c:pt idx="0">
                  <c:v>53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D-4382-96FC-71962EDCD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911744"/>
        <c:axId val="668912992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Sheet3!$C$2:$C$14</c:f>
              <c:strCache>
                <c:ptCount val="13"/>
                <c:pt idx="0">
                  <c:v>Definite Article deletion</c:v>
                </c:pt>
                <c:pt idx="1">
                  <c:v>replace the Modern Standard Arabic diphthong [æj]with the colloquial arabic vowel[e:]</c:v>
                </c:pt>
                <c:pt idx="2">
                  <c:v>replace the Modern Standard Arabic consonant [ðˤ]with the colloquial arabic consonant [zˤ]</c:v>
                </c:pt>
                <c:pt idx="3">
                  <c:v>replace  [j]with  [i:] affected by colloquial Arabic</c:v>
                </c:pt>
                <c:pt idx="4">
                  <c:v>Deletion of feminine marker</c:v>
                </c:pt>
                <c:pt idx="5">
                  <c:v>replace the Modern Standard Arabic diphthong [æw]with the colloquial arabic vowel[o:]</c:v>
                </c:pt>
                <c:pt idx="6">
                  <c:v>consonant deletion  of [ʔ] phone affected by colloquial Arabic</c:v>
                </c:pt>
                <c:pt idx="7">
                  <c:v>misreading</c:v>
                </c:pt>
                <c:pt idx="8">
                  <c:v>replace the Modern Standard Arabic diphthong [ ɑj]with the colloquial arabic vowel[e:]</c:v>
                </c:pt>
                <c:pt idx="9">
                  <c:v>replace the Modern Standard Arabic consonant [θ]with the colloquial arabic consonant [s]</c:v>
                </c:pt>
                <c:pt idx="10">
                  <c:v>replace the Modern Standard Arabic consonant [ð]with the colloquial arabic consonant [z]</c:v>
                </c:pt>
                <c:pt idx="11">
                  <c:v>replace the Modern Standard Arabic consonant [ð]with the colloquial arabic consonant [d]</c:v>
                </c:pt>
                <c:pt idx="12">
                  <c:v>replace feminine with masculine</c:v>
                </c:pt>
              </c:strCache>
            </c:strRef>
          </c:cat>
          <c:val>
            <c:numRef>
              <c:f>Sheet3!$E$2:$E$14</c:f>
              <c:numCache>
                <c:formatCode>0.00%</c:formatCode>
                <c:ptCount val="13"/>
                <c:pt idx="0">
                  <c:v>0.3925925925925926</c:v>
                </c:pt>
                <c:pt idx="1">
                  <c:v>0.24</c:v>
                </c:pt>
                <c:pt idx="5">
                  <c:v>0.1111111111111111</c:v>
                </c:pt>
                <c:pt idx="8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D-4382-96FC-71962EDCD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914240"/>
        <c:axId val="668925472"/>
      </c:lineChart>
      <c:catAx>
        <c:axId val="66891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12992"/>
        <c:crosses val="autoZero"/>
        <c:auto val="1"/>
        <c:lblAlgn val="ctr"/>
        <c:lblOffset val="100"/>
        <c:noMultiLvlLbl val="0"/>
      </c:catAx>
      <c:valAx>
        <c:axId val="66891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11744"/>
        <c:crosses val="autoZero"/>
        <c:crossBetween val="between"/>
      </c:valAx>
      <c:valAx>
        <c:axId val="668925472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668914240"/>
        <c:crosses val="max"/>
        <c:crossBetween val="between"/>
      </c:valAx>
      <c:catAx>
        <c:axId val="668914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892547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0</xdr:row>
      <xdr:rowOff>758190</xdr:rowOff>
    </xdr:from>
    <xdr:to>
      <xdr:col>15</xdr:col>
      <xdr:colOff>335280</xdr:colOff>
      <xdr:row>3</xdr:row>
      <xdr:rowOff>670560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5</xdr:row>
      <xdr:rowOff>45720</xdr:rowOff>
    </xdr:from>
    <xdr:to>
      <xdr:col>15</xdr:col>
      <xdr:colOff>327660</xdr:colOff>
      <xdr:row>7</xdr:row>
      <xdr:rowOff>632460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502920</xdr:colOff>
      <xdr:row>9</xdr:row>
      <xdr:rowOff>38100</xdr:rowOff>
    </xdr:from>
    <xdr:to>
      <xdr:col>15</xdr:col>
      <xdr:colOff>289560</xdr:colOff>
      <xdr:row>9</xdr:row>
      <xdr:rowOff>2049780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</xdr:colOff>
      <xdr:row>11</xdr:row>
      <xdr:rowOff>60960</xdr:rowOff>
    </xdr:from>
    <xdr:to>
      <xdr:col>15</xdr:col>
      <xdr:colOff>320040</xdr:colOff>
      <xdr:row>12</xdr:row>
      <xdr:rowOff>861060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</xdr:colOff>
      <xdr:row>14</xdr:row>
      <xdr:rowOff>38100</xdr:rowOff>
    </xdr:from>
    <xdr:to>
      <xdr:col>15</xdr:col>
      <xdr:colOff>320040</xdr:colOff>
      <xdr:row>14</xdr:row>
      <xdr:rowOff>1607820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45720</xdr:colOff>
      <xdr:row>16</xdr:row>
      <xdr:rowOff>91440</xdr:rowOff>
    </xdr:from>
    <xdr:to>
      <xdr:col>15</xdr:col>
      <xdr:colOff>350520</xdr:colOff>
      <xdr:row>17</xdr:row>
      <xdr:rowOff>1234440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38100</xdr:colOff>
      <xdr:row>19</xdr:row>
      <xdr:rowOff>53340</xdr:rowOff>
    </xdr:from>
    <xdr:to>
      <xdr:col>15</xdr:col>
      <xdr:colOff>342900</xdr:colOff>
      <xdr:row>19</xdr:row>
      <xdr:rowOff>2095500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510540</xdr:colOff>
      <xdr:row>21</xdr:row>
      <xdr:rowOff>99060</xdr:rowOff>
    </xdr:from>
    <xdr:to>
      <xdr:col>15</xdr:col>
      <xdr:colOff>297180</xdr:colOff>
      <xdr:row>21</xdr:row>
      <xdr:rowOff>1485900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53340</xdr:colOff>
      <xdr:row>23</xdr:row>
      <xdr:rowOff>68580</xdr:rowOff>
    </xdr:from>
    <xdr:to>
      <xdr:col>15</xdr:col>
      <xdr:colOff>358140</xdr:colOff>
      <xdr:row>26</xdr:row>
      <xdr:rowOff>701040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38100</xdr:colOff>
      <xdr:row>28</xdr:row>
      <xdr:rowOff>106680</xdr:rowOff>
    </xdr:from>
    <xdr:to>
      <xdr:col>15</xdr:col>
      <xdr:colOff>342900</xdr:colOff>
      <xdr:row>29</xdr:row>
      <xdr:rowOff>1333500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31</xdr:row>
      <xdr:rowOff>38100</xdr:rowOff>
    </xdr:from>
    <xdr:to>
      <xdr:col>15</xdr:col>
      <xdr:colOff>304800</xdr:colOff>
      <xdr:row>31</xdr:row>
      <xdr:rowOff>1851660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502920</xdr:colOff>
      <xdr:row>33</xdr:row>
      <xdr:rowOff>83820</xdr:rowOff>
    </xdr:from>
    <xdr:to>
      <xdr:col>15</xdr:col>
      <xdr:colOff>289560</xdr:colOff>
      <xdr:row>34</xdr:row>
      <xdr:rowOff>1645920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15240</xdr:colOff>
      <xdr:row>36</xdr:row>
      <xdr:rowOff>106680</xdr:rowOff>
    </xdr:from>
    <xdr:to>
      <xdr:col>15</xdr:col>
      <xdr:colOff>320040</xdr:colOff>
      <xdr:row>36</xdr:row>
      <xdr:rowOff>1927860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15240</xdr:colOff>
      <xdr:row>38</xdr:row>
      <xdr:rowOff>76200</xdr:rowOff>
    </xdr:from>
    <xdr:to>
      <xdr:col>15</xdr:col>
      <xdr:colOff>320040</xdr:colOff>
      <xdr:row>38</xdr:row>
      <xdr:rowOff>1844040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76200</xdr:colOff>
      <xdr:row>40</xdr:row>
      <xdr:rowOff>91440</xdr:rowOff>
    </xdr:from>
    <xdr:to>
      <xdr:col>15</xdr:col>
      <xdr:colOff>381000</xdr:colOff>
      <xdr:row>42</xdr:row>
      <xdr:rowOff>678180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22860</xdr:colOff>
      <xdr:row>44</xdr:row>
      <xdr:rowOff>45720</xdr:rowOff>
    </xdr:from>
    <xdr:to>
      <xdr:col>15</xdr:col>
      <xdr:colOff>327660</xdr:colOff>
      <xdr:row>44</xdr:row>
      <xdr:rowOff>1935480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22860</xdr:colOff>
      <xdr:row>46</xdr:row>
      <xdr:rowOff>83820</xdr:rowOff>
    </xdr:from>
    <xdr:to>
      <xdr:col>15</xdr:col>
      <xdr:colOff>327660</xdr:colOff>
      <xdr:row>49</xdr:row>
      <xdr:rowOff>693420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30480</xdr:colOff>
      <xdr:row>51</xdr:row>
      <xdr:rowOff>144780</xdr:rowOff>
    </xdr:from>
    <xdr:to>
      <xdr:col>15</xdr:col>
      <xdr:colOff>335280</xdr:colOff>
      <xdr:row>55</xdr:row>
      <xdr:rowOff>670560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30480</xdr:colOff>
      <xdr:row>57</xdr:row>
      <xdr:rowOff>121920</xdr:rowOff>
    </xdr:from>
    <xdr:to>
      <xdr:col>15</xdr:col>
      <xdr:colOff>335280</xdr:colOff>
      <xdr:row>58</xdr:row>
      <xdr:rowOff>1775460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0</xdr:row>
      <xdr:rowOff>30480</xdr:rowOff>
    </xdr:from>
    <xdr:to>
      <xdr:col>18</xdr:col>
      <xdr:colOff>419100</xdr:colOff>
      <xdr:row>21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106680</xdr:rowOff>
    </xdr:from>
    <xdr:to>
      <xdr:col>19</xdr:col>
      <xdr:colOff>533400</xdr:colOff>
      <xdr:row>13</xdr:row>
      <xdr:rowOff>190500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94"/>
  <sheetViews>
    <sheetView tabSelected="1" zoomScaleNormal="100" workbookViewId="0">
      <selection activeCell="C5" sqref="C5"/>
    </sheetView>
  </sheetViews>
  <sheetFormatPr defaultRowHeight="15.6" thickTop="1" thickBottom="1" outlineLevelRow="2" x14ac:dyDescent="0.35"/>
  <cols>
    <col min="2" max="3" width="11.21875" style="14" customWidth="1"/>
    <col min="4" max="4" width="14.21875" style="14" customWidth="1"/>
    <col min="5" max="5" width="30.21875" style="60" customWidth="1"/>
    <col min="6" max="6" width="9" style="47" customWidth="1"/>
    <col min="7" max="7" width="7.5546875" style="47" customWidth="1"/>
    <col min="8" max="8" width="7.5546875" style="82" customWidth="1"/>
  </cols>
  <sheetData>
    <row r="1" spans="2:8" s="1" customFormat="1" ht="60" customHeight="1" thickTop="1" thickBot="1" x14ac:dyDescent="0.45">
      <c r="B1" s="4" t="s">
        <v>91</v>
      </c>
      <c r="C1" s="4" t="s">
        <v>112</v>
      </c>
      <c r="D1" s="5" t="s">
        <v>92</v>
      </c>
      <c r="E1" s="48" t="s">
        <v>93</v>
      </c>
      <c r="F1" s="43"/>
      <c r="G1" s="43" t="s">
        <v>113</v>
      </c>
      <c r="H1" s="68" t="s">
        <v>145</v>
      </c>
    </row>
    <row r="2" spans="2:8" ht="60" customHeight="1" outlineLevel="2" thickTop="1" thickBot="1" x14ac:dyDescent="0.35">
      <c r="B2" s="126" t="s">
        <v>71</v>
      </c>
      <c r="C2" s="126">
        <v>227</v>
      </c>
      <c r="D2" s="125" t="s">
        <v>69</v>
      </c>
      <c r="E2" s="49" t="s">
        <v>4</v>
      </c>
      <c r="F2" s="35" t="s">
        <v>116</v>
      </c>
      <c r="G2" s="35">
        <v>1</v>
      </c>
      <c r="H2" s="69">
        <f>G2/227</f>
        <v>4.4052863436123352E-3</v>
      </c>
    </row>
    <row r="3" spans="2:8" ht="60" customHeight="1" outlineLevel="2" thickTop="1" thickBot="1" x14ac:dyDescent="0.35">
      <c r="B3" s="126"/>
      <c r="C3" s="126"/>
      <c r="D3" s="125"/>
      <c r="E3" s="49" t="s">
        <v>35</v>
      </c>
      <c r="F3" s="35" t="s">
        <v>144</v>
      </c>
      <c r="G3" s="35">
        <v>1</v>
      </c>
      <c r="H3" s="69">
        <f>G3/227</f>
        <v>4.4052863436123352E-3</v>
      </c>
    </row>
    <row r="4" spans="2:8" ht="60" customHeight="1" outlineLevel="2" thickTop="1" thickBot="1" x14ac:dyDescent="0.35">
      <c r="B4" s="126"/>
      <c r="C4" s="126"/>
      <c r="D4" s="125"/>
      <c r="E4" s="49" t="s">
        <v>110</v>
      </c>
      <c r="F4" s="35" t="s">
        <v>118</v>
      </c>
      <c r="G4" s="35">
        <v>1</v>
      </c>
      <c r="H4" s="69">
        <f t="shared" ref="H4" si="0">G4/227</f>
        <v>4.4052863436123352E-3</v>
      </c>
    </row>
    <row r="5" spans="2:8" ht="41.4" customHeight="1" outlineLevel="1" thickTop="1" thickBot="1" x14ac:dyDescent="0.35">
      <c r="B5" s="139" t="s">
        <v>148</v>
      </c>
      <c r="C5" s="93">
        <f>SUBTOTAL(9,C2:C4)</f>
        <v>227</v>
      </c>
      <c r="D5" s="105"/>
      <c r="E5" s="49"/>
      <c r="F5" s="93"/>
      <c r="G5" s="93">
        <f>SUBTOTAL(9,G2:G4)</f>
        <v>3</v>
      </c>
      <c r="H5" s="69">
        <f>SUBTOTAL(9,H2:H4)</f>
        <v>1.3215859030837006E-2</v>
      </c>
    </row>
    <row r="6" spans="2:8" ht="60" customHeight="1" outlineLevel="2" thickTop="1" thickBot="1" x14ac:dyDescent="0.35">
      <c r="B6" s="135" t="s">
        <v>72</v>
      </c>
      <c r="C6" s="135">
        <v>297</v>
      </c>
      <c r="D6" s="134" t="s">
        <v>70</v>
      </c>
      <c r="E6" s="50" t="s">
        <v>5</v>
      </c>
      <c r="F6" s="32" t="s">
        <v>119</v>
      </c>
      <c r="G6" s="32">
        <v>1</v>
      </c>
      <c r="H6" s="70">
        <f>G6/297</f>
        <v>3.3670033670033669E-3</v>
      </c>
    </row>
    <row r="7" spans="2:8" ht="60" customHeight="1" outlineLevel="2" thickTop="1" thickBot="1" x14ac:dyDescent="0.35">
      <c r="B7" s="135"/>
      <c r="C7" s="135"/>
      <c r="D7" s="134"/>
      <c r="E7" s="50" t="s">
        <v>38</v>
      </c>
      <c r="F7" s="32" t="s">
        <v>117</v>
      </c>
      <c r="G7" s="32">
        <v>1</v>
      </c>
      <c r="H7" s="70">
        <f t="shared" ref="H7:H8" si="1">G7/297</f>
        <v>3.3670033670033669E-3</v>
      </c>
    </row>
    <row r="8" spans="2:8" ht="60" customHeight="1" outlineLevel="2" thickTop="1" thickBot="1" x14ac:dyDescent="0.35">
      <c r="B8" s="135"/>
      <c r="C8" s="135"/>
      <c r="D8" s="134"/>
      <c r="E8" s="50" t="s">
        <v>104</v>
      </c>
      <c r="F8" s="32" t="s">
        <v>119</v>
      </c>
      <c r="G8" s="32">
        <v>1</v>
      </c>
      <c r="H8" s="70">
        <f t="shared" si="1"/>
        <v>3.3670033670033669E-3</v>
      </c>
    </row>
    <row r="9" spans="2:8" ht="42.6" customHeight="1" outlineLevel="1" thickTop="1" thickBot="1" x14ac:dyDescent="0.35">
      <c r="B9" s="140" t="s">
        <v>149</v>
      </c>
      <c r="C9" s="95">
        <f>SUBTOTAL(9,C6:C8)</f>
        <v>297</v>
      </c>
      <c r="D9" s="94"/>
      <c r="E9" s="50"/>
      <c r="F9" s="95"/>
      <c r="G9" s="95">
        <f>SUBTOTAL(9,G6:G8)</f>
        <v>3</v>
      </c>
      <c r="H9" s="70">
        <f>SUBTOTAL(9,H6:H8)</f>
        <v>1.01010101010101E-2</v>
      </c>
    </row>
    <row r="10" spans="2:8" ht="166.8" customHeight="1" outlineLevel="2" thickTop="1" thickBot="1" x14ac:dyDescent="0.35">
      <c r="B10" s="7" t="s">
        <v>73</v>
      </c>
      <c r="C10" s="7">
        <v>116</v>
      </c>
      <c r="D10" s="12" t="s">
        <v>51</v>
      </c>
      <c r="E10" s="51" t="s">
        <v>95</v>
      </c>
      <c r="F10" s="34" t="s">
        <v>120</v>
      </c>
      <c r="G10" s="34">
        <v>2</v>
      </c>
      <c r="H10" s="71">
        <f>G10/C10</f>
        <v>1.7241379310344827E-2</v>
      </c>
    </row>
    <row r="11" spans="2:8" ht="30" customHeight="1" outlineLevel="1" thickTop="1" thickBot="1" x14ac:dyDescent="0.35">
      <c r="B11" s="141" t="s">
        <v>150</v>
      </c>
      <c r="C11" s="101">
        <f>SUBTOTAL(9,C10:C10)</f>
        <v>116</v>
      </c>
      <c r="D11" s="99"/>
      <c r="E11" s="51"/>
      <c r="F11" s="98"/>
      <c r="G11" s="98">
        <f>SUBTOTAL(9,G10:G10)</f>
        <v>2</v>
      </c>
      <c r="H11" s="71">
        <f>SUBTOTAL(9,H10:H10)</f>
        <v>1.7241379310344827E-2</v>
      </c>
    </row>
    <row r="12" spans="2:8" ht="90" customHeight="1" outlineLevel="2" thickTop="1" thickBot="1" x14ac:dyDescent="0.35">
      <c r="B12" s="137" t="s">
        <v>74</v>
      </c>
      <c r="C12" s="119">
        <v>29</v>
      </c>
      <c r="D12" s="136" t="s">
        <v>52</v>
      </c>
      <c r="E12" s="53" t="s">
        <v>102</v>
      </c>
      <c r="F12" s="36" t="s">
        <v>122</v>
      </c>
      <c r="G12" s="36">
        <v>5</v>
      </c>
      <c r="H12" s="72">
        <f>G12/29</f>
        <v>0.17241379310344829</v>
      </c>
    </row>
    <row r="13" spans="2:8" ht="70.2" customHeight="1" outlineLevel="2" thickTop="1" thickBot="1" x14ac:dyDescent="0.35">
      <c r="B13" s="137"/>
      <c r="C13" s="120"/>
      <c r="D13" s="136"/>
      <c r="E13" s="52" t="s">
        <v>99</v>
      </c>
      <c r="F13" s="36" t="s">
        <v>121</v>
      </c>
      <c r="G13" s="36">
        <v>3</v>
      </c>
      <c r="H13" s="72">
        <f>G13/29</f>
        <v>0.10344827586206896</v>
      </c>
    </row>
    <row r="14" spans="2:8" ht="26.4" customHeight="1" outlineLevel="1" thickTop="1" thickBot="1" x14ac:dyDescent="0.35">
      <c r="B14" s="142" t="s">
        <v>151</v>
      </c>
      <c r="C14" s="112">
        <f>SUBTOTAL(9,C12:C13)</f>
        <v>29</v>
      </c>
      <c r="D14" s="96"/>
      <c r="E14" s="52"/>
      <c r="F14" s="97"/>
      <c r="G14" s="97">
        <f>SUBTOTAL(9,G12:G13)</f>
        <v>8</v>
      </c>
      <c r="H14" s="72">
        <f>SUBTOTAL(9,H12:H13)</f>
        <v>0.27586206896551724</v>
      </c>
    </row>
    <row r="15" spans="2:8" ht="133.19999999999999" customHeight="1" outlineLevel="2" thickTop="1" thickBot="1" x14ac:dyDescent="0.35">
      <c r="B15" s="8" t="s">
        <v>75</v>
      </c>
      <c r="C15" s="8">
        <v>57</v>
      </c>
      <c r="D15" s="9" t="s">
        <v>53</v>
      </c>
      <c r="E15" s="50" t="s">
        <v>14</v>
      </c>
      <c r="F15" s="32" t="s">
        <v>121</v>
      </c>
      <c r="G15" s="32">
        <v>11</v>
      </c>
      <c r="H15" s="70">
        <f>G15/C15</f>
        <v>0.19298245614035087</v>
      </c>
    </row>
    <row r="16" spans="2:8" ht="30.6" customHeight="1" outlineLevel="1" thickTop="1" thickBot="1" x14ac:dyDescent="0.35">
      <c r="B16" s="140" t="s">
        <v>152</v>
      </c>
      <c r="C16" s="31">
        <f>SUBTOTAL(9,C15:C15)</f>
        <v>57</v>
      </c>
      <c r="D16" s="94"/>
      <c r="E16" s="50"/>
      <c r="F16" s="95"/>
      <c r="G16" s="95">
        <f>SUBTOTAL(9,G15:G15)</f>
        <v>11</v>
      </c>
      <c r="H16" s="70">
        <f>SUBTOTAL(9,H15:H15)</f>
        <v>0.19298245614035087</v>
      </c>
    </row>
    <row r="17" spans="2:8" ht="112.8" customHeight="1" outlineLevel="2" thickTop="1" thickBot="1" x14ac:dyDescent="0.35">
      <c r="B17" s="126" t="s">
        <v>76</v>
      </c>
      <c r="C17" s="121">
        <v>18</v>
      </c>
      <c r="D17" s="125" t="s">
        <v>54</v>
      </c>
      <c r="E17" s="49" t="s">
        <v>27</v>
      </c>
      <c r="F17" s="35" t="s">
        <v>123</v>
      </c>
      <c r="G17" s="35">
        <v>7</v>
      </c>
      <c r="H17" s="69">
        <f>G17/18</f>
        <v>0.3888888888888889</v>
      </c>
    </row>
    <row r="18" spans="2:8" ht="103.2" customHeight="1" outlineLevel="2" thickTop="1" thickBot="1" x14ac:dyDescent="0.35">
      <c r="B18" s="126"/>
      <c r="C18" s="122"/>
      <c r="D18" s="125"/>
      <c r="E18" s="49" t="s">
        <v>15</v>
      </c>
      <c r="F18" s="35" t="s">
        <v>124</v>
      </c>
      <c r="G18" s="35">
        <v>2</v>
      </c>
      <c r="H18" s="69">
        <f>G18/18</f>
        <v>0.1111111111111111</v>
      </c>
    </row>
    <row r="19" spans="2:8" ht="30.6" customHeight="1" outlineLevel="1" thickTop="1" thickBot="1" x14ac:dyDescent="0.35">
      <c r="B19" s="139" t="s">
        <v>153</v>
      </c>
      <c r="C19" s="107">
        <f>SUBTOTAL(9,C17:C18)</f>
        <v>18</v>
      </c>
      <c r="D19" s="105"/>
      <c r="E19" s="49"/>
      <c r="F19" s="93"/>
      <c r="G19" s="93">
        <f>SUBTOTAL(9,G17:G18)</f>
        <v>9</v>
      </c>
      <c r="H19" s="69">
        <f>SUBTOTAL(9,H17:H18)</f>
        <v>0.5</v>
      </c>
    </row>
    <row r="20" spans="2:8" ht="171" customHeight="1" outlineLevel="2" thickTop="1" thickBot="1" x14ac:dyDescent="0.35">
      <c r="B20" s="6" t="s">
        <v>77</v>
      </c>
      <c r="C20" s="6">
        <v>37</v>
      </c>
      <c r="D20" s="6" t="s">
        <v>55</v>
      </c>
      <c r="E20" s="53" t="s">
        <v>97</v>
      </c>
      <c r="F20" s="61" t="s">
        <v>123</v>
      </c>
      <c r="G20" s="61">
        <v>10</v>
      </c>
      <c r="H20" s="73">
        <f>G20/C20</f>
        <v>0.27027027027027029</v>
      </c>
    </row>
    <row r="21" spans="2:8" ht="40.200000000000003" customHeight="1" outlineLevel="1" thickTop="1" thickBot="1" x14ac:dyDescent="0.35">
      <c r="B21" s="142" t="s">
        <v>154</v>
      </c>
      <c r="C21" s="111">
        <f>SUBTOTAL(9,C20:C20)</f>
        <v>37</v>
      </c>
      <c r="D21" s="97"/>
      <c r="E21" s="53"/>
      <c r="F21" s="61"/>
      <c r="G21" s="61">
        <f>SUBTOTAL(9,G20:G20)</f>
        <v>10</v>
      </c>
      <c r="H21" s="73">
        <f>SUBTOTAL(9,H20:H20)</f>
        <v>0.27027027027027029</v>
      </c>
    </row>
    <row r="22" spans="2:8" ht="121.2" customHeight="1" outlineLevel="2" thickTop="1" thickBot="1" x14ac:dyDescent="0.35">
      <c r="B22" s="8" t="s">
        <v>78</v>
      </c>
      <c r="C22" s="24">
        <v>82</v>
      </c>
      <c r="D22" s="9" t="s">
        <v>56</v>
      </c>
      <c r="E22" s="50" t="s">
        <v>12</v>
      </c>
      <c r="F22" s="32" t="s">
        <v>125</v>
      </c>
      <c r="G22" s="32">
        <v>45</v>
      </c>
      <c r="H22" s="70">
        <f>G22/C22</f>
        <v>0.54878048780487809</v>
      </c>
    </row>
    <row r="23" spans="2:8" ht="30" customHeight="1" outlineLevel="1" thickTop="1" thickBot="1" x14ac:dyDescent="0.35">
      <c r="B23" s="140" t="s">
        <v>155</v>
      </c>
      <c r="C23" s="31">
        <f>SUBTOTAL(9,C22:C22)</f>
        <v>82</v>
      </c>
      <c r="D23" s="94"/>
      <c r="E23" s="50"/>
      <c r="F23" s="95"/>
      <c r="G23" s="95">
        <f>SUBTOTAL(9,G22:G22)</f>
        <v>45</v>
      </c>
      <c r="H23" s="70">
        <f>SUBTOTAL(9,H22:H22)</f>
        <v>0.54878048780487809</v>
      </c>
    </row>
    <row r="24" spans="2:8" ht="60" customHeight="1" outlineLevel="2" thickTop="1" thickBot="1" x14ac:dyDescent="0.35">
      <c r="B24" s="129" t="s">
        <v>79</v>
      </c>
      <c r="C24" s="123">
        <v>72</v>
      </c>
      <c r="D24" s="128" t="s">
        <v>57</v>
      </c>
      <c r="E24" s="51" t="s">
        <v>22</v>
      </c>
      <c r="F24" s="34" t="s">
        <v>128</v>
      </c>
      <c r="G24" s="34">
        <v>46</v>
      </c>
      <c r="H24" s="71">
        <f>G24/72</f>
        <v>0.63888888888888884</v>
      </c>
    </row>
    <row r="25" spans="2:8" ht="60" customHeight="1" outlineLevel="2" thickTop="1" thickBot="1" x14ac:dyDescent="0.35">
      <c r="B25" s="129"/>
      <c r="C25" s="124"/>
      <c r="D25" s="128"/>
      <c r="E25" s="51" t="s">
        <v>103</v>
      </c>
      <c r="F25" s="34" t="s">
        <v>127</v>
      </c>
      <c r="G25" s="34">
        <v>5</v>
      </c>
      <c r="H25" s="71">
        <f>G25/72</f>
        <v>6.9444444444444448E-2</v>
      </c>
    </row>
    <row r="26" spans="2:8" ht="60" customHeight="1" outlineLevel="2" thickTop="1" thickBot="1" x14ac:dyDescent="0.35">
      <c r="B26" s="129"/>
      <c r="C26" s="124"/>
      <c r="D26" s="128"/>
      <c r="E26" s="51" t="s">
        <v>18</v>
      </c>
      <c r="F26" s="34" t="s">
        <v>129</v>
      </c>
      <c r="G26" s="34">
        <v>3</v>
      </c>
      <c r="H26" s="71">
        <f>G26/72</f>
        <v>4.1666666666666664E-2</v>
      </c>
    </row>
    <row r="27" spans="2:8" ht="60" customHeight="1" outlineLevel="2" thickTop="1" thickBot="1" x14ac:dyDescent="0.35">
      <c r="B27" s="129"/>
      <c r="C27" s="124"/>
      <c r="D27" s="128"/>
      <c r="E27" s="51" t="s">
        <v>26</v>
      </c>
      <c r="F27" s="34" t="s">
        <v>126</v>
      </c>
      <c r="G27" s="34">
        <v>2</v>
      </c>
      <c r="H27" s="71">
        <f>G27/72</f>
        <v>2.7777777777777776E-2</v>
      </c>
    </row>
    <row r="28" spans="2:8" ht="22.2" customHeight="1" outlineLevel="1" thickTop="1" thickBot="1" x14ac:dyDescent="0.35">
      <c r="B28" s="141" t="s">
        <v>156</v>
      </c>
      <c r="C28" s="102">
        <f>SUBTOTAL(9,C24:C27)</f>
        <v>72</v>
      </c>
      <c r="D28" s="99"/>
      <c r="E28" s="51"/>
      <c r="F28" s="98"/>
      <c r="G28" s="98">
        <f>SUBTOTAL(9,G24:G27)</f>
        <v>56</v>
      </c>
      <c r="H28" s="71">
        <f>SUBTOTAL(9,H24:H27)</f>
        <v>0.77777777777777768</v>
      </c>
    </row>
    <row r="29" spans="2:8" ht="118.8" customHeight="1" outlineLevel="2" thickTop="1" thickBot="1" x14ac:dyDescent="0.35">
      <c r="B29" s="118" t="s">
        <v>80</v>
      </c>
      <c r="C29" s="118">
        <v>34</v>
      </c>
      <c r="D29" s="127" t="s">
        <v>58</v>
      </c>
      <c r="E29" s="83" t="s">
        <v>31</v>
      </c>
      <c r="F29" s="37" t="s">
        <v>130</v>
      </c>
      <c r="G29" s="37">
        <v>12</v>
      </c>
      <c r="H29" s="74">
        <f>G29/34</f>
        <v>0.35294117647058826</v>
      </c>
    </row>
    <row r="30" spans="2:8" ht="117" customHeight="1" outlineLevel="2" thickTop="1" thickBot="1" x14ac:dyDescent="0.35">
      <c r="B30" s="118"/>
      <c r="C30" s="118"/>
      <c r="D30" s="127"/>
      <c r="E30" s="54" t="s">
        <v>11</v>
      </c>
      <c r="F30" s="37" t="s">
        <v>131</v>
      </c>
      <c r="G30" s="37">
        <v>1</v>
      </c>
      <c r="H30" s="74">
        <f>G30/34</f>
        <v>2.9411764705882353E-2</v>
      </c>
    </row>
    <row r="31" spans="2:8" ht="26.4" customHeight="1" outlineLevel="1" thickTop="1" thickBot="1" x14ac:dyDescent="0.35">
      <c r="B31" s="144" t="s">
        <v>157</v>
      </c>
      <c r="C31" s="143">
        <f>SUBTOTAL(9,C29:C30)</f>
        <v>34</v>
      </c>
      <c r="D31" s="113"/>
      <c r="E31" s="54"/>
      <c r="F31" s="100"/>
      <c r="G31" s="100">
        <f>SUBTOTAL(9,G29:G30)</f>
        <v>13</v>
      </c>
      <c r="H31" s="74">
        <f>SUBTOTAL(9,H29:H30)</f>
        <v>0.38235294117647062</v>
      </c>
    </row>
    <row r="32" spans="2:8" ht="151.80000000000001" customHeight="1" outlineLevel="2" thickTop="1" thickBot="1" x14ac:dyDescent="0.35">
      <c r="B32" s="10" t="s">
        <v>81</v>
      </c>
      <c r="C32" s="21">
        <v>107</v>
      </c>
      <c r="D32" s="11" t="s">
        <v>59</v>
      </c>
      <c r="E32" s="84" t="s">
        <v>2</v>
      </c>
      <c r="F32" s="10" t="s">
        <v>132</v>
      </c>
      <c r="G32" s="10">
        <v>7</v>
      </c>
      <c r="H32" s="75">
        <f>G32/C32</f>
        <v>6.5420560747663545E-2</v>
      </c>
    </row>
    <row r="33" spans="2:8" ht="25.8" customHeight="1" outlineLevel="1" thickTop="1" thickBot="1" x14ac:dyDescent="0.35">
      <c r="B33" s="146" t="s">
        <v>158</v>
      </c>
      <c r="C33" s="21">
        <f>SUBTOTAL(9,C32:C32)</f>
        <v>107</v>
      </c>
      <c r="D33" s="145"/>
      <c r="E33" s="84"/>
      <c r="F33" s="10"/>
      <c r="G33" s="10">
        <f>SUBTOTAL(9,G32:G32)</f>
        <v>7</v>
      </c>
      <c r="H33" s="75">
        <f>SUBTOTAL(9,H32:H32)</f>
        <v>6.5420560747663545E-2</v>
      </c>
    </row>
    <row r="34" spans="2:8" ht="60" customHeight="1" outlineLevel="2" thickTop="1" thickBot="1" x14ac:dyDescent="0.35">
      <c r="B34" s="123" t="s">
        <v>82</v>
      </c>
      <c r="C34" s="123">
        <v>81</v>
      </c>
      <c r="D34" s="130" t="s">
        <v>60</v>
      </c>
      <c r="E34" s="51" t="s">
        <v>24</v>
      </c>
      <c r="F34" s="34" t="s">
        <v>133</v>
      </c>
      <c r="G34" s="34">
        <v>7</v>
      </c>
      <c r="H34" s="71">
        <f>G34/81</f>
        <v>8.6419753086419748E-2</v>
      </c>
    </row>
    <row r="35" spans="2:8" ht="136.19999999999999" customHeight="1" outlineLevel="2" thickTop="1" thickBot="1" x14ac:dyDescent="0.35">
      <c r="B35" s="124"/>
      <c r="C35" s="124"/>
      <c r="D35" s="131"/>
      <c r="E35" s="51" t="s">
        <v>23</v>
      </c>
      <c r="F35" s="34" t="s">
        <v>130</v>
      </c>
      <c r="G35" s="34">
        <v>1</v>
      </c>
      <c r="H35" s="71">
        <f>G35/81</f>
        <v>1.2345679012345678E-2</v>
      </c>
    </row>
    <row r="36" spans="2:8" ht="51" customHeight="1" outlineLevel="1" thickTop="1" thickBot="1" x14ac:dyDescent="0.35">
      <c r="B36" s="147" t="s">
        <v>159</v>
      </c>
      <c r="C36" s="102">
        <f>SUBTOTAL(9,C34:C35)</f>
        <v>81</v>
      </c>
      <c r="D36" s="104"/>
      <c r="E36" s="51"/>
      <c r="F36" s="98"/>
      <c r="G36" s="98">
        <f>SUBTOTAL(9,G34:G35)</f>
        <v>8</v>
      </c>
      <c r="H36" s="71">
        <f>SUBTOTAL(9,H34:H35)</f>
        <v>9.8765432098765427E-2</v>
      </c>
    </row>
    <row r="37" spans="2:8" ht="159" customHeight="1" outlineLevel="2" thickTop="1" thickBot="1" x14ac:dyDescent="0.35">
      <c r="B37" s="22" t="s">
        <v>83</v>
      </c>
      <c r="C37" s="22">
        <v>83</v>
      </c>
      <c r="D37" s="23" t="s">
        <v>61</v>
      </c>
      <c r="E37" s="55" t="s">
        <v>25</v>
      </c>
      <c r="F37" s="62" t="s">
        <v>134</v>
      </c>
      <c r="G37" s="62">
        <v>33</v>
      </c>
      <c r="H37" s="76">
        <f>G37/C37</f>
        <v>0.39759036144578314</v>
      </c>
    </row>
    <row r="38" spans="2:8" ht="37.200000000000003" customHeight="1" outlineLevel="1" thickTop="1" thickBot="1" x14ac:dyDescent="0.35">
      <c r="B38" s="148" t="s">
        <v>160</v>
      </c>
      <c r="C38" s="22">
        <f>SUBTOTAL(9,C37:C37)</f>
        <v>83</v>
      </c>
      <c r="D38" s="23"/>
      <c r="E38" s="55"/>
      <c r="F38" s="62"/>
      <c r="G38" s="62">
        <f>SUBTOTAL(9,G37:G37)</f>
        <v>33</v>
      </c>
      <c r="H38" s="76">
        <f>SUBTOTAL(9,H37:H37)</f>
        <v>0.39759036144578314</v>
      </c>
    </row>
    <row r="39" spans="2:8" ht="147.6" customHeight="1" outlineLevel="2" thickTop="1" thickBot="1" x14ac:dyDescent="0.35">
      <c r="B39" s="32" t="s">
        <v>84</v>
      </c>
      <c r="C39" s="31">
        <v>211</v>
      </c>
      <c r="D39" s="33" t="s">
        <v>62</v>
      </c>
      <c r="E39" s="50" t="s">
        <v>111</v>
      </c>
      <c r="F39" s="32" t="s">
        <v>118</v>
      </c>
      <c r="G39" s="32">
        <v>1</v>
      </c>
      <c r="H39" s="70">
        <f>G39/211</f>
        <v>4.7393364928909956E-3</v>
      </c>
    </row>
    <row r="40" spans="2:8" ht="19.2" customHeight="1" outlineLevel="1" thickTop="1" thickBot="1" x14ac:dyDescent="0.35">
      <c r="B40" s="150" t="s">
        <v>161</v>
      </c>
      <c r="C40" s="31">
        <f>SUBTOTAL(9,C39:C39)</f>
        <v>211</v>
      </c>
      <c r="D40" s="149"/>
      <c r="E40" s="50"/>
      <c r="F40" s="95"/>
      <c r="G40" s="95">
        <f>SUBTOTAL(9,G39:G39)</f>
        <v>1</v>
      </c>
      <c r="H40" s="70">
        <f>SUBTOTAL(9,H39:H39)</f>
        <v>4.7393364928909956E-3</v>
      </c>
    </row>
    <row r="41" spans="2:8" ht="60" customHeight="1" outlineLevel="2" thickTop="1" thickBot="1" x14ac:dyDescent="0.35">
      <c r="B41" s="121" t="s">
        <v>85</v>
      </c>
      <c r="C41" s="121">
        <v>162</v>
      </c>
      <c r="D41" s="132" t="s">
        <v>63</v>
      </c>
      <c r="E41" s="49" t="s">
        <v>32</v>
      </c>
      <c r="F41" s="35" t="s">
        <v>136</v>
      </c>
      <c r="G41" s="35">
        <v>29</v>
      </c>
      <c r="H41" s="69">
        <f>G41/162</f>
        <v>0.17901234567901234</v>
      </c>
    </row>
    <row r="42" spans="2:8" ht="60" customHeight="1" outlineLevel="2" thickTop="1" thickBot="1" x14ac:dyDescent="0.35">
      <c r="B42" s="122"/>
      <c r="C42" s="122"/>
      <c r="D42" s="133"/>
      <c r="E42" s="49" t="s">
        <v>33</v>
      </c>
      <c r="F42" s="35" t="s">
        <v>135</v>
      </c>
      <c r="G42" s="35">
        <v>7</v>
      </c>
      <c r="H42" s="69">
        <f>G42/162</f>
        <v>4.3209876543209874E-2</v>
      </c>
    </row>
    <row r="43" spans="2:8" ht="60" customHeight="1" outlineLevel="2" thickTop="1" thickBot="1" x14ac:dyDescent="0.35">
      <c r="B43" s="122"/>
      <c r="C43" s="122"/>
      <c r="D43" s="133"/>
      <c r="E43" s="49" t="s">
        <v>6</v>
      </c>
      <c r="F43" s="35" t="s">
        <v>137</v>
      </c>
      <c r="G43" s="35">
        <v>1</v>
      </c>
      <c r="H43" s="69">
        <f>G43/162</f>
        <v>6.1728395061728392E-3</v>
      </c>
    </row>
    <row r="44" spans="2:8" ht="60" customHeight="1" outlineLevel="1" thickTop="1" thickBot="1" x14ac:dyDescent="0.35">
      <c r="B44" s="151" t="s">
        <v>162</v>
      </c>
      <c r="C44" s="107">
        <f>SUBTOTAL(9,C41:C43)</f>
        <v>162</v>
      </c>
      <c r="D44" s="108"/>
      <c r="E44" s="49"/>
      <c r="F44" s="93"/>
      <c r="G44" s="93">
        <f>SUBTOTAL(9,G41:G43)</f>
        <v>37</v>
      </c>
      <c r="H44" s="69">
        <f>SUBTOTAL(9,H41:H43)</f>
        <v>0.22839506172839505</v>
      </c>
    </row>
    <row r="45" spans="2:8" ht="157.80000000000001" customHeight="1" outlineLevel="2" thickTop="1" thickBot="1" x14ac:dyDescent="0.35">
      <c r="B45" s="8" t="s">
        <v>86</v>
      </c>
      <c r="C45" s="8">
        <v>45</v>
      </c>
      <c r="D45" s="9" t="s">
        <v>64</v>
      </c>
      <c r="E45" s="50" t="s">
        <v>96</v>
      </c>
      <c r="F45" s="32" t="s">
        <v>137</v>
      </c>
      <c r="G45" s="32">
        <v>7</v>
      </c>
      <c r="H45" s="70">
        <f>G45/C45</f>
        <v>0.15555555555555556</v>
      </c>
    </row>
    <row r="46" spans="2:8" ht="15" customHeight="1" outlineLevel="1" thickTop="1" thickBot="1" x14ac:dyDescent="0.35">
      <c r="B46" s="140" t="s">
        <v>163</v>
      </c>
      <c r="C46" s="31">
        <f>SUBTOTAL(9,C45:C45)</f>
        <v>45</v>
      </c>
      <c r="D46" s="94"/>
      <c r="E46" s="50"/>
      <c r="F46" s="95"/>
      <c r="G46" s="95">
        <f>SUBTOTAL(9,G45:G45)</f>
        <v>7</v>
      </c>
      <c r="H46" s="70">
        <f>SUBTOTAL(9,H45:H45)</f>
        <v>0.15555555555555556</v>
      </c>
    </row>
    <row r="47" spans="2:8" ht="60" customHeight="1" outlineLevel="2" thickTop="1" thickBot="1" x14ac:dyDescent="0.35">
      <c r="B47" s="126" t="s">
        <v>87</v>
      </c>
      <c r="C47" s="121">
        <v>149</v>
      </c>
      <c r="D47" s="125" t="s">
        <v>65</v>
      </c>
      <c r="E47" s="49" t="s">
        <v>13</v>
      </c>
      <c r="F47" s="35" t="s">
        <v>140</v>
      </c>
      <c r="G47" s="35">
        <v>32</v>
      </c>
      <c r="H47" s="77">
        <f>G47/149</f>
        <v>0.21476510067114093</v>
      </c>
    </row>
    <row r="48" spans="2:8" ht="60" customHeight="1" outlineLevel="2" thickTop="1" thickBot="1" x14ac:dyDescent="0.35">
      <c r="B48" s="126"/>
      <c r="C48" s="122"/>
      <c r="D48" s="125"/>
      <c r="E48" s="49" t="s">
        <v>94</v>
      </c>
      <c r="F48" s="35" t="s">
        <v>139</v>
      </c>
      <c r="G48" s="35">
        <v>10</v>
      </c>
      <c r="H48" s="77">
        <f>G48/149</f>
        <v>6.7114093959731544E-2</v>
      </c>
    </row>
    <row r="49" spans="2:8" ht="60" customHeight="1" outlineLevel="2" thickTop="1" thickBot="1" x14ac:dyDescent="0.35">
      <c r="B49" s="126"/>
      <c r="C49" s="122"/>
      <c r="D49" s="125"/>
      <c r="E49" s="49" t="s">
        <v>16</v>
      </c>
      <c r="F49" s="63" t="s">
        <v>138</v>
      </c>
      <c r="G49" s="63">
        <v>3</v>
      </c>
      <c r="H49" s="77">
        <f>G49/149</f>
        <v>2.0134228187919462E-2</v>
      </c>
    </row>
    <row r="50" spans="2:8" ht="60" customHeight="1" outlineLevel="2" thickTop="1" thickBot="1" x14ac:dyDescent="0.35">
      <c r="B50" s="126"/>
      <c r="C50" s="122"/>
      <c r="D50" s="125"/>
      <c r="E50" s="49" t="s">
        <v>10</v>
      </c>
      <c r="F50" s="35" t="s">
        <v>117</v>
      </c>
      <c r="G50" s="35">
        <v>1</v>
      </c>
      <c r="H50" s="77">
        <f>G50/149</f>
        <v>6.7114093959731542E-3</v>
      </c>
    </row>
    <row r="51" spans="2:8" ht="15" customHeight="1" outlineLevel="1" thickTop="1" thickBot="1" x14ac:dyDescent="0.35">
      <c r="B51" s="139" t="s">
        <v>164</v>
      </c>
      <c r="C51" s="107">
        <f>SUBTOTAL(9,C47:C50)</f>
        <v>149</v>
      </c>
      <c r="D51" s="105"/>
      <c r="E51" s="49"/>
      <c r="F51" s="93"/>
      <c r="G51" s="93">
        <f>SUBTOTAL(9,G47:G50)</f>
        <v>46</v>
      </c>
      <c r="H51" s="77">
        <f>SUBTOTAL(9,H47:H50)</f>
        <v>0.3087248322147651</v>
      </c>
    </row>
    <row r="52" spans="2:8" ht="60" customHeight="1" outlineLevel="2" thickTop="1" thickBot="1" x14ac:dyDescent="0.35">
      <c r="B52" s="129" t="s">
        <v>88</v>
      </c>
      <c r="C52" s="123">
        <v>137</v>
      </c>
      <c r="D52" s="128" t="s">
        <v>66</v>
      </c>
      <c r="E52" s="51" t="s">
        <v>30</v>
      </c>
      <c r="F52" s="34" t="s">
        <v>137</v>
      </c>
      <c r="G52" s="34">
        <v>38</v>
      </c>
      <c r="H52" s="71">
        <f>G52/137</f>
        <v>0.27737226277372262</v>
      </c>
    </row>
    <row r="53" spans="2:8" ht="60" customHeight="1" outlineLevel="2" thickTop="1" thickBot="1" x14ac:dyDescent="0.35">
      <c r="B53" s="129"/>
      <c r="C53" s="124"/>
      <c r="D53" s="128"/>
      <c r="E53" s="51" t="s">
        <v>98</v>
      </c>
      <c r="F53" s="34" t="s">
        <v>141</v>
      </c>
      <c r="G53" s="34">
        <v>14</v>
      </c>
      <c r="H53" s="71">
        <f>G53/137</f>
        <v>0.10218978102189781</v>
      </c>
    </row>
    <row r="54" spans="2:8" ht="60" customHeight="1" outlineLevel="2" thickTop="1" thickBot="1" x14ac:dyDescent="0.35">
      <c r="B54" s="129"/>
      <c r="C54" s="124"/>
      <c r="D54" s="128"/>
      <c r="E54" s="51" t="s">
        <v>34</v>
      </c>
      <c r="F54" s="34" t="s">
        <v>140</v>
      </c>
      <c r="G54" s="34">
        <v>2</v>
      </c>
      <c r="H54" s="71">
        <f>G54/137</f>
        <v>1.4598540145985401E-2</v>
      </c>
    </row>
    <row r="55" spans="2:8" ht="60" customHeight="1" outlineLevel="2" thickTop="1" thickBot="1" x14ac:dyDescent="0.35">
      <c r="B55" s="129"/>
      <c r="C55" s="124"/>
      <c r="D55" s="128"/>
      <c r="E55" s="51" t="s">
        <v>28</v>
      </c>
      <c r="F55" s="13" t="s">
        <v>123</v>
      </c>
      <c r="G55" s="13">
        <v>1</v>
      </c>
      <c r="H55" s="71">
        <f>G55/137</f>
        <v>7.2992700729927005E-3</v>
      </c>
    </row>
    <row r="56" spans="2:8" ht="60" customHeight="1" outlineLevel="2" thickTop="1" thickBot="1" x14ac:dyDescent="0.35">
      <c r="B56" s="129"/>
      <c r="C56" s="124"/>
      <c r="D56" s="128"/>
      <c r="E56" s="51" t="s">
        <v>29</v>
      </c>
      <c r="F56" s="34" t="s">
        <v>142</v>
      </c>
      <c r="G56" s="34">
        <v>1</v>
      </c>
      <c r="H56" s="71">
        <f>G56/137</f>
        <v>7.2992700729927005E-3</v>
      </c>
    </row>
    <row r="57" spans="2:8" ht="26.4" customHeight="1" outlineLevel="1" thickTop="1" thickBot="1" x14ac:dyDescent="0.35">
      <c r="B57" s="152" t="s">
        <v>165</v>
      </c>
      <c r="C57" s="102">
        <f>SUBTOTAL(9,C52:C56)</f>
        <v>137</v>
      </c>
      <c r="D57" s="103"/>
      <c r="E57" s="51"/>
      <c r="F57" s="98"/>
      <c r="G57" s="98">
        <f>SUBTOTAL(9,G52:G56)</f>
        <v>56</v>
      </c>
      <c r="H57" s="71">
        <f>SUBTOTAL(9,H52:H56)</f>
        <v>0.40875912408759119</v>
      </c>
    </row>
    <row r="58" spans="2:8" ht="60" customHeight="1" outlineLevel="2" thickTop="1" thickBot="1" x14ac:dyDescent="0.35">
      <c r="B58" s="114" t="s">
        <v>89</v>
      </c>
      <c r="C58" s="114">
        <v>30</v>
      </c>
      <c r="D58" s="116" t="s">
        <v>67</v>
      </c>
      <c r="E58" s="56" t="s">
        <v>17</v>
      </c>
      <c r="F58" s="64" t="s">
        <v>143</v>
      </c>
      <c r="G58" s="64">
        <v>5</v>
      </c>
      <c r="H58" s="78">
        <f>G58/30</f>
        <v>0.16666666666666666</v>
      </c>
    </row>
    <row r="59" spans="2:8" ht="142.80000000000001" customHeight="1" outlineLevel="2" thickTop="1" thickBot="1" x14ac:dyDescent="0.35">
      <c r="B59" s="115"/>
      <c r="C59" s="115"/>
      <c r="D59" s="117"/>
      <c r="E59" s="85" t="s">
        <v>100</v>
      </c>
      <c r="F59" s="64" t="s">
        <v>138</v>
      </c>
      <c r="G59" s="64">
        <v>5</v>
      </c>
      <c r="H59" s="78">
        <f>G59/30</f>
        <v>0.16666666666666666</v>
      </c>
    </row>
    <row r="60" spans="2:8" ht="51" customHeight="1" outlineLevel="1" thickTop="1" thickBot="1" x14ac:dyDescent="0.35">
      <c r="B60" s="153" t="s">
        <v>166</v>
      </c>
      <c r="C60" s="109">
        <f>SUBTOTAL(9,C58:C59)</f>
        <v>30</v>
      </c>
      <c r="D60" s="110"/>
      <c r="E60" s="85"/>
      <c r="F60" s="64"/>
      <c r="G60" s="64">
        <f>SUBTOTAL(9,G58:G59)</f>
        <v>10</v>
      </c>
      <c r="H60" s="78">
        <f>SUBTOTAL(9,H58:H59)</f>
        <v>0.33333333333333331</v>
      </c>
    </row>
    <row r="61" spans="2:8" ht="13.8" customHeight="1" outlineLevel="2" thickTop="1" thickBot="1" x14ac:dyDescent="0.35">
      <c r="B61" s="42" t="s">
        <v>146</v>
      </c>
      <c r="C61" s="41">
        <v>96</v>
      </c>
      <c r="D61" s="40" t="s">
        <v>147</v>
      </c>
      <c r="E61" s="49">
        <v>0</v>
      </c>
      <c r="F61" s="42">
        <v>0</v>
      </c>
      <c r="G61" s="42">
        <v>0</v>
      </c>
      <c r="H61" s="69">
        <v>0</v>
      </c>
    </row>
    <row r="62" spans="2:8" ht="13.8" customHeight="1" outlineLevel="1" thickTop="1" thickBot="1" x14ac:dyDescent="0.35">
      <c r="B62" s="139" t="s">
        <v>167</v>
      </c>
      <c r="C62" s="106">
        <f>SUBTOTAL(9,C61:C61)</f>
        <v>96</v>
      </c>
      <c r="D62" s="105"/>
      <c r="E62" s="49"/>
      <c r="F62" s="93"/>
      <c r="G62" s="93">
        <f>SUBTOTAL(9,G61:G61)</f>
        <v>0</v>
      </c>
      <c r="H62" s="69">
        <f>SUBTOTAL(9,H61:H61)</f>
        <v>0</v>
      </c>
    </row>
    <row r="63" spans="2:8" ht="13.8" customHeight="1" outlineLevel="2" thickTop="1" thickBot="1" x14ac:dyDescent="0.35">
      <c r="B63" s="8" t="s">
        <v>90</v>
      </c>
      <c r="C63" s="24">
        <v>105</v>
      </c>
      <c r="D63" s="9" t="s">
        <v>68</v>
      </c>
      <c r="E63" s="50">
        <v>0</v>
      </c>
      <c r="F63" s="32">
        <v>0</v>
      </c>
      <c r="G63" s="32">
        <v>0</v>
      </c>
      <c r="H63" s="70">
        <v>0</v>
      </c>
    </row>
    <row r="64" spans="2:8" ht="13.8" customHeight="1" outlineLevel="1" thickTop="1" thickBot="1" x14ac:dyDescent="0.35">
      <c r="B64" s="140" t="s">
        <v>168</v>
      </c>
      <c r="C64" s="31">
        <f>SUBTOTAL(9,C63:C63)</f>
        <v>105</v>
      </c>
      <c r="D64" s="94"/>
      <c r="E64" s="50"/>
      <c r="F64" s="95"/>
      <c r="G64" s="95">
        <f>SUBTOTAL(9,G63:G63)</f>
        <v>0</v>
      </c>
      <c r="H64" s="70">
        <f>SUBTOTAL(9,H63:H63)</f>
        <v>0</v>
      </c>
    </row>
    <row r="65" spans="2:8" ht="16.8" customHeight="1" outlineLevel="2" thickTop="1" thickBot="1" x14ac:dyDescent="0.35">
      <c r="B65" s="8" t="s">
        <v>112</v>
      </c>
      <c r="C65" s="8"/>
      <c r="D65" s="9"/>
      <c r="E65" s="50"/>
      <c r="F65" s="32"/>
      <c r="G65" s="32">
        <f>SUM(G2:G63)</f>
        <v>730</v>
      </c>
      <c r="H65" s="70"/>
    </row>
    <row r="66" spans="2:8" ht="15" thickTop="1" x14ac:dyDescent="0.3">
      <c r="B66" s="39"/>
      <c r="C66" s="39"/>
      <c r="D66" s="39"/>
      <c r="E66" s="57"/>
      <c r="F66" s="44"/>
      <c r="G66" s="44"/>
      <c r="H66" s="79"/>
    </row>
    <row r="67" spans="2:8" ht="14.4" x14ac:dyDescent="0.3">
      <c r="B67" s="26"/>
      <c r="C67" s="26"/>
      <c r="D67" s="26"/>
      <c r="E67" s="58"/>
      <c r="F67" s="45"/>
      <c r="G67" s="45"/>
      <c r="H67" s="80"/>
    </row>
    <row r="68" spans="2:8" ht="14.4" x14ac:dyDescent="0.3">
      <c r="B68" s="26"/>
      <c r="C68" s="26"/>
      <c r="D68" s="26"/>
      <c r="E68" s="58"/>
      <c r="F68" s="45"/>
      <c r="G68" s="45"/>
      <c r="H68" s="80"/>
    </row>
    <row r="69" spans="2:8" ht="14.4" x14ac:dyDescent="0.3">
      <c r="B69" s="26"/>
      <c r="C69" s="26"/>
      <c r="D69" s="26"/>
      <c r="E69" s="58"/>
      <c r="F69" s="45"/>
      <c r="G69" s="45"/>
      <c r="H69" s="80"/>
    </row>
    <row r="70" spans="2:8" ht="14.4" x14ac:dyDescent="0.3">
      <c r="B70" s="26"/>
      <c r="C70" s="26"/>
      <c r="D70" s="26"/>
      <c r="E70" s="58"/>
      <c r="F70" s="45"/>
      <c r="G70" s="45"/>
      <c r="H70" s="80"/>
    </row>
    <row r="71" spans="2:8" ht="14.4" x14ac:dyDescent="0.3">
      <c r="B71" s="26"/>
      <c r="C71" s="26"/>
      <c r="D71" s="26"/>
      <c r="E71" s="58"/>
      <c r="F71" s="45"/>
      <c r="G71" s="45"/>
      <c r="H71" s="80"/>
    </row>
    <row r="72" spans="2:8" ht="14.4" x14ac:dyDescent="0.3">
      <c r="B72" s="26"/>
      <c r="C72" s="26"/>
      <c r="D72" s="26"/>
      <c r="E72" s="58"/>
      <c r="F72" s="45"/>
      <c r="G72" s="45"/>
      <c r="H72" s="80"/>
    </row>
    <row r="73" spans="2:8" ht="14.4" x14ac:dyDescent="0.3">
      <c r="B73" s="26"/>
      <c r="C73" s="26"/>
      <c r="D73" s="26"/>
      <c r="E73" s="58"/>
      <c r="F73" s="45"/>
      <c r="G73" s="45"/>
      <c r="H73" s="80"/>
    </row>
    <row r="74" spans="2:8" ht="14.4" x14ac:dyDescent="0.3">
      <c r="B74" s="26"/>
      <c r="C74" s="26"/>
      <c r="D74" s="26"/>
      <c r="E74" s="58"/>
      <c r="F74" s="45"/>
      <c r="G74" s="45"/>
      <c r="H74" s="80"/>
    </row>
    <row r="75" spans="2:8" ht="14.4" x14ac:dyDescent="0.3">
      <c r="B75" s="26"/>
      <c r="C75" s="26"/>
      <c r="D75" s="26"/>
      <c r="E75" s="58"/>
      <c r="F75" s="45"/>
      <c r="G75" s="45"/>
      <c r="H75" s="80"/>
    </row>
    <row r="76" spans="2:8" ht="14.4" x14ac:dyDescent="0.3">
      <c r="B76" s="26"/>
      <c r="C76" s="26"/>
      <c r="D76" s="26"/>
      <c r="E76" s="58"/>
      <c r="F76" s="45"/>
      <c r="G76" s="45"/>
      <c r="H76" s="80"/>
    </row>
    <row r="77" spans="2:8" ht="14.4" x14ac:dyDescent="0.3">
      <c r="B77" s="26"/>
      <c r="C77" s="26"/>
      <c r="D77" s="26"/>
      <c r="E77" s="58"/>
      <c r="F77" s="45"/>
      <c r="G77" s="45"/>
      <c r="H77" s="80"/>
    </row>
    <row r="78" spans="2:8" ht="14.4" x14ac:dyDescent="0.3">
      <c r="B78" s="26"/>
      <c r="C78" s="26"/>
      <c r="D78" s="26"/>
      <c r="E78" s="58"/>
      <c r="F78" s="45"/>
      <c r="G78" s="45"/>
      <c r="H78" s="80"/>
    </row>
    <row r="79" spans="2:8" ht="14.4" x14ac:dyDescent="0.3">
      <c r="B79" s="26"/>
      <c r="C79" s="26"/>
      <c r="D79" s="26"/>
      <c r="E79" s="58"/>
      <c r="F79" s="45"/>
      <c r="G79" s="45"/>
      <c r="H79" s="80"/>
    </row>
    <row r="80" spans="2:8" ht="14.4" x14ac:dyDescent="0.3">
      <c r="B80" s="26"/>
      <c r="C80" s="26"/>
      <c r="D80" s="26"/>
      <c r="E80" s="58"/>
      <c r="F80" s="45"/>
      <c r="G80" s="45"/>
      <c r="H80" s="80"/>
    </row>
    <row r="81" spans="2:8" ht="14.4" x14ac:dyDescent="0.3">
      <c r="B81" s="26"/>
      <c r="C81" s="26"/>
      <c r="D81" s="26"/>
      <c r="E81" s="58"/>
      <c r="F81" s="45"/>
      <c r="G81" s="45"/>
      <c r="H81" s="80"/>
    </row>
    <row r="82" spans="2:8" ht="14.4" x14ac:dyDescent="0.3">
      <c r="B82" s="26"/>
      <c r="C82" s="26"/>
      <c r="D82" s="26"/>
      <c r="E82" s="58"/>
      <c r="F82" s="45"/>
      <c r="G82" s="45"/>
      <c r="H82" s="80"/>
    </row>
    <row r="83" spans="2:8" ht="14.4" x14ac:dyDescent="0.3">
      <c r="B83" s="26"/>
      <c r="C83" s="26"/>
      <c r="D83" s="26"/>
      <c r="E83" s="58"/>
      <c r="F83" s="45"/>
      <c r="G83" s="45"/>
      <c r="H83" s="80"/>
    </row>
    <row r="84" spans="2:8" ht="14.4" x14ac:dyDescent="0.3">
      <c r="B84" s="26"/>
      <c r="C84" s="26"/>
      <c r="D84" s="26"/>
      <c r="E84" s="58"/>
      <c r="F84" s="45"/>
      <c r="G84" s="45"/>
      <c r="H84" s="80"/>
    </row>
    <row r="85" spans="2:8" ht="14.4" x14ac:dyDescent="0.3">
      <c r="B85" s="26"/>
      <c r="C85" s="26"/>
      <c r="D85" s="26"/>
      <c r="E85" s="58"/>
      <c r="F85" s="45"/>
      <c r="G85" s="45"/>
      <c r="H85" s="80"/>
    </row>
    <row r="86" spans="2:8" ht="14.4" x14ac:dyDescent="0.3">
      <c r="B86" s="26"/>
      <c r="C86" s="26"/>
      <c r="D86" s="26"/>
      <c r="E86" s="58"/>
      <c r="F86" s="45"/>
      <c r="G86" s="45"/>
      <c r="H86" s="80"/>
    </row>
    <row r="87" spans="2:8" ht="14.4" x14ac:dyDescent="0.3">
      <c r="B87" s="26"/>
      <c r="C87" s="26"/>
      <c r="D87" s="26"/>
      <c r="E87" s="58"/>
      <c r="F87" s="45"/>
      <c r="G87" s="45"/>
      <c r="H87" s="80"/>
    </row>
    <row r="88" spans="2:8" ht="14.4" x14ac:dyDescent="0.3">
      <c r="B88" s="26"/>
      <c r="C88" s="26"/>
      <c r="D88" s="26"/>
      <c r="E88" s="58"/>
      <c r="F88" s="45"/>
      <c r="G88" s="45"/>
      <c r="H88" s="80"/>
    </row>
    <row r="89" spans="2:8" ht="14.4" x14ac:dyDescent="0.3">
      <c r="B89" s="26"/>
      <c r="C89" s="26"/>
      <c r="D89" s="26"/>
      <c r="E89" s="58"/>
      <c r="F89" s="45"/>
      <c r="G89" s="45"/>
      <c r="H89" s="80"/>
    </row>
    <row r="90" spans="2:8" ht="14.4" x14ac:dyDescent="0.3">
      <c r="B90" s="26"/>
      <c r="C90" s="26"/>
      <c r="D90" s="26"/>
      <c r="E90" s="58"/>
      <c r="F90" s="45"/>
      <c r="G90" s="45"/>
      <c r="H90" s="80"/>
    </row>
    <row r="91" spans="2:8" ht="14.4" x14ac:dyDescent="0.3">
      <c r="B91" s="26"/>
      <c r="C91" s="26"/>
      <c r="D91" s="26"/>
      <c r="E91" s="58"/>
      <c r="F91" s="45"/>
      <c r="G91" s="45"/>
      <c r="H91" s="80"/>
    </row>
    <row r="92" spans="2:8" ht="14.4" x14ac:dyDescent="0.3">
      <c r="B92" s="26"/>
      <c r="C92" s="26"/>
      <c r="D92" s="26"/>
      <c r="E92" s="58"/>
      <c r="F92" s="45"/>
      <c r="G92" s="45"/>
      <c r="H92" s="80"/>
    </row>
    <row r="93" spans="2:8" ht="14.4" x14ac:dyDescent="0.3">
      <c r="B93" s="26"/>
      <c r="C93" s="26"/>
      <c r="D93" s="26"/>
      <c r="E93" s="58"/>
      <c r="F93" s="45"/>
      <c r="G93" s="45"/>
      <c r="H93" s="80"/>
    </row>
    <row r="94" spans="2:8" ht="14.4" x14ac:dyDescent="0.3">
      <c r="B94" s="26"/>
      <c r="C94" s="26"/>
      <c r="D94" s="26"/>
      <c r="E94" s="58"/>
      <c r="F94" s="45"/>
      <c r="G94" s="45"/>
      <c r="H94" s="80"/>
    </row>
    <row r="95" spans="2:8" ht="14.4" x14ac:dyDescent="0.3">
      <c r="B95" s="26"/>
      <c r="C95" s="26"/>
      <c r="D95" s="26"/>
      <c r="E95" s="58"/>
      <c r="F95" s="45"/>
      <c r="G95" s="45"/>
      <c r="H95" s="80"/>
    </row>
    <row r="96" spans="2:8" ht="14.4" x14ac:dyDescent="0.3">
      <c r="B96" s="26"/>
      <c r="C96" s="26"/>
      <c r="D96" s="26"/>
      <c r="E96" s="58"/>
      <c r="F96" s="45"/>
      <c r="G96" s="45"/>
      <c r="H96" s="80"/>
    </row>
    <row r="97" spans="2:8" ht="14.4" x14ac:dyDescent="0.3">
      <c r="B97" s="26"/>
      <c r="C97" s="26"/>
      <c r="D97" s="26"/>
      <c r="E97" s="58"/>
      <c r="F97" s="45"/>
      <c r="G97" s="45"/>
      <c r="H97" s="80"/>
    </row>
    <row r="98" spans="2:8" ht="14.4" x14ac:dyDescent="0.3">
      <c r="B98" s="26"/>
      <c r="C98" s="26"/>
      <c r="D98" s="26"/>
      <c r="E98" s="58"/>
      <c r="F98" s="45"/>
      <c r="G98" s="45"/>
      <c r="H98" s="80"/>
    </row>
    <row r="99" spans="2:8" ht="14.4" x14ac:dyDescent="0.3">
      <c r="B99" s="26"/>
      <c r="C99" s="26"/>
      <c r="D99" s="26"/>
      <c r="E99" s="58"/>
      <c r="F99" s="45"/>
      <c r="G99" s="45"/>
      <c r="H99" s="80"/>
    </row>
    <row r="100" spans="2:8" ht="14.4" x14ac:dyDescent="0.3">
      <c r="B100" s="26"/>
      <c r="C100" s="26"/>
      <c r="D100" s="26"/>
      <c r="E100" s="58"/>
      <c r="F100" s="45"/>
      <c r="G100" s="45"/>
      <c r="H100" s="80"/>
    </row>
    <row r="101" spans="2:8" ht="14.4" x14ac:dyDescent="0.3">
      <c r="B101" s="26"/>
      <c r="C101" s="26"/>
      <c r="D101" s="26"/>
      <c r="E101" s="58"/>
      <c r="F101" s="45"/>
      <c r="G101" s="45"/>
      <c r="H101" s="80"/>
    </row>
    <row r="102" spans="2:8" ht="14.4" x14ac:dyDescent="0.3">
      <c r="B102" s="26"/>
      <c r="C102" s="26"/>
      <c r="D102" s="26"/>
      <c r="E102" s="58"/>
      <c r="F102" s="45"/>
      <c r="G102" s="45"/>
      <c r="H102" s="80"/>
    </row>
    <row r="103" spans="2:8" ht="14.4" x14ac:dyDescent="0.3">
      <c r="B103" s="26"/>
      <c r="C103" s="26"/>
      <c r="D103" s="26"/>
      <c r="E103" s="58"/>
      <c r="F103" s="45"/>
      <c r="G103" s="45"/>
      <c r="H103" s="80"/>
    </row>
    <row r="104" spans="2:8" ht="14.4" x14ac:dyDescent="0.3">
      <c r="B104" s="26"/>
      <c r="C104" s="26"/>
      <c r="D104" s="26"/>
      <c r="E104" s="58"/>
      <c r="F104" s="45"/>
      <c r="G104" s="45"/>
      <c r="H104" s="80"/>
    </row>
    <row r="105" spans="2:8" ht="14.4" x14ac:dyDescent="0.3">
      <c r="B105" s="26"/>
      <c r="C105" s="26"/>
      <c r="D105" s="26"/>
      <c r="E105" s="58"/>
      <c r="F105" s="45"/>
      <c r="G105" s="45"/>
      <c r="H105" s="80"/>
    </row>
    <row r="106" spans="2:8" ht="14.4" x14ac:dyDescent="0.3">
      <c r="B106" s="26"/>
      <c r="C106" s="26"/>
      <c r="D106" s="26"/>
      <c r="E106" s="58"/>
      <c r="F106" s="45"/>
      <c r="G106" s="45"/>
      <c r="H106" s="80"/>
    </row>
    <row r="107" spans="2:8" ht="14.4" x14ac:dyDescent="0.3">
      <c r="B107" s="26"/>
      <c r="C107" s="26"/>
      <c r="D107" s="26"/>
      <c r="E107" s="58"/>
      <c r="F107" s="45"/>
      <c r="G107" s="45"/>
      <c r="H107" s="80"/>
    </row>
    <row r="108" spans="2:8" ht="14.4" x14ac:dyDescent="0.3">
      <c r="B108" s="26"/>
      <c r="C108" s="26"/>
      <c r="D108" s="26"/>
      <c r="E108" s="58"/>
      <c r="F108" s="45"/>
      <c r="G108" s="45"/>
      <c r="H108" s="80"/>
    </row>
    <row r="109" spans="2:8" ht="14.4" x14ac:dyDescent="0.3">
      <c r="B109" s="26"/>
      <c r="C109" s="26"/>
      <c r="D109" s="26"/>
      <c r="E109" s="58"/>
      <c r="F109" s="45"/>
      <c r="G109" s="45"/>
      <c r="H109" s="80"/>
    </row>
    <row r="110" spans="2:8" ht="14.4" x14ac:dyDescent="0.3">
      <c r="B110" s="26"/>
      <c r="C110" s="26"/>
      <c r="D110" s="26"/>
      <c r="E110" s="58"/>
      <c r="F110" s="45"/>
      <c r="G110" s="45"/>
      <c r="H110" s="80"/>
    </row>
    <row r="111" spans="2:8" ht="14.4" x14ac:dyDescent="0.3">
      <c r="B111" s="26"/>
      <c r="C111" s="26"/>
      <c r="D111" s="26"/>
      <c r="E111" s="58"/>
      <c r="F111" s="45"/>
      <c r="G111" s="45"/>
      <c r="H111" s="80"/>
    </row>
    <row r="112" spans="2:8" ht="14.4" x14ac:dyDescent="0.3">
      <c r="B112" s="26"/>
      <c r="C112" s="26"/>
      <c r="D112" s="26"/>
      <c r="E112" s="58"/>
      <c r="F112" s="45"/>
      <c r="G112" s="45"/>
      <c r="H112" s="80"/>
    </row>
    <row r="113" spans="2:8" ht="14.4" x14ac:dyDescent="0.3">
      <c r="B113" s="26"/>
      <c r="C113" s="26"/>
      <c r="D113" s="26"/>
      <c r="E113" s="58"/>
      <c r="F113" s="45"/>
      <c r="G113" s="45"/>
      <c r="H113" s="80"/>
    </row>
    <row r="114" spans="2:8" ht="14.4" x14ac:dyDescent="0.3">
      <c r="B114" s="26"/>
      <c r="C114" s="26"/>
      <c r="D114" s="26"/>
      <c r="E114" s="58"/>
      <c r="F114" s="45"/>
      <c r="G114" s="45"/>
      <c r="H114" s="80"/>
    </row>
    <row r="115" spans="2:8" ht="14.4" x14ac:dyDescent="0.3">
      <c r="B115" s="26"/>
      <c r="C115" s="26"/>
      <c r="D115" s="26"/>
      <c r="E115" s="58"/>
      <c r="F115" s="45"/>
      <c r="G115" s="45"/>
      <c r="H115" s="80"/>
    </row>
    <row r="116" spans="2:8" ht="14.4" x14ac:dyDescent="0.3">
      <c r="B116" s="26"/>
      <c r="C116" s="26"/>
      <c r="D116" s="26"/>
      <c r="E116" s="58"/>
      <c r="F116" s="45"/>
      <c r="G116" s="45"/>
      <c r="H116" s="80"/>
    </row>
    <row r="117" spans="2:8" ht="14.4" x14ac:dyDescent="0.3">
      <c r="B117" s="26"/>
      <c r="C117" s="26"/>
      <c r="D117" s="26"/>
      <c r="E117" s="58"/>
      <c r="F117" s="45"/>
      <c r="G117" s="45"/>
      <c r="H117" s="80"/>
    </row>
    <row r="118" spans="2:8" ht="14.4" x14ac:dyDescent="0.3">
      <c r="B118" s="26"/>
      <c r="C118" s="26"/>
      <c r="D118" s="26"/>
      <c r="E118" s="58"/>
      <c r="F118" s="45"/>
      <c r="G118" s="45"/>
      <c r="H118" s="80"/>
    </row>
    <row r="119" spans="2:8" ht="14.4" x14ac:dyDescent="0.3">
      <c r="B119" s="26"/>
      <c r="C119" s="26"/>
      <c r="D119" s="26"/>
      <c r="E119" s="58"/>
      <c r="F119" s="45"/>
      <c r="G119" s="45"/>
      <c r="H119" s="80"/>
    </row>
    <row r="120" spans="2:8" ht="14.4" x14ac:dyDescent="0.3">
      <c r="B120" s="26"/>
      <c r="C120" s="26"/>
      <c r="D120" s="26"/>
      <c r="E120" s="58"/>
      <c r="F120" s="45"/>
      <c r="G120" s="45"/>
      <c r="H120" s="80"/>
    </row>
    <row r="121" spans="2:8" ht="14.4" x14ac:dyDescent="0.3">
      <c r="B121" s="26"/>
      <c r="C121" s="26"/>
      <c r="D121" s="26"/>
      <c r="E121" s="58"/>
      <c r="F121" s="45"/>
      <c r="G121" s="45"/>
      <c r="H121" s="80"/>
    </row>
    <row r="122" spans="2:8" ht="14.4" x14ac:dyDescent="0.3">
      <c r="B122" s="26"/>
      <c r="C122" s="26"/>
      <c r="D122" s="26"/>
      <c r="E122" s="58"/>
      <c r="F122" s="45"/>
      <c r="G122" s="45"/>
      <c r="H122" s="80"/>
    </row>
    <row r="123" spans="2:8" ht="14.4" x14ac:dyDescent="0.3">
      <c r="B123" s="26"/>
      <c r="C123" s="26"/>
      <c r="D123" s="26"/>
      <c r="E123" s="58"/>
      <c r="F123" s="45"/>
      <c r="G123" s="45"/>
      <c r="H123" s="80"/>
    </row>
    <row r="124" spans="2:8" ht="14.4" x14ac:dyDescent="0.3">
      <c r="B124" s="26"/>
      <c r="C124" s="26"/>
      <c r="D124" s="26"/>
      <c r="E124" s="58"/>
      <c r="F124" s="45"/>
      <c r="G124" s="45"/>
      <c r="H124" s="80"/>
    </row>
    <row r="125" spans="2:8" ht="14.4" x14ac:dyDescent="0.3">
      <c r="B125" s="26"/>
      <c r="C125" s="26"/>
      <c r="D125" s="26"/>
      <c r="E125" s="58"/>
      <c r="F125" s="45"/>
      <c r="G125" s="45"/>
      <c r="H125" s="80"/>
    </row>
    <row r="126" spans="2:8" ht="14.4" x14ac:dyDescent="0.3">
      <c r="B126" s="26"/>
      <c r="C126" s="26"/>
      <c r="D126" s="26"/>
      <c r="E126" s="58"/>
      <c r="F126" s="45"/>
      <c r="G126" s="45"/>
      <c r="H126" s="80"/>
    </row>
    <row r="127" spans="2:8" ht="14.4" x14ac:dyDescent="0.3">
      <c r="B127" s="26"/>
      <c r="C127" s="26"/>
      <c r="D127" s="26"/>
      <c r="E127" s="58"/>
      <c r="F127" s="45"/>
      <c r="G127" s="45"/>
      <c r="H127" s="80"/>
    </row>
    <row r="128" spans="2:8" ht="14.4" x14ac:dyDescent="0.3">
      <c r="B128" s="26"/>
      <c r="C128" s="26"/>
      <c r="D128" s="26"/>
      <c r="E128" s="58"/>
      <c r="F128" s="45"/>
      <c r="G128" s="45"/>
      <c r="H128" s="80"/>
    </row>
    <row r="129" spans="2:8" ht="14.4" x14ac:dyDescent="0.3">
      <c r="B129" s="26"/>
      <c r="C129" s="26"/>
      <c r="D129" s="26"/>
      <c r="E129" s="58"/>
      <c r="F129" s="45"/>
      <c r="G129" s="45"/>
      <c r="H129" s="80"/>
    </row>
    <row r="130" spans="2:8" ht="14.4" x14ac:dyDescent="0.3">
      <c r="B130" s="26"/>
      <c r="C130" s="26"/>
      <c r="D130" s="26"/>
      <c r="E130" s="58"/>
      <c r="F130" s="45"/>
      <c r="G130" s="45"/>
      <c r="H130" s="80"/>
    </row>
    <row r="131" spans="2:8" ht="14.4" x14ac:dyDescent="0.3">
      <c r="B131" s="26"/>
      <c r="C131" s="26"/>
      <c r="D131" s="26"/>
      <c r="E131" s="58"/>
      <c r="F131" s="45"/>
      <c r="G131" s="45"/>
      <c r="H131" s="80"/>
    </row>
    <row r="132" spans="2:8" ht="14.4" x14ac:dyDescent="0.3">
      <c r="B132" s="26"/>
      <c r="C132" s="26"/>
      <c r="D132" s="26"/>
      <c r="E132" s="58"/>
      <c r="F132" s="45"/>
      <c r="G132" s="45"/>
      <c r="H132" s="80"/>
    </row>
    <row r="133" spans="2:8" ht="14.4" x14ac:dyDescent="0.3">
      <c r="B133" s="26"/>
      <c r="C133" s="26"/>
      <c r="D133" s="26"/>
      <c r="E133" s="58"/>
      <c r="F133" s="45"/>
      <c r="G133" s="45"/>
      <c r="H133" s="80"/>
    </row>
    <row r="134" spans="2:8" ht="14.4" x14ac:dyDescent="0.3">
      <c r="B134" s="26"/>
      <c r="C134" s="26"/>
      <c r="D134" s="26"/>
      <c r="E134" s="58"/>
      <c r="F134" s="45"/>
      <c r="G134" s="45"/>
      <c r="H134" s="80"/>
    </row>
    <row r="135" spans="2:8" ht="14.4" x14ac:dyDescent="0.3">
      <c r="B135" s="26"/>
      <c r="C135" s="26"/>
      <c r="D135" s="26"/>
      <c r="E135" s="58"/>
      <c r="F135" s="45"/>
      <c r="G135" s="45"/>
      <c r="H135" s="80"/>
    </row>
    <row r="136" spans="2:8" ht="14.4" x14ac:dyDescent="0.3">
      <c r="B136" s="26"/>
      <c r="C136" s="26"/>
      <c r="D136" s="26"/>
      <c r="E136" s="58"/>
      <c r="F136" s="45"/>
      <c r="G136" s="45"/>
      <c r="H136" s="80"/>
    </row>
    <row r="137" spans="2:8" ht="14.4" x14ac:dyDescent="0.3">
      <c r="B137" s="26"/>
      <c r="C137" s="26"/>
      <c r="D137" s="26"/>
      <c r="E137" s="58"/>
      <c r="F137" s="45"/>
      <c r="G137" s="45"/>
      <c r="H137" s="80"/>
    </row>
    <row r="138" spans="2:8" ht="14.4" x14ac:dyDescent="0.3">
      <c r="B138" s="26"/>
      <c r="C138" s="26"/>
      <c r="D138" s="26"/>
      <c r="E138" s="58"/>
      <c r="F138" s="45"/>
      <c r="G138" s="45"/>
      <c r="H138" s="80"/>
    </row>
    <row r="139" spans="2:8" ht="14.4" x14ac:dyDescent="0.3">
      <c r="B139" s="26"/>
      <c r="C139" s="26"/>
      <c r="D139" s="26"/>
      <c r="E139" s="58"/>
      <c r="F139" s="45"/>
      <c r="G139" s="45"/>
      <c r="H139" s="80"/>
    </row>
    <row r="140" spans="2:8" ht="14.4" x14ac:dyDescent="0.3">
      <c r="B140" s="26"/>
      <c r="C140" s="26"/>
      <c r="D140" s="26"/>
      <c r="E140" s="58"/>
      <c r="F140" s="45"/>
      <c r="G140" s="45"/>
      <c r="H140" s="80"/>
    </row>
    <row r="141" spans="2:8" ht="14.4" x14ac:dyDescent="0.3">
      <c r="B141" s="26"/>
      <c r="C141" s="26"/>
      <c r="D141" s="26"/>
      <c r="E141" s="58"/>
      <c r="F141" s="45"/>
      <c r="G141" s="45"/>
      <c r="H141" s="80"/>
    </row>
    <row r="142" spans="2:8" ht="14.4" x14ac:dyDescent="0.3">
      <c r="B142" s="26"/>
      <c r="C142" s="26"/>
      <c r="D142" s="26"/>
      <c r="E142" s="58"/>
      <c r="F142" s="45"/>
      <c r="G142" s="45"/>
      <c r="H142" s="80"/>
    </row>
    <row r="143" spans="2:8" ht="14.4" x14ac:dyDescent="0.3">
      <c r="B143" s="26"/>
      <c r="C143" s="26"/>
      <c r="D143" s="26"/>
      <c r="E143" s="58"/>
      <c r="F143" s="45"/>
      <c r="G143" s="45"/>
      <c r="H143" s="80"/>
    </row>
    <row r="144" spans="2:8" ht="14.4" x14ac:dyDescent="0.3">
      <c r="B144" s="26"/>
      <c r="C144" s="26"/>
      <c r="D144" s="26"/>
      <c r="E144" s="58"/>
      <c r="F144" s="45"/>
      <c r="G144" s="45"/>
      <c r="H144" s="80"/>
    </row>
    <row r="145" spans="2:8" ht="14.4" x14ac:dyDescent="0.3">
      <c r="B145" s="26"/>
      <c r="C145" s="26"/>
      <c r="D145" s="26"/>
      <c r="E145" s="58"/>
      <c r="F145" s="45"/>
      <c r="G145" s="45"/>
      <c r="H145" s="80"/>
    </row>
    <row r="146" spans="2:8" ht="14.4" x14ac:dyDescent="0.3">
      <c r="B146" s="26"/>
      <c r="C146" s="26"/>
      <c r="D146" s="26"/>
      <c r="E146" s="58"/>
      <c r="F146" s="45"/>
      <c r="G146" s="45"/>
      <c r="H146" s="80"/>
    </row>
    <row r="147" spans="2:8" ht="14.4" x14ac:dyDescent="0.3">
      <c r="B147" s="26"/>
      <c r="C147" s="26"/>
      <c r="D147" s="26"/>
      <c r="E147" s="58"/>
      <c r="F147" s="45"/>
      <c r="G147" s="45"/>
      <c r="H147" s="80"/>
    </row>
    <row r="148" spans="2:8" ht="14.4" x14ac:dyDescent="0.3">
      <c r="B148" s="26"/>
      <c r="C148" s="26"/>
      <c r="D148" s="26"/>
      <c r="E148" s="58"/>
      <c r="F148" s="45"/>
      <c r="G148" s="45"/>
      <c r="H148" s="80"/>
    </row>
    <row r="149" spans="2:8" ht="14.4" x14ac:dyDescent="0.3">
      <c r="B149" s="26"/>
      <c r="C149" s="26"/>
      <c r="D149" s="26"/>
      <c r="E149" s="58"/>
      <c r="F149" s="45"/>
      <c r="G149" s="45"/>
      <c r="H149" s="80"/>
    </row>
    <row r="150" spans="2:8" ht="14.4" x14ac:dyDescent="0.3">
      <c r="B150" s="26"/>
      <c r="C150" s="26"/>
      <c r="D150" s="26"/>
      <c r="E150" s="58"/>
      <c r="F150" s="45"/>
      <c r="G150" s="45"/>
      <c r="H150" s="80"/>
    </row>
    <row r="151" spans="2:8" ht="14.4" x14ac:dyDescent="0.3">
      <c r="B151" s="26"/>
      <c r="C151" s="26"/>
      <c r="D151" s="26"/>
      <c r="E151" s="58"/>
      <c r="F151" s="45"/>
      <c r="G151" s="45"/>
      <c r="H151" s="80"/>
    </row>
    <row r="152" spans="2:8" ht="14.4" x14ac:dyDescent="0.3">
      <c r="B152" s="26"/>
      <c r="C152" s="26"/>
      <c r="D152" s="26"/>
      <c r="E152" s="58"/>
      <c r="F152" s="45"/>
      <c r="G152" s="45"/>
      <c r="H152" s="80"/>
    </row>
    <row r="153" spans="2:8" ht="14.4" x14ac:dyDescent="0.3">
      <c r="B153" s="26"/>
      <c r="C153" s="26"/>
      <c r="D153" s="26"/>
      <c r="E153" s="58"/>
      <c r="F153" s="45"/>
      <c r="G153" s="45"/>
      <c r="H153" s="80"/>
    </row>
    <row r="154" spans="2:8" ht="14.4" x14ac:dyDescent="0.3">
      <c r="B154" s="26"/>
      <c r="C154" s="26"/>
      <c r="D154" s="26"/>
      <c r="E154" s="58"/>
      <c r="F154" s="45"/>
      <c r="G154" s="45"/>
      <c r="H154" s="80"/>
    </row>
    <row r="155" spans="2:8" ht="14.4" x14ac:dyDescent="0.3">
      <c r="B155" s="26"/>
      <c r="C155" s="26"/>
      <c r="D155" s="26"/>
      <c r="E155" s="58"/>
      <c r="F155" s="45"/>
      <c r="G155" s="45"/>
      <c r="H155" s="80"/>
    </row>
    <row r="156" spans="2:8" ht="14.4" x14ac:dyDescent="0.3">
      <c r="B156" s="26"/>
      <c r="C156" s="26"/>
      <c r="D156" s="26"/>
      <c r="E156" s="58"/>
      <c r="F156" s="45"/>
      <c r="G156" s="45"/>
      <c r="H156" s="80"/>
    </row>
    <row r="157" spans="2:8" ht="14.4" x14ac:dyDescent="0.3">
      <c r="B157" s="26"/>
      <c r="C157" s="26"/>
      <c r="D157" s="26"/>
      <c r="E157" s="58"/>
      <c r="F157" s="45"/>
      <c r="G157" s="45"/>
      <c r="H157" s="80"/>
    </row>
    <row r="158" spans="2:8" ht="14.4" x14ac:dyDescent="0.3">
      <c r="B158" s="26"/>
      <c r="C158" s="26"/>
      <c r="D158" s="26"/>
      <c r="E158" s="58"/>
      <c r="F158" s="45"/>
      <c r="G158" s="45"/>
      <c r="H158" s="80"/>
    </row>
    <row r="159" spans="2:8" ht="14.4" x14ac:dyDescent="0.3">
      <c r="B159" s="26"/>
      <c r="C159" s="26"/>
      <c r="D159" s="26"/>
      <c r="E159" s="58"/>
      <c r="F159" s="45"/>
      <c r="G159" s="45"/>
      <c r="H159" s="80"/>
    </row>
    <row r="160" spans="2:8" ht="14.4" x14ac:dyDescent="0.3">
      <c r="B160" s="26"/>
      <c r="C160" s="26"/>
      <c r="D160" s="26"/>
      <c r="E160" s="58"/>
      <c r="F160" s="45"/>
      <c r="G160" s="45"/>
      <c r="H160" s="80"/>
    </row>
    <row r="161" spans="2:8" ht="14.4" x14ac:dyDescent="0.3">
      <c r="B161" s="26"/>
      <c r="C161" s="26"/>
      <c r="D161" s="26"/>
      <c r="E161" s="58"/>
      <c r="F161" s="45"/>
      <c r="G161" s="45"/>
      <c r="H161" s="80"/>
    </row>
    <row r="162" spans="2:8" ht="14.4" x14ac:dyDescent="0.3">
      <c r="B162" s="26"/>
      <c r="C162" s="26"/>
      <c r="D162" s="26"/>
      <c r="E162" s="58"/>
      <c r="F162" s="45"/>
      <c r="G162" s="45"/>
      <c r="H162" s="80"/>
    </row>
    <row r="163" spans="2:8" ht="14.4" x14ac:dyDescent="0.3">
      <c r="B163" s="26"/>
      <c r="C163" s="26"/>
      <c r="D163" s="26"/>
      <c r="E163" s="58"/>
      <c r="F163" s="45"/>
      <c r="G163" s="45"/>
      <c r="H163" s="80"/>
    </row>
    <row r="164" spans="2:8" ht="14.4" x14ac:dyDescent="0.3">
      <c r="B164" s="26"/>
      <c r="C164" s="26"/>
      <c r="D164" s="26"/>
      <c r="E164" s="58"/>
      <c r="F164" s="45"/>
      <c r="G164" s="45"/>
      <c r="H164" s="80"/>
    </row>
    <row r="165" spans="2:8" ht="14.4" x14ac:dyDescent="0.3">
      <c r="B165" s="26"/>
      <c r="C165" s="26"/>
      <c r="D165" s="26"/>
      <c r="E165" s="58"/>
      <c r="F165" s="45"/>
      <c r="G165" s="45"/>
      <c r="H165" s="80"/>
    </row>
    <row r="166" spans="2:8" ht="14.4" x14ac:dyDescent="0.3">
      <c r="B166" s="26"/>
      <c r="C166" s="26"/>
      <c r="D166" s="26"/>
      <c r="E166" s="58"/>
      <c r="F166" s="45"/>
      <c r="G166" s="45"/>
      <c r="H166" s="80"/>
    </row>
    <row r="167" spans="2:8" ht="14.4" x14ac:dyDescent="0.3">
      <c r="B167" s="26"/>
      <c r="C167" s="26"/>
      <c r="D167" s="26"/>
      <c r="E167" s="58"/>
      <c r="F167" s="45"/>
      <c r="G167" s="45"/>
      <c r="H167" s="80"/>
    </row>
    <row r="168" spans="2:8" ht="14.4" x14ac:dyDescent="0.3">
      <c r="B168" s="26"/>
      <c r="C168" s="26"/>
      <c r="D168" s="26"/>
      <c r="E168" s="58"/>
      <c r="F168" s="45"/>
      <c r="G168" s="45"/>
      <c r="H168" s="80"/>
    </row>
    <row r="169" spans="2:8" ht="14.4" x14ac:dyDescent="0.3">
      <c r="B169" s="26"/>
      <c r="C169" s="26"/>
      <c r="D169" s="26"/>
      <c r="E169" s="58"/>
      <c r="F169" s="45"/>
      <c r="G169" s="45"/>
      <c r="H169" s="80"/>
    </row>
    <row r="170" spans="2:8" ht="14.4" x14ac:dyDescent="0.3">
      <c r="B170" s="26"/>
      <c r="C170" s="26"/>
      <c r="D170" s="26"/>
      <c r="E170" s="58"/>
      <c r="F170" s="45"/>
      <c r="G170" s="45"/>
      <c r="H170" s="80"/>
    </row>
    <row r="171" spans="2:8" ht="14.4" x14ac:dyDescent="0.3">
      <c r="B171" s="26"/>
      <c r="C171" s="26"/>
      <c r="D171" s="26"/>
      <c r="E171" s="58"/>
      <c r="F171" s="45"/>
      <c r="G171" s="45"/>
      <c r="H171" s="80"/>
    </row>
    <row r="172" spans="2:8" ht="14.4" x14ac:dyDescent="0.3">
      <c r="B172" s="26"/>
      <c r="C172" s="26"/>
      <c r="D172" s="26"/>
      <c r="E172" s="58"/>
      <c r="F172" s="45"/>
      <c r="G172" s="45"/>
      <c r="H172" s="80"/>
    </row>
    <row r="173" spans="2:8" ht="14.4" x14ac:dyDescent="0.3">
      <c r="B173" s="26"/>
      <c r="C173" s="26"/>
      <c r="D173" s="26"/>
      <c r="E173" s="58"/>
      <c r="F173" s="45"/>
      <c r="G173" s="45"/>
      <c r="H173" s="80"/>
    </row>
    <row r="174" spans="2:8" ht="14.4" x14ac:dyDescent="0.3">
      <c r="B174" s="26"/>
      <c r="C174" s="26"/>
      <c r="D174" s="26"/>
      <c r="E174" s="58"/>
      <c r="F174" s="45"/>
      <c r="G174" s="45"/>
      <c r="H174" s="80"/>
    </row>
    <row r="175" spans="2:8" ht="14.4" x14ac:dyDescent="0.3">
      <c r="B175" s="26"/>
      <c r="C175" s="26"/>
      <c r="D175" s="26"/>
      <c r="E175" s="58"/>
      <c r="F175" s="45"/>
      <c r="G175" s="45"/>
      <c r="H175" s="80"/>
    </row>
    <row r="176" spans="2:8" ht="14.4" x14ac:dyDescent="0.3">
      <c r="B176" s="26"/>
      <c r="C176" s="26"/>
      <c r="D176" s="26"/>
      <c r="E176" s="58"/>
      <c r="F176" s="45"/>
      <c r="G176" s="45"/>
      <c r="H176" s="80"/>
    </row>
    <row r="177" spans="2:8" ht="14.4" x14ac:dyDescent="0.3">
      <c r="B177" s="26"/>
      <c r="C177" s="26"/>
      <c r="D177" s="26"/>
      <c r="E177" s="58"/>
      <c r="F177" s="45"/>
      <c r="G177" s="45"/>
      <c r="H177" s="80"/>
    </row>
    <row r="178" spans="2:8" ht="14.4" x14ac:dyDescent="0.3">
      <c r="B178" s="26"/>
      <c r="C178" s="26"/>
      <c r="D178" s="26"/>
      <c r="E178" s="58"/>
      <c r="F178" s="45"/>
      <c r="G178" s="45"/>
      <c r="H178" s="80"/>
    </row>
    <row r="179" spans="2:8" ht="14.4" x14ac:dyDescent="0.3">
      <c r="B179" s="26"/>
      <c r="C179" s="26"/>
      <c r="D179" s="26"/>
      <c r="E179" s="58"/>
      <c r="F179" s="45"/>
      <c r="G179" s="45"/>
      <c r="H179" s="80"/>
    </row>
    <row r="180" spans="2:8" ht="14.4" x14ac:dyDescent="0.3">
      <c r="B180" s="26"/>
      <c r="C180" s="26"/>
      <c r="D180" s="26"/>
      <c r="E180" s="58"/>
      <c r="F180" s="45"/>
      <c r="G180" s="45"/>
      <c r="H180" s="80"/>
    </row>
    <row r="181" spans="2:8" ht="14.4" x14ac:dyDescent="0.3">
      <c r="B181" s="26"/>
      <c r="C181" s="26"/>
      <c r="D181" s="26"/>
      <c r="E181" s="58"/>
      <c r="F181" s="45"/>
      <c r="G181" s="45"/>
      <c r="H181" s="80"/>
    </row>
    <row r="182" spans="2:8" ht="14.4" x14ac:dyDescent="0.3">
      <c r="B182" s="26"/>
      <c r="C182" s="26"/>
      <c r="D182" s="26"/>
      <c r="E182" s="58"/>
      <c r="F182" s="45"/>
      <c r="G182" s="45"/>
      <c r="H182" s="80"/>
    </row>
    <row r="183" spans="2:8" ht="14.4" x14ac:dyDescent="0.3">
      <c r="B183" s="26"/>
      <c r="C183" s="26"/>
      <c r="D183" s="26"/>
      <c r="E183" s="58"/>
      <c r="F183" s="45"/>
      <c r="G183" s="45"/>
      <c r="H183" s="80"/>
    </row>
    <row r="184" spans="2:8" ht="14.4" x14ac:dyDescent="0.3">
      <c r="B184" s="26"/>
      <c r="C184" s="26"/>
      <c r="D184" s="26"/>
      <c r="E184" s="58"/>
      <c r="F184" s="45"/>
      <c r="G184" s="45"/>
      <c r="H184" s="80"/>
    </row>
    <row r="185" spans="2:8" ht="14.4" x14ac:dyDescent="0.3">
      <c r="B185" s="26"/>
      <c r="C185" s="26"/>
      <c r="D185" s="26"/>
      <c r="E185" s="58"/>
      <c r="F185" s="45"/>
      <c r="G185" s="45"/>
      <c r="H185" s="80"/>
    </row>
    <row r="186" spans="2:8" ht="14.4" x14ac:dyDescent="0.3">
      <c r="B186" s="26"/>
      <c r="C186" s="26"/>
      <c r="D186" s="26"/>
      <c r="E186" s="58"/>
      <c r="F186" s="45"/>
      <c r="G186" s="45"/>
      <c r="H186" s="80"/>
    </row>
    <row r="187" spans="2:8" ht="14.4" x14ac:dyDescent="0.3">
      <c r="B187" s="26"/>
      <c r="C187" s="26"/>
      <c r="D187" s="26"/>
      <c r="E187" s="58"/>
      <c r="F187" s="45"/>
      <c r="G187" s="45"/>
      <c r="H187" s="80"/>
    </row>
    <row r="188" spans="2:8" ht="14.4" x14ac:dyDescent="0.3">
      <c r="B188" s="26"/>
      <c r="C188" s="26"/>
      <c r="D188" s="26"/>
      <c r="E188" s="58"/>
      <c r="F188" s="45"/>
      <c r="G188" s="45"/>
      <c r="H188" s="80"/>
    </row>
    <row r="189" spans="2:8" ht="14.4" x14ac:dyDescent="0.3">
      <c r="B189" s="26"/>
      <c r="C189" s="26"/>
      <c r="D189" s="26"/>
      <c r="E189" s="58"/>
      <c r="F189" s="45"/>
      <c r="G189" s="45"/>
      <c r="H189" s="80"/>
    </row>
    <row r="190" spans="2:8" ht="14.4" x14ac:dyDescent="0.3">
      <c r="B190" s="26"/>
      <c r="C190" s="26"/>
      <c r="D190" s="26"/>
      <c r="E190" s="58"/>
      <c r="F190" s="45"/>
      <c r="G190" s="45"/>
      <c r="H190" s="80"/>
    </row>
    <row r="191" spans="2:8" ht="14.4" x14ac:dyDescent="0.3">
      <c r="B191" s="26"/>
      <c r="C191" s="26"/>
      <c r="D191" s="26"/>
      <c r="E191" s="58"/>
      <c r="F191" s="45"/>
      <c r="G191" s="45"/>
      <c r="H191" s="80"/>
    </row>
    <row r="192" spans="2:8" ht="14.4" x14ac:dyDescent="0.3">
      <c r="B192" s="26"/>
      <c r="C192" s="26"/>
      <c r="D192" s="26"/>
      <c r="E192" s="58"/>
      <c r="F192" s="45"/>
      <c r="G192" s="45"/>
      <c r="H192" s="80"/>
    </row>
    <row r="193" spans="2:8" ht="14.4" x14ac:dyDescent="0.3">
      <c r="B193" s="26"/>
      <c r="C193" s="26"/>
      <c r="D193" s="26"/>
      <c r="E193" s="58"/>
      <c r="F193" s="45"/>
      <c r="G193" s="45"/>
      <c r="H193" s="80"/>
    </row>
    <row r="194" spans="2:8" ht="14.4" x14ac:dyDescent="0.3">
      <c r="B194" s="26"/>
      <c r="C194" s="26"/>
      <c r="D194" s="26"/>
      <c r="E194" s="58"/>
      <c r="F194" s="45"/>
      <c r="G194" s="45"/>
      <c r="H194" s="80"/>
    </row>
    <row r="195" spans="2:8" ht="14.4" x14ac:dyDescent="0.3">
      <c r="B195" s="26"/>
      <c r="C195" s="26"/>
      <c r="D195" s="26"/>
      <c r="E195" s="58"/>
      <c r="F195" s="45"/>
      <c r="G195" s="45"/>
      <c r="H195" s="80"/>
    </row>
    <row r="196" spans="2:8" ht="14.4" x14ac:dyDescent="0.3">
      <c r="B196" s="26"/>
      <c r="C196" s="26"/>
      <c r="D196" s="26"/>
      <c r="E196" s="58"/>
      <c r="F196" s="45"/>
      <c r="G196" s="45"/>
      <c r="H196" s="80"/>
    </row>
    <row r="197" spans="2:8" ht="14.4" x14ac:dyDescent="0.3">
      <c r="B197" s="26"/>
      <c r="C197" s="26"/>
      <c r="D197" s="26"/>
      <c r="E197" s="58"/>
      <c r="F197" s="45"/>
      <c r="G197" s="45"/>
      <c r="H197" s="80"/>
    </row>
    <row r="198" spans="2:8" ht="14.4" x14ac:dyDescent="0.3">
      <c r="B198" s="26"/>
      <c r="C198" s="26"/>
      <c r="D198" s="26"/>
      <c r="E198" s="58"/>
      <c r="F198" s="45"/>
      <c r="G198" s="45"/>
      <c r="H198" s="80"/>
    </row>
    <row r="199" spans="2:8" ht="14.4" x14ac:dyDescent="0.3">
      <c r="B199" s="26"/>
      <c r="C199" s="26"/>
      <c r="D199" s="26"/>
      <c r="E199" s="58"/>
      <c r="F199" s="45"/>
      <c r="G199" s="45"/>
      <c r="H199" s="80"/>
    </row>
    <row r="200" spans="2:8" ht="14.4" x14ac:dyDescent="0.3">
      <c r="B200" s="26"/>
      <c r="C200" s="26"/>
      <c r="D200" s="26"/>
      <c r="E200" s="58"/>
      <c r="F200" s="45"/>
      <c r="G200" s="45"/>
      <c r="H200" s="80"/>
    </row>
    <row r="201" spans="2:8" ht="14.4" x14ac:dyDescent="0.3">
      <c r="B201" s="26"/>
      <c r="C201" s="26"/>
      <c r="D201" s="26"/>
      <c r="E201" s="58"/>
      <c r="F201" s="45"/>
      <c r="G201" s="45"/>
      <c r="H201" s="80"/>
    </row>
    <row r="202" spans="2:8" ht="14.4" x14ac:dyDescent="0.3">
      <c r="B202" s="26"/>
      <c r="C202" s="26"/>
      <c r="D202" s="26"/>
      <c r="E202" s="58"/>
      <c r="F202" s="45"/>
      <c r="G202" s="45"/>
      <c r="H202" s="80"/>
    </row>
    <row r="203" spans="2:8" ht="14.4" x14ac:dyDescent="0.3">
      <c r="B203" s="26"/>
      <c r="C203" s="26"/>
      <c r="D203" s="26"/>
      <c r="E203" s="58"/>
      <c r="F203" s="45"/>
      <c r="G203" s="45"/>
      <c r="H203" s="80"/>
    </row>
    <row r="204" spans="2:8" ht="14.4" x14ac:dyDescent="0.3">
      <c r="B204" s="26"/>
      <c r="C204" s="26"/>
      <c r="D204" s="26"/>
      <c r="E204" s="58"/>
      <c r="F204" s="45"/>
      <c r="G204" s="45"/>
      <c r="H204" s="80"/>
    </row>
    <row r="205" spans="2:8" ht="14.4" x14ac:dyDescent="0.3">
      <c r="B205" s="26"/>
      <c r="C205" s="26"/>
      <c r="D205" s="26"/>
      <c r="E205" s="58"/>
      <c r="F205" s="45"/>
      <c r="G205" s="45"/>
      <c r="H205" s="80"/>
    </row>
    <row r="206" spans="2:8" ht="14.4" x14ac:dyDescent="0.3">
      <c r="B206" s="26"/>
      <c r="C206" s="26"/>
      <c r="D206" s="26"/>
      <c r="E206" s="58"/>
      <c r="F206" s="45"/>
      <c r="G206" s="45"/>
      <c r="H206" s="80"/>
    </row>
    <row r="207" spans="2:8" ht="14.4" x14ac:dyDescent="0.3">
      <c r="B207" s="26"/>
      <c r="C207" s="26"/>
      <c r="D207" s="26"/>
      <c r="E207" s="58"/>
      <c r="F207" s="45"/>
      <c r="G207" s="45"/>
      <c r="H207" s="80"/>
    </row>
    <row r="208" spans="2:8" ht="14.4" x14ac:dyDescent="0.3">
      <c r="B208" s="26"/>
      <c r="C208" s="26"/>
      <c r="D208" s="26"/>
      <c r="E208" s="58"/>
      <c r="F208" s="45"/>
      <c r="G208" s="45"/>
      <c r="H208" s="80"/>
    </row>
    <row r="209" spans="2:8" ht="14.4" x14ac:dyDescent="0.3">
      <c r="B209" s="26"/>
      <c r="C209" s="26"/>
      <c r="D209" s="26"/>
      <c r="E209" s="58"/>
      <c r="F209" s="45"/>
      <c r="G209" s="45"/>
      <c r="H209" s="80"/>
    </row>
    <row r="210" spans="2:8" ht="14.4" x14ac:dyDescent="0.3">
      <c r="B210" s="26"/>
      <c r="C210" s="26"/>
      <c r="D210" s="26"/>
      <c r="E210" s="58"/>
      <c r="F210" s="45"/>
      <c r="G210" s="45"/>
      <c r="H210" s="80"/>
    </row>
    <row r="211" spans="2:8" ht="14.4" x14ac:dyDescent="0.3">
      <c r="B211" s="26"/>
      <c r="C211" s="26"/>
      <c r="D211" s="26"/>
      <c r="E211" s="58"/>
      <c r="F211" s="45"/>
      <c r="G211" s="45"/>
      <c r="H211" s="80"/>
    </row>
    <row r="212" spans="2:8" ht="14.4" x14ac:dyDescent="0.3">
      <c r="B212" s="26"/>
      <c r="C212" s="26"/>
      <c r="D212" s="26"/>
      <c r="E212" s="58"/>
      <c r="F212" s="45"/>
      <c r="G212" s="45"/>
      <c r="H212" s="80"/>
    </row>
    <row r="213" spans="2:8" ht="14.4" x14ac:dyDescent="0.3">
      <c r="B213" s="26"/>
      <c r="C213" s="26"/>
      <c r="D213" s="26"/>
      <c r="E213" s="58"/>
      <c r="F213" s="45"/>
      <c r="G213" s="45"/>
      <c r="H213" s="80"/>
    </row>
    <row r="214" spans="2:8" ht="14.4" x14ac:dyDescent="0.3">
      <c r="B214" s="26"/>
      <c r="C214" s="26"/>
      <c r="D214" s="26"/>
      <c r="E214" s="58"/>
      <c r="F214" s="45"/>
      <c r="G214" s="45"/>
      <c r="H214" s="80"/>
    </row>
    <row r="215" spans="2:8" ht="14.4" x14ac:dyDescent="0.3">
      <c r="B215" s="26"/>
      <c r="C215" s="26"/>
      <c r="D215" s="26"/>
      <c r="E215" s="58"/>
      <c r="F215" s="45"/>
      <c r="G215" s="45"/>
      <c r="H215" s="80"/>
    </row>
    <row r="216" spans="2:8" ht="14.4" x14ac:dyDescent="0.3">
      <c r="B216" s="26"/>
      <c r="C216" s="26"/>
      <c r="D216" s="26"/>
      <c r="E216" s="58"/>
      <c r="F216" s="45"/>
      <c r="G216" s="45"/>
      <c r="H216" s="80"/>
    </row>
    <row r="217" spans="2:8" ht="14.4" x14ac:dyDescent="0.3">
      <c r="B217" s="26"/>
      <c r="C217" s="26"/>
      <c r="D217" s="26"/>
      <c r="E217" s="58"/>
      <c r="F217" s="45"/>
      <c r="G217" s="45"/>
      <c r="H217" s="80"/>
    </row>
    <row r="218" spans="2:8" ht="14.4" x14ac:dyDescent="0.3">
      <c r="B218" s="26"/>
      <c r="C218" s="26"/>
      <c r="D218" s="26"/>
      <c r="E218" s="58"/>
      <c r="F218" s="45"/>
      <c r="G218" s="45"/>
      <c r="H218" s="80"/>
    </row>
    <row r="219" spans="2:8" ht="14.4" x14ac:dyDescent="0.3">
      <c r="B219" s="26"/>
      <c r="C219" s="26"/>
      <c r="D219" s="26"/>
      <c r="E219" s="58"/>
      <c r="F219" s="45"/>
      <c r="G219" s="45"/>
      <c r="H219" s="80"/>
    </row>
    <row r="220" spans="2:8" ht="14.4" x14ac:dyDescent="0.3">
      <c r="B220" s="26"/>
      <c r="C220" s="26"/>
      <c r="D220" s="26"/>
      <c r="E220" s="58"/>
      <c r="F220" s="45"/>
      <c r="G220" s="45"/>
      <c r="H220" s="80"/>
    </row>
    <row r="221" spans="2:8" ht="14.4" x14ac:dyDescent="0.3">
      <c r="B221" s="26"/>
      <c r="C221" s="26"/>
      <c r="D221" s="26"/>
      <c r="E221" s="58"/>
      <c r="F221" s="45"/>
      <c r="G221" s="45"/>
      <c r="H221" s="80"/>
    </row>
    <row r="222" spans="2:8" ht="14.4" x14ac:dyDescent="0.3">
      <c r="B222" s="26"/>
      <c r="C222" s="26"/>
      <c r="D222" s="26"/>
      <c r="E222" s="58"/>
      <c r="F222" s="45"/>
      <c r="G222" s="45"/>
      <c r="H222" s="80"/>
    </row>
    <row r="223" spans="2:8" ht="14.4" x14ac:dyDescent="0.3">
      <c r="B223" s="26"/>
      <c r="C223" s="26"/>
      <c r="D223" s="26"/>
      <c r="E223" s="58"/>
      <c r="F223" s="45"/>
      <c r="G223" s="45"/>
      <c r="H223" s="80"/>
    </row>
    <row r="224" spans="2:8" ht="14.4" x14ac:dyDescent="0.3">
      <c r="B224" s="26"/>
      <c r="C224" s="26"/>
      <c r="D224" s="26"/>
      <c r="E224" s="58"/>
      <c r="F224" s="45"/>
      <c r="G224" s="45"/>
      <c r="H224" s="80"/>
    </row>
    <row r="225" spans="2:8" ht="14.4" x14ac:dyDescent="0.3">
      <c r="B225" s="26"/>
      <c r="C225" s="26"/>
      <c r="D225" s="26"/>
      <c r="E225" s="58"/>
      <c r="F225" s="45"/>
      <c r="G225" s="45"/>
      <c r="H225" s="80"/>
    </row>
    <row r="226" spans="2:8" ht="14.4" x14ac:dyDescent="0.3">
      <c r="B226" s="26"/>
      <c r="C226" s="26"/>
      <c r="D226" s="26"/>
      <c r="E226" s="58"/>
      <c r="F226" s="45"/>
      <c r="G226" s="45"/>
      <c r="H226" s="80"/>
    </row>
    <row r="227" spans="2:8" ht="14.4" x14ac:dyDescent="0.3">
      <c r="B227" s="26"/>
      <c r="C227" s="26"/>
      <c r="D227" s="26"/>
      <c r="E227" s="58"/>
      <c r="F227" s="45"/>
      <c r="G227" s="45"/>
      <c r="H227" s="80"/>
    </row>
    <row r="228" spans="2:8" ht="14.4" x14ac:dyDescent="0.3">
      <c r="B228" s="26"/>
      <c r="C228" s="26"/>
      <c r="D228" s="26"/>
      <c r="E228" s="58"/>
      <c r="F228" s="45"/>
      <c r="G228" s="45"/>
      <c r="H228" s="80"/>
    </row>
    <row r="229" spans="2:8" ht="14.4" x14ac:dyDescent="0.3">
      <c r="B229" s="26"/>
      <c r="C229" s="26"/>
      <c r="D229" s="26"/>
      <c r="E229" s="58"/>
      <c r="F229" s="45"/>
      <c r="G229" s="45"/>
      <c r="H229" s="80"/>
    </row>
    <row r="230" spans="2:8" ht="14.4" x14ac:dyDescent="0.3">
      <c r="B230" s="26"/>
      <c r="C230" s="26"/>
      <c r="D230" s="26"/>
      <c r="E230" s="58"/>
      <c r="F230" s="45"/>
      <c r="G230" s="45"/>
      <c r="H230" s="80"/>
    </row>
    <row r="231" spans="2:8" ht="14.4" x14ac:dyDescent="0.3">
      <c r="B231" s="26"/>
      <c r="C231" s="26"/>
      <c r="D231" s="26"/>
      <c r="E231" s="58"/>
      <c r="F231" s="45"/>
      <c r="G231" s="45"/>
      <c r="H231" s="80"/>
    </row>
    <row r="232" spans="2:8" ht="14.4" x14ac:dyDescent="0.3">
      <c r="B232" s="26"/>
      <c r="C232" s="26"/>
      <c r="D232" s="26"/>
      <c r="E232" s="58"/>
      <c r="F232" s="45"/>
      <c r="G232" s="45"/>
      <c r="H232" s="80"/>
    </row>
    <row r="233" spans="2:8" ht="14.4" x14ac:dyDescent="0.3">
      <c r="B233" s="26"/>
      <c r="C233" s="26"/>
      <c r="D233" s="26"/>
      <c r="E233" s="58"/>
      <c r="F233" s="45"/>
      <c r="G233" s="45"/>
      <c r="H233" s="80"/>
    </row>
    <row r="234" spans="2:8" ht="14.4" x14ac:dyDescent="0.3">
      <c r="B234" s="26"/>
      <c r="C234" s="26"/>
      <c r="D234" s="26"/>
      <c r="E234" s="58"/>
      <c r="F234" s="45"/>
      <c r="G234" s="45"/>
      <c r="H234" s="80"/>
    </row>
    <row r="235" spans="2:8" ht="14.4" x14ac:dyDescent="0.3">
      <c r="B235" s="26"/>
      <c r="C235" s="26"/>
      <c r="D235" s="26"/>
      <c r="E235" s="58"/>
      <c r="F235" s="45"/>
      <c r="G235" s="45"/>
      <c r="H235" s="80"/>
    </row>
    <row r="236" spans="2:8" ht="14.4" x14ac:dyDescent="0.3">
      <c r="B236" s="26"/>
      <c r="C236" s="26"/>
      <c r="D236" s="26"/>
      <c r="E236" s="58"/>
      <c r="F236" s="45"/>
      <c r="G236" s="45"/>
      <c r="H236" s="80"/>
    </row>
    <row r="237" spans="2:8" ht="14.4" x14ac:dyDescent="0.3">
      <c r="B237" s="26"/>
      <c r="C237" s="26"/>
      <c r="D237" s="26"/>
      <c r="E237" s="58"/>
      <c r="F237" s="45"/>
      <c r="G237" s="45"/>
      <c r="H237" s="80"/>
    </row>
    <row r="238" spans="2:8" ht="14.4" x14ac:dyDescent="0.3">
      <c r="B238" s="26"/>
      <c r="C238" s="26"/>
      <c r="D238" s="26"/>
      <c r="E238" s="58"/>
      <c r="F238" s="45"/>
      <c r="G238" s="45"/>
      <c r="H238" s="80"/>
    </row>
    <row r="239" spans="2:8" ht="14.4" x14ac:dyDescent="0.3">
      <c r="B239" s="26"/>
      <c r="C239" s="26"/>
      <c r="D239" s="26"/>
      <c r="E239" s="58"/>
      <c r="F239" s="45"/>
      <c r="G239" s="45"/>
      <c r="H239" s="80"/>
    </row>
    <row r="240" spans="2:8" ht="14.4" x14ac:dyDescent="0.3">
      <c r="B240" s="26"/>
      <c r="C240" s="26"/>
      <c r="D240" s="26"/>
      <c r="E240" s="58"/>
      <c r="F240" s="45"/>
      <c r="G240" s="45"/>
      <c r="H240" s="80"/>
    </row>
    <row r="241" spans="2:8" ht="14.4" x14ac:dyDescent="0.3">
      <c r="B241" s="26"/>
      <c r="C241" s="26"/>
      <c r="D241" s="26"/>
      <c r="E241" s="58"/>
      <c r="F241" s="45"/>
      <c r="G241" s="45"/>
      <c r="H241" s="80"/>
    </row>
    <row r="242" spans="2:8" ht="14.4" x14ac:dyDescent="0.3">
      <c r="B242" s="26"/>
      <c r="C242" s="26"/>
      <c r="D242" s="26"/>
      <c r="E242" s="58"/>
      <c r="F242" s="45"/>
      <c r="G242" s="45"/>
      <c r="H242" s="80"/>
    </row>
    <row r="243" spans="2:8" ht="14.4" x14ac:dyDescent="0.3">
      <c r="B243" s="26"/>
      <c r="C243" s="26"/>
      <c r="D243" s="26"/>
      <c r="E243" s="58"/>
      <c r="F243" s="45"/>
      <c r="G243" s="45"/>
      <c r="H243" s="80"/>
    </row>
    <row r="244" spans="2:8" ht="14.4" x14ac:dyDescent="0.3">
      <c r="B244" s="26"/>
      <c r="C244" s="26"/>
      <c r="D244" s="26"/>
      <c r="E244" s="58"/>
      <c r="F244" s="45"/>
      <c r="G244" s="45"/>
      <c r="H244" s="80"/>
    </row>
    <row r="245" spans="2:8" ht="14.4" x14ac:dyDescent="0.3">
      <c r="B245" s="26"/>
      <c r="C245" s="26"/>
      <c r="D245" s="26"/>
      <c r="E245" s="58"/>
      <c r="F245" s="45"/>
      <c r="G245" s="45"/>
      <c r="H245" s="80"/>
    </row>
    <row r="246" spans="2:8" ht="14.4" x14ac:dyDescent="0.3">
      <c r="B246" s="26"/>
      <c r="C246" s="26"/>
      <c r="D246" s="26"/>
      <c r="E246" s="58"/>
      <c r="F246" s="45"/>
      <c r="G246" s="45"/>
      <c r="H246" s="80"/>
    </row>
    <row r="247" spans="2:8" ht="14.4" x14ac:dyDescent="0.3">
      <c r="B247" s="26"/>
      <c r="C247" s="26"/>
      <c r="D247" s="26"/>
      <c r="E247" s="58"/>
      <c r="F247" s="45"/>
      <c r="G247" s="45"/>
      <c r="H247" s="80"/>
    </row>
    <row r="248" spans="2:8" ht="14.4" x14ac:dyDescent="0.3">
      <c r="B248" s="26"/>
      <c r="C248" s="26"/>
      <c r="D248" s="26"/>
      <c r="E248" s="58"/>
      <c r="F248" s="45"/>
      <c r="G248" s="45"/>
      <c r="H248" s="80"/>
    </row>
    <row r="249" spans="2:8" ht="14.4" x14ac:dyDescent="0.3">
      <c r="B249" s="26"/>
      <c r="C249" s="26"/>
      <c r="D249" s="26"/>
      <c r="E249" s="58"/>
      <c r="F249" s="45"/>
      <c r="G249" s="45"/>
      <c r="H249" s="80"/>
    </row>
    <row r="250" spans="2:8" ht="14.4" x14ac:dyDescent="0.3">
      <c r="B250" s="26"/>
      <c r="C250" s="26"/>
      <c r="D250" s="26"/>
      <c r="E250" s="58"/>
      <c r="F250" s="45"/>
      <c r="G250" s="45"/>
      <c r="H250" s="80"/>
    </row>
    <row r="251" spans="2:8" ht="14.4" x14ac:dyDescent="0.3">
      <c r="B251" s="26"/>
      <c r="C251" s="26"/>
      <c r="D251" s="26"/>
      <c r="E251" s="58"/>
      <c r="F251" s="45"/>
      <c r="G251" s="45"/>
      <c r="H251" s="80"/>
    </row>
    <row r="252" spans="2:8" ht="14.4" x14ac:dyDescent="0.3">
      <c r="B252" s="26"/>
      <c r="C252" s="26"/>
      <c r="D252" s="26"/>
      <c r="E252" s="58"/>
      <c r="F252" s="45"/>
      <c r="G252" s="45"/>
      <c r="H252" s="80"/>
    </row>
    <row r="253" spans="2:8" ht="14.4" x14ac:dyDescent="0.3">
      <c r="B253" s="26"/>
      <c r="C253" s="26"/>
      <c r="D253" s="26"/>
      <c r="E253" s="58"/>
      <c r="F253" s="45"/>
      <c r="G253" s="45"/>
      <c r="H253" s="80"/>
    </row>
    <row r="254" spans="2:8" ht="14.4" x14ac:dyDescent="0.3">
      <c r="B254" s="26"/>
      <c r="C254" s="26"/>
      <c r="D254" s="26"/>
      <c r="E254" s="58"/>
      <c r="F254" s="45"/>
      <c r="G254" s="45"/>
      <c r="H254" s="80"/>
    </row>
    <row r="255" spans="2:8" ht="14.4" x14ac:dyDescent="0.3">
      <c r="B255" s="26"/>
      <c r="C255" s="26"/>
      <c r="D255" s="26"/>
      <c r="E255" s="58"/>
      <c r="F255" s="45"/>
      <c r="G255" s="45"/>
      <c r="H255" s="80"/>
    </row>
    <row r="256" spans="2:8" ht="14.4" x14ac:dyDescent="0.3">
      <c r="B256" s="26"/>
      <c r="C256" s="26"/>
      <c r="D256" s="26"/>
      <c r="E256" s="58"/>
      <c r="F256" s="45"/>
      <c r="G256" s="45"/>
      <c r="H256" s="80"/>
    </row>
    <row r="257" spans="2:8" ht="14.4" x14ac:dyDescent="0.3">
      <c r="B257" s="26"/>
      <c r="C257" s="26"/>
      <c r="D257" s="26"/>
      <c r="E257" s="58"/>
      <c r="F257" s="45"/>
      <c r="G257" s="45"/>
      <c r="H257" s="80"/>
    </row>
    <row r="258" spans="2:8" ht="14.4" x14ac:dyDescent="0.3">
      <c r="B258" s="26"/>
      <c r="C258" s="26"/>
      <c r="D258" s="26"/>
      <c r="E258" s="58"/>
      <c r="F258" s="45"/>
      <c r="G258" s="45"/>
      <c r="H258" s="80"/>
    </row>
    <row r="259" spans="2:8" ht="14.4" x14ac:dyDescent="0.3">
      <c r="B259" s="26"/>
      <c r="C259" s="26"/>
      <c r="D259" s="26"/>
      <c r="E259" s="58"/>
      <c r="F259" s="45"/>
      <c r="G259" s="45"/>
      <c r="H259" s="80"/>
    </row>
    <row r="260" spans="2:8" ht="14.4" x14ac:dyDescent="0.3">
      <c r="B260" s="26"/>
      <c r="C260" s="26"/>
      <c r="D260" s="26"/>
      <c r="E260" s="58"/>
      <c r="F260" s="45"/>
      <c r="G260" s="45"/>
      <c r="H260" s="80"/>
    </row>
    <row r="261" spans="2:8" ht="14.4" x14ac:dyDescent="0.3">
      <c r="B261" s="26"/>
      <c r="C261" s="26"/>
      <c r="D261" s="26"/>
      <c r="E261" s="58"/>
      <c r="F261" s="45"/>
      <c r="G261" s="45"/>
      <c r="H261" s="80"/>
    </row>
    <row r="262" spans="2:8" ht="14.4" x14ac:dyDescent="0.3">
      <c r="B262" s="26"/>
      <c r="C262" s="26"/>
      <c r="D262" s="26"/>
      <c r="E262" s="58"/>
      <c r="F262" s="45"/>
      <c r="G262" s="45"/>
      <c r="H262" s="80"/>
    </row>
    <row r="263" spans="2:8" ht="14.4" x14ac:dyDescent="0.3">
      <c r="B263" s="26"/>
      <c r="C263" s="26"/>
      <c r="D263" s="26"/>
      <c r="E263" s="58"/>
      <c r="F263" s="45"/>
      <c r="G263" s="45"/>
      <c r="H263" s="80"/>
    </row>
    <row r="264" spans="2:8" ht="14.4" x14ac:dyDescent="0.3">
      <c r="B264" s="26"/>
      <c r="C264" s="26"/>
      <c r="D264" s="26"/>
      <c r="E264" s="58"/>
      <c r="F264" s="45"/>
      <c r="G264" s="45"/>
      <c r="H264" s="80"/>
    </row>
    <row r="265" spans="2:8" ht="14.4" x14ac:dyDescent="0.3">
      <c r="B265" s="26"/>
      <c r="C265" s="26"/>
      <c r="D265" s="26"/>
      <c r="E265" s="58"/>
      <c r="F265" s="45"/>
      <c r="G265" s="45"/>
      <c r="H265" s="80"/>
    </row>
    <row r="266" spans="2:8" ht="14.4" x14ac:dyDescent="0.3">
      <c r="B266" s="26"/>
      <c r="C266" s="26"/>
      <c r="D266" s="26"/>
      <c r="E266" s="58"/>
      <c r="F266" s="45"/>
      <c r="G266" s="45"/>
      <c r="H266" s="80"/>
    </row>
    <row r="267" spans="2:8" ht="14.4" x14ac:dyDescent="0.3">
      <c r="B267" s="26"/>
      <c r="C267" s="26"/>
      <c r="D267" s="26"/>
      <c r="E267" s="58"/>
      <c r="F267" s="45"/>
      <c r="G267" s="45"/>
      <c r="H267" s="80"/>
    </row>
    <row r="268" spans="2:8" ht="14.4" x14ac:dyDescent="0.3">
      <c r="B268" s="26"/>
      <c r="C268" s="26"/>
      <c r="D268" s="26"/>
      <c r="E268" s="58"/>
      <c r="F268" s="45"/>
      <c r="G268" s="45"/>
      <c r="H268" s="80"/>
    </row>
    <row r="269" spans="2:8" ht="14.4" x14ac:dyDescent="0.3">
      <c r="B269" s="26"/>
      <c r="C269" s="26"/>
      <c r="D269" s="26"/>
      <c r="E269" s="58"/>
      <c r="F269" s="45"/>
      <c r="G269" s="45"/>
      <c r="H269" s="80"/>
    </row>
    <row r="270" spans="2:8" ht="14.4" x14ac:dyDescent="0.3">
      <c r="B270" s="26"/>
      <c r="C270" s="26"/>
      <c r="D270" s="26"/>
      <c r="E270" s="58"/>
      <c r="F270" s="45"/>
      <c r="G270" s="45"/>
      <c r="H270" s="80"/>
    </row>
    <row r="271" spans="2:8" ht="14.4" x14ac:dyDescent="0.3">
      <c r="B271" s="26"/>
      <c r="C271" s="26"/>
      <c r="D271" s="26"/>
      <c r="E271" s="58"/>
      <c r="F271" s="45"/>
      <c r="G271" s="45"/>
      <c r="H271" s="80"/>
    </row>
    <row r="272" spans="2:8" ht="14.4" x14ac:dyDescent="0.3">
      <c r="B272" s="26"/>
      <c r="C272" s="26"/>
      <c r="D272" s="26"/>
      <c r="E272" s="58"/>
      <c r="F272" s="45"/>
      <c r="G272" s="45"/>
      <c r="H272" s="80"/>
    </row>
    <row r="273" spans="2:8" ht="14.4" x14ac:dyDescent="0.3">
      <c r="B273" s="26"/>
      <c r="C273" s="26"/>
      <c r="D273" s="26"/>
      <c r="E273" s="58"/>
      <c r="F273" s="45"/>
      <c r="G273" s="45"/>
      <c r="H273" s="80"/>
    </row>
    <row r="274" spans="2:8" ht="14.4" x14ac:dyDescent="0.3">
      <c r="B274" s="26"/>
      <c r="C274" s="26"/>
      <c r="D274" s="26"/>
      <c r="E274" s="58"/>
      <c r="F274" s="45"/>
      <c r="G274" s="45"/>
      <c r="H274" s="80"/>
    </row>
    <row r="275" spans="2:8" ht="14.4" x14ac:dyDescent="0.3">
      <c r="B275" s="26"/>
      <c r="C275" s="26"/>
      <c r="D275" s="26"/>
      <c r="E275" s="58"/>
      <c r="F275" s="45"/>
      <c r="G275" s="45"/>
      <c r="H275" s="80"/>
    </row>
    <row r="276" spans="2:8" ht="14.4" x14ac:dyDescent="0.3">
      <c r="B276" s="26"/>
      <c r="C276" s="26"/>
      <c r="D276" s="26"/>
      <c r="E276" s="58"/>
      <c r="F276" s="45"/>
      <c r="G276" s="45"/>
      <c r="H276" s="80"/>
    </row>
    <row r="277" spans="2:8" ht="14.4" x14ac:dyDescent="0.3">
      <c r="B277" s="26"/>
      <c r="C277" s="26"/>
      <c r="D277" s="26"/>
      <c r="E277" s="58"/>
      <c r="F277" s="45"/>
      <c r="G277" s="45"/>
      <c r="H277" s="80"/>
    </row>
    <row r="278" spans="2:8" ht="14.4" x14ac:dyDescent="0.3">
      <c r="B278" s="26"/>
      <c r="C278" s="26"/>
      <c r="D278" s="26"/>
      <c r="E278" s="58"/>
      <c r="F278" s="45"/>
      <c r="G278" s="45"/>
      <c r="H278" s="80"/>
    </row>
    <row r="279" spans="2:8" ht="14.4" x14ac:dyDescent="0.3">
      <c r="B279" s="26"/>
      <c r="C279" s="26"/>
      <c r="D279" s="26"/>
      <c r="E279" s="58"/>
      <c r="F279" s="45"/>
      <c r="G279" s="45"/>
      <c r="H279" s="80"/>
    </row>
    <row r="280" spans="2:8" ht="14.4" x14ac:dyDescent="0.3">
      <c r="B280" s="26"/>
      <c r="C280" s="26"/>
      <c r="D280" s="26"/>
      <c r="E280" s="58"/>
      <c r="F280" s="45"/>
      <c r="G280" s="45"/>
      <c r="H280" s="80"/>
    </row>
    <row r="281" spans="2:8" ht="14.4" x14ac:dyDescent="0.3">
      <c r="B281" s="26"/>
      <c r="C281" s="26"/>
      <c r="D281" s="26"/>
      <c r="E281" s="58"/>
      <c r="F281" s="45"/>
      <c r="G281" s="45"/>
      <c r="H281" s="80"/>
    </row>
    <row r="282" spans="2:8" ht="14.4" x14ac:dyDescent="0.3">
      <c r="B282" s="26"/>
      <c r="C282" s="26"/>
      <c r="D282" s="26"/>
      <c r="E282" s="58"/>
      <c r="F282" s="45"/>
      <c r="G282" s="45"/>
      <c r="H282" s="80"/>
    </row>
    <row r="283" spans="2:8" ht="14.4" x14ac:dyDescent="0.3">
      <c r="B283" s="26"/>
      <c r="C283" s="26"/>
      <c r="D283" s="26"/>
      <c r="E283" s="58"/>
      <c r="F283" s="45"/>
      <c r="G283" s="45"/>
      <c r="H283" s="80"/>
    </row>
    <row r="284" spans="2:8" ht="14.4" x14ac:dyDescent="0.3">
      <c r="B284" s="26"/>
      <c r="C284" s="26"/>
      <c r="D284" s="26"/>
      <c r="E284" s="58"/>
      <c r="F284" s="45"/>
      <c r="G284" s="45"/>
      <c r="H284" s="80"/>
    </row>
    <row r="285" spans="2:8" ht="14.4" x14ac:dyDescent="0.3">
      <c r="B285" s="26"/>
      <c r="C285" s="26"/>
      <c r="D285" s="26"/>
      <c r="E285" s="58"/>
      <c r="F285" s="45"/>
      <c r="G285" s="45"/>
      <c r="H285" s="80"/>
    </row>
    <row r="286" spans="2:8" ht="14.4" x14ac:dyDescent="0.3">
      <c r="B286" s="26"/>
      <c r="C286" s="26"/>
      <c r="D286" s="26"/>
      <c r="E286" s="58"/>
      <c r="F286" s="45"/>
      <c r="G286" s="45"/>
      <c r="H286" s="80"/>
    </row>
    <row r="287" spans="2:8" ht="14.4" x14ac:dyDescent="0.3">
      <c r="B287" s="26"/>
      <c r="C287" s="26"/>
      <c r="D287" s="26"/>
      <c r="E287" s="58"/>
      <c r="F287" s="45"/>
      <c r="G287" s="45"/>
      <c r="H287" s="80"/>
    </row>
    <row r="288" spans="2:8" ht="14.4" x14ac:dyDescent="0.3">
      <c r="B288" s="26"/>
      <c r="C288" s="26"/>
      <c r="D288" s="26"/>
      <c r="E288" s="58"/>
      <c r="F288" s="45"/>
      <c r="G288" s="45"/>
      <c r="H288" s="80"/>
    </row>
    <row r="289" spans="2:8" ht="14.4" x14ac:dyDescent="0.3">
      <c r="B289" s="26"/>
      <c r="C289" s="26"/>
      <c r="D289" s="26"/>
      <c r="E289" s="58"/>
      <c r="F289" s="45"/>
      <c r="G289" s="45"/>
      <c r="H289" s="80"/>
    </row>
    <row r="290" spans="2:8" ht="14.4" x14ac:dyDescent="0.3">
      <c r="B290" s="26"/>
      <c r="C290" s="26"/>
      <c r="D290" s="26"/>
      <c r="E290" s="58"/>
      <c r="F290" s="45"/>
      <c r="G290" s="45"/>
      <c r="H290" s="80"/>
    </row>
    <row r="291" spans="2:8" ht="14.4" x14ac:dyDescent="0.3">
      <c r="B291" s="26"/>
      <c r="C291" s="26"/>
      <c r="D291" s="26"/>
      <c r="E291" s="58"/>
      <c r="F291" s="45"/>
      <c r="G291" s="45"/>
      <c r="H291" s="80"/>
    </row>
    <row r="292" spans="2:8" ht="14.4" x14ac:dyDescent="0.3">
      <c r="B292" s="26"/>
      <c r="C292" s="26"/>
      <c r="D292" s="26"/>
      <c r="E292" s="58"/>
      <c r="F292" s="45"/>
      <c r="G292" s="45"/>
      <c r="H292" s="80"/>
    </row>
    <row r="293" spans="2:8" ht="14.4" x14ac:dyDescent="0.3">
      <c r="B293" s="26"/>
      <c r="C293" s="26"/>
      <c r="D293" s="26"/>
      <c r="E293" s="58"/>
      <c r="F293" s="45"/>
      <c r="G293" s="45"/>
      <c r="H293" s="80"/>
    </row>
    <row r="294" spans="2:8" ht="14.4" x14ac:dyDescent="0.3">
      <c r="B294" s="26"/>
      <c r="C294" s="26"/>
      <c r="D294" s="26"/>
      <c r="E294" s="58"/>
      <c r="F294" s="45"/>
      <c r="G294" s="45"/>
      <c r="H294" s="80"/>
    </row>
    <row r="295" spans="2:8" ht="14.4" x14ac:dyDescent="0.3">
      <c r="B295" s="26"/>
      <c r="C295" s="26"/>
      <c r="D295" s="26"/>
      <c r="E295" s="58"/>
      <c r="F295" s="45"/>
      <c r="G295" s="45"/>
      <c r="H295" s="80"/>
    </row>
    <row r="296" spans="2:8" ht="14.4" x14ac:dyDescent="0.3">
      <c r="B296" s="26"/>
      <c r="C296" s="26"/>
      <c r="D296" s="26"/>
      <c r="E296" s="58"/>
      <c r="F296" s="45"/>
      <c r="G296" s="45"/>
      <c r="H296" s="80"/>
    </row>
    <row r="297" spans="2:8" ht="14.4" x14ac:dyDescent="0.3">
      <c r="B297" s="26"/>
      <c r="C297" s="26"/>
      <c r="D297" s="26"/>
      <c r="E297" s="58"/>
      <c r="F297" s="45"/>
      <c r="G297" s="45"/>
      <c r="H297" s="80"/>
    </row>
    <row r="298" spans="2:8" ht="14.4" x14ac:dyDescent="0.3">
      <c r="B298" s="26"/>
      <c r="C298" s="26"/>
      <c r="D298" s="26"/>
      <c r="E298" s="58"/>
      <c r="F298" s="45"/>
      <c r="G298" s="45"/>
      <c r="H298" s="80"/>
    </row>
    <row r="299" spans="2:8" ht="14.4" x14ac:dyDescent="0.3">
      <c r="B299" s="26"/>
      <c r="C299" s="26"/>
      <c r="D299" s="26"/>
      <c r="E299" s="58"/>
      <c r="F299" s="45"/>
      <c r="G299" s="45"/>
      <c r="H299" s="80"/>
    </row>
    <row r="300" spans="2:8" ht="14.4" x14ac:dyDescent="0.3">
      <c r="B300" s="26"/>
      <c r="C300" s="26"/>
      <c r="D300" s="26"/>
      <c r="E300" s="58"/>
      <c r="F300" s="45"/>
      <c r="G300" s="45"/>
      <c r="H300" s="80"/>
    </row>
    <row r="301" spans="2:8" ht="14.4" x14ac:dyDescent="0.3">
      <c r="B301" s="26"/>
      <c r="C301" s="26"/>
      <c r="D301" s="26"/>
      <c r="E301" s="58"/>
      <c r="F301" s="45"/>
      <c r="G301" s="45"/>
      <c r="H301" s="80"/>
    </row>
    <row r="302" spans="2:8" ht="14.4" x14ac:dyDescent="0.3">
      <c r="B302" s="26"/>
      <c r="C302" s="26"/>
      <c r="D302" s="26"/>
      <c r="E302" s="58"/>
      <c r="F302" s="45"/>
      <c r="G302" s="45"/>
      <c r="H302" s="80"/>
    </row>
    <row r="303" spans="2:8" ht="14.4" x14ac:dyDescent="0.3">
      <c r="B303" s="26"/>
      <c r="C303" s="26"/>
      <c r="D303" s="26"/>
      <c r="E303" s="58"/>
      <c r="F303" s="45"/>
      <c r="G303" s="45"/>
      <c r="H303" s="80"/>
    </row>
    <row r="304" spans="2:8" ht="14.4" x14ac:dyDescent="0.3">
      <c r="B304" s="26"/>
      <c r="C304" s="26"/>
      <c r="D304" s="26"/>
      <c r="E304" s="58"/>
      <c r="F304" s="45"/>
      <c r="G304" s="45"/>
      <c r="H304" s="80"/>
    </row>
    <row r="305" spans="2:8" ht="14.4" x14ac:dyDescent="0.3">
      <c r="B305" s="26"/>
      <c r="C305" s="26"/>
      <c r="D305" s="26"/>
      <c r="E305" s="58"/>
      <c r="F305" s="45"/>
      <c r="G305" s="45"/>
      <c r="H305" s="80"/>
    </row>
    <row r="306" spans="2:8" ht="14.4" x14ac:dyDescent="0.3">
      <c r="B306" s="26"/>
      <c r="C306" s="26"/>
      <c r="D306" s="26"/>
      <c r="E306" s="58"/>
      <c r="F306" s="45"/>
      <c r="G306" s="45"/>
      <c r="H306" s="80"/>
    </row>
    <row r="307" spans="2:8" ht="14.4" x14ac:dyDescent="0.3">
      <c r="B307" s="26"/>
      <c r="C307" s="26"/>
      <c r="D307" s="26"/>
      <c r="E307" s="58"/>
      <c r="F307" s="45"/>
      <c r="G307" s="45"/>
      <c r="H307" s="80"/>
    </row>
    <row r="308" spans="2:8" ht="14.4" x14ac:dyDescent="0.3">
      <c r="B308" s="26"/>
      <c r="C308" s="26"/>
      <c r="D308" s="26"/>
      <c r="E308" s="58"/>
      <c r="F308" s="45"/>
      <c r="G308" s="45"/>
      <c r="H308" s="80"/>
    </row>
    <row r="309" spans="2:8" ht="14.4" x14ac:dyDescent="0.3">
      <c r="B309" s="26"/>
      <c r="C309" s="26"/>
      <c r="D309" s="26"/>
      <c r="E309" s="58"/>
      <c r="F309" s="45"/>
      <c r="G309" s="45"/>
      <c r="H309" s="80"/>
    </row>
    <row r="310" spans="2:8" ht="14.4" x14ac:dyDescent="0.3">
      <c r="B310" s="26"/>
      <c r="C310" s="26"/>
      <c r="D310" s="26"/>
      <c r="E310" s="58"/>
      <c r="F310" s="45"/>
      <c r="G310" s="45"/>
      <c r="H310" s="80"/>
    </row>
    <row r="311" spans="2:8" ht="14.4" x14ac:dyDescent="0.3">
      <c r="B311" s="26"/>
      <c r="C311" s="26"/>
      <c r="D311" s="26"/>
      <c r="E311" s="58"/>
      <c r="F311" s="45"/>
      <c r="G311" s="45"/>
      <c r="H311" s="80"/>
    </row>
    <row r="312" spans="2:8" ht="14.4" x14ac:dyDescent="0.3">
      <c r="B312" s="26"/>
      <c r="C312" s="26"/>
      <c r="D312" s="26"/>
      <c r="E312" s="58"/>
      <c r="F312" s="45"/>
      <c r="G312" s="45"/>
      <c r="H312" s="80"/>
    </row>
    <row r="313" spans="2:8" ht="14.4" x14ac:dyDescent="0.3">
      <c r="B313" s="26"/>
      <c r="C313" s="26"/>
      <c r="D313" s="26"/>
      <c r="E313" s="58"/>
      <c r="F313" s="45"/>
      <c r="G313" s="45"/>
      <c r="H313" s="80"/>
    </row>
    <row r="314" spans="2:8" ht="14.4" x14ac:dyDescent="0.3">
      <c r="B314" s="26"/>
      <c r="C314" s="26"/>
      <c r="D314" s="26"/>
      <c r="E314" s="58"/>
      <c r="F314" s="45"/>
      <c r="G314" s="45"/>
      <c r="H314" s="80"/>
    </row>
    <row r="315" spans="2:8" ht="14.4" x14ac:dyDescent="0.3">
      <c r="B315" s="26"/>
      <c r="C315" s="26"/>
      <c r="D315" s="26"/>
      <c r="E315" s="58"/>
      <c r="F315" s="45"/>
      <c r="G315" s="45"/>
      <c r="H315" s="80"/>
    </row>
    <row r="316" spans="2:8" ht="14.4" x14ac:dyDescent="0.3">
      <c r="B316" s="26"/>
      <c r="C316" s="26"/>
      <c r="D316" s="26"/>
      <c r="E316" s="58"/>
      <c r="F316" s="45"/>
      <c r="G316" s="45"/>
      <c r="H316" s="80"/>
    </row>
    <row r="317" spans="2:8" ht="14.4" x14ac:dyDescent="0.3">
      <c r="B317" s="26"/>
      <c r="C317" s="26"/>
      <c r="D317" s="26"/>
      <c r="E317" s="58"/>
      <c r="F317" s="45"/>
      <c r="G317" s="45"/>
      <c r="H317" s="80"/>
    </row>
    <row r="318" spans="2:8" ht="14.4" x14ac:dyDescent="0.3">
      <c r="B318" s="26"/>
      <c r="C318" s="26"/>
      <c r="D318" s="26"/>
      <c r="E318" s="58"/>
      <c r="F318" s="45"/>
      <c r="G318" s="45"/>
      <c r="H318" s="80"/>
    </row>
    <row r="319" spans="2:8" ht="14.4" x14ac:dyDescent="0.3">
      <c r="B319" s="26"/>
      <c r="C319" s="26"/>
      <c r="D319" s="26"/>
      <c r="E319" s="58"/>
      <c r="F319" s="45"/>
      <c r="G319" s="45"/>
      <c r="H319" s="80"/>
    </row>
    <row r="320" spans="2:8" ht="14.4" x14ac:dyDescent="0.3">
      <c r="B320" s="26"/>
      <c r="C320" s="26"/>
      <c r="D320" s="26"/>
      <c r="E320" s="58"/>
      <c r="F320" s="45"/>
      <c r="G320" s="45"/>
      <c r="H320" s="80"/>
    </row>
    <row r="321" spans="2:8" ht="14.4" x14ac:dyDescent="0.3">
      <c r="B321" s="26"/>
      <c r="C321" s="26"/>
      <c r="D321" s="26"/>
      <c r="E321" s="58"/>
      <c r="F321" s="45"/>
      <c r="G321" s="45"/>
      <c r="H321" s="80"/>
    </row>
    <row r="322" spans="2:8" ht="14.4" x14ac:dyDescent="0.3">
      <c r="B322" s="26"/>
      <c r="C322" s="26"/>
      <c r="D322" s="26"/>
      <c r="E322" s="58"/>
      <c r="F322" s="45"/>
      <c r="G322" s="45"/>
      <c r="H322" s="80"/>
    </row>
    <row r="323" spans="2:8" ht="14.4" x14ac:dyDescent="0.3">
      <c r="B323" s="26"/>
      <c r="C323" s="26"/>
      <c r="D323" s="26"/>
      <c r="E323" s="58"/>
      <c r="F323" s="45"/>
      <c r="G323" s="45"/>
      <c r="H323" s="80"/>
    </row>
    <row r="324" spans="2:8" ht="14.4" x14ac:dyDescent="0.3">
      <c r="B324" s="26"/>
      <c r="C324" s="26"/>
      <c r="D324" s="26"/>
      <c r="E324" s="58"/>
      <c r="F324" s="45"/>
      <c r="G324" s="45"/>
      <c r="H324" s="80"/>
    </row>
    <row r="325" spans="2:8" ht="14.4" x14ac:dyDescent="0.3">
      <c r="B325" s="26"/>
      <c r="C325" s="26"/>
      <c r="D325" s="26"/>
      <c r="E325" s="58"/>
      <c r="F325" s="45"/>
      <c r="G325" s="45"/>
      <c r="H325" s="80"/>
    </row>
    <row r="326" spans="2:8" ht="14.4" x14ac:dyDescent="0.3">
      <c r="B326" s="26"/>
      <c r="C326" s="26"/>
      <c r="D326" s="26"/>
      <c r="E326" s="58"/>
      <c r="F326" s="45"/>
      <c r="G326" s="45"/>
      <c r="H326" s="80"/>
    </row>
    <row r="327" spans="2:8" ht="14.4" x14ac:dyDescent="0.3">
      <c r="B327" s="26"/>
      <c r="C327" s="26"/>
      <c r="D327" s="26"/>
      <c r="E327" s="58"/>
      <c r="F327" s="45"/>
      <c r="G327" s="45"/>
      <c r="H327" s="80"/>
    </row>
    <row r="328" spans="2:8" ht="14.4" x14ac:dyDescent="0.3">
      <c r="B328" s="26"/>
      <c r="C328" s="26"/>
      <c r="D328" s="26"/>
      <c r="E328" s="58"/>
      <c r="F328" s="45"/>
      <c r="G328" s="45"/>
      <c r="H328" s="80"/>
    </row>
    <row r="329" spans="2:8" ht="14.4" x14ac:dyDescent="0.3">
      <c r="B329" s="26"/>
      <c r="C329" s="26"/>
      <c r="D329" s="26"/>
      <c r="E329" s="58"/>
      <c r="F329" s="45"/>
      <c r="G329" s="45"/>
      <c r="H329" s="80"/>
    </row>
    <row r="330" spans="2:8" ht="14.4" x14ac:dyDescent="0.3">
      <c r="B330" s="26"/>
      <c r="C330" s="26"/>
      <c r="D330" s="26"/>
      <c r="E330" s="58"/>
      <c r="F330" s="45"/>
      <c r="G330" s="45"/>
      <c r="H330" s="80"/>
    </row>
    <row r="331" spans="2:8" ht="14.4" x14ac:dyDescent="0.3">
      <c r="B331" s="26"/>
      <c r="C331" s="26"/>
      <c r="D331" s="26"/>
      <c r="E331" s="58"/>
      <c r="F331" s="45"/>
      <c r="G331" s="45"/>
      <c r="H331" s="80"/>
    </row>
    <row r="332" spans="2:8" ht="14.4" x14ac:dyDescent="0.3">
      <c r="B332" s="26"/>
      <c r="C332" s="26"/>
      <c r="D332" s="26"/>
      <c r="E332" s="58"/>
      <c r="F332" s="45"/>
      <c r="G332" s="45"/>
      <c r="H332" s="80"/>
    </row>
    <row r="333" spans="2:8" ht="14.4" x14ac:dyDescent="0.3">
      <c r="B333" s="26"/>
      <c r="C333" s="26"/>
      <c r="D333" s="26"/>
      <c r="E333" s="58"/>
      <c r="F333" s="45"/>
      <c r="G333" s="45"/>
      <c r="H333" s="80"/>
    </row>
    <row r="334" spans="2:8" ht="14.4" x14ac:dyDescent="0.3">
      <c r="B334" s="26"/>
      <c r="C334" s="26"/>
      <c r="D334" s="26"/>
      <c r="E334" s="58"/>
      <c r="F334" s="45"/>
      <c r="G334" s="45"/>
      <c r="H334" s="80"/>
    </row>
    <row r="335" spans="2:8" ht="14.4" x14ac:dyDescent="0.3">
      <c r="B335" s="26"/>
      <c r="C335" s="26"/>
      <c r="D335" s="26"/>
      <c r="E335" s="58"/>
      <c r="F335" s="45"/>
      <c r="G335" s="45"/>
      <c r="H335" s="80"/>
    </row>
    <row r="336" spans="2:8" ht="14.4" x14ac:dyDescent="0.3">
      <c r="B336" s="26"/>
      <c r="C336" s="26"/>
      <c r="D336" s="26"/>
      <c r="E336" s="58"/>
      <c r="F336" s="45"/>
      <c r="G336" s="45"/>
      <c r="H336" s="80"/>
    </row>
    <row r="337" spans="2:8" ht="14.4" x14ac:dyDescent="0.3">
      <c r="B337" s="26"/>
      <c r="C337" s="26"/>
      <c r="D337" s="26"/>
      <c r="E337" s="58"/>
      <c r="F337" s="45"/>
      <c r="G337" s="45"/>
      <c r="H337" s="80"/>
    </row>
    <row r="338" spans="2:8" ht="14.4" x14ac:dyDescent="0.3">
      <c r="B338" s="26"/>
      <c r="C338" s="26"/>
      <c r="D338" s="26"/>
      <c r="E338" s="58"/>
      <c r="F338" s="45"/>
      <c r="G338" s="45"/>
      <c r="H338" s="80"/>
    </row>
    <row r="339" spans="2:8" ht="14.4" x14ac:dyDescent="0.3">
      <c r="B339" s="26"/>
      <c r="C339" s="26"/>
      <c r="D339" s="26"/>
      <c r="E339" s="58"/>
      <c r="F339" s="45"/>
      <c r="G339" s="45"/>
      <c r="H339" s="80"/>
    </row>
    <row r="340" spans="2:8" ht="14.4" x14ac:dyDescent="0.3">
      <c r="B340" s="26"/>
      <c r="C340" s="26"/>
      <c r="D340" s="26"/>
      <c r="E340" s="58"/>
      <c r="F340" s="45"/>
      <c r="G340" s="45"/>
      <c r="H340" s="80"/>
    </row>
    <row r="341" spans="2:8" ht="14.4" x14ac:dyDescent="0.3">
      <c r="B341" s="26"/>
      <c r="C341" s="26"/>
      <c r="D341" s="26"/>
      <c r="E341" s="58"/>
      <c r="F341" s="45"/>
      <c r="G341" s="45"/>
      <c r="H341" s="80"/>
    </row>
    <row r="342" spans="2:8" ht="14.4" x14ac:dyDescent="0.3">
      <c r="B342" s="26"/>
      <c r="C342" s="26"/>
      <c r="D342" s="26"/>
      <c r="E342" s="58"/>
      <c r="F342" s="45"/>
      <c r="G342" s="45"/>
      <c r="H342" s="80"/>
    </row>
    <row r="343" spans="2:8" ht="14.4" x14ac:dyDescent="0.3">
      <c r="B343" s="26"/>
      <c r="C343" s="26"/>
      <c r="D343" s="26"/>
      <c r="E343" s="58"/>
      <c r="F343" s="45"/>
      <c r="G343" s="45"/>
      <c r="H343" s="80"/>
    </row>
    <row r="344" spans="2:8" ht="14.4" x14ac:dyDescent="0.3">
      <c r="B344" s="26"/>
      <c r="C344" s="26"/>
      <c r="D344" s="26"/>
      <c r="E344" s="58"/>
      <c r="F344" s="45"/>
      <c r="G344" s="45"/>
      <c r="H344" s="80"/>
    </row>
    <row r="345" spans="2:8" ht="14.4" x14ac:dyDescent="0.3">
      <c r="B345" s="26"/>
      <c r="C345" s="26"/>
      <c r="D345" s="26"/>
      <c r="E345" s="58"/>
      <c r="F345" s="45"/>
      <c r="G345" s="45"/>
      <c r="H345" s="80"/>
    </row>
    <row r="346" spans="2:8" ht="14.4" x14ac:dyDescent="0.3">
      <c r="B346" s="26"/>
      <c r="C346" s="26"/>
      <c r="D346" s="26"/>
      <c r="E346" s="58"/>
      <c r="F346" s="45"/>
      <c r="G346" s="45"/>
      <c r="H346" s="80"/>
    </row>
    <row r="347" spans="2:8" ht="14.4" x14ac:dyDescent="0.3">
      <c r="B347" s="26"/>
      <c r="C347" s="26"/>
      <c r="D347" s="26"/>
      <c r="E347" s="58"/>
      <c r="F347" s="45"/>
      <c r="G347" s="45"/>
      <c r="H347" s="80"/>
    </row>
    <row r="348" spans="2:8" ht="14.4" x14ac:dyDescent="0.3">
      <c r="B348" s="26"/>
      <c r="C348" s="26"/>
      <c r="D348" s="26"/>
      <c r="E348" s="58"/>
      <c r="F348" s="45"/>
      <c r="G348" s="45"/>
      <c r="H348" s="80"/>
    </row>
    <row r="349" spans="2:8" ht="14.4" x14ac:dyDescent="0.3">
      <c r="B349" s="26"/>
      <c r="C349" s="26"/>
      <c r="D349" s="26"/>
      <c r="E349" s="58"/>
      <c r="F349" s="45"/>
      <c r="G349" s="45"/>
      <c r="H349" s="80"/>
    </row>
    <row r="350" spans="2:8" ht="14.4" x14ac:dyDescent="0.3">
      <c r="B350" s="26"/>
      <c r="C350" s="26"/>
      <c r="D350" s="26"/>
      <c r="E350" s="58"/>
      <c r="F350" s="45"/>
      <c r="G350" s="45"/>
      <c r="H350" s="80"/>
    </row>
    <row r="351" spans="2:8" ht="14.4" x14ac:dyDescent="0.3">
      <c r="B351" s="26"/>
      <c r="C351" s="26"/>
      <c r="D351" s="26"/>
      <c r="E351" s="58"/>
      <c r="F351" s="45"/>
      <c r="G351" s="45"/>
      <c r="H351" s="80"/>
    </row>
    <row r="352" spans="2:8" ht="14.4" x14ac:dyDescent="0.3">
      <c r="B352" s="26"/>
      <c r="C352" s="26"/>
      <c r="D352" s="26"/>
      <c r="E352" s="58"/>
      <c r="F352" s="45"/>
      <c r="G352" s="45"/>
      <c r="H352" s="80"/>
    </row>
    <row r="353" spans="2:8" ht="14.4" x14ac:dyDescent="0.3">
      <c r="B353" s="26"/>
      <c r="C353" s="26"/>
      <c r="D353" s="26"/>
      <c r="E353" s="58"/>
      <c r="F353" s="45"/>
      <c r="G353" s="45"/>
      <c r="H353" s="80"/>
    </row>
    <row r="354" spans="2:8" ht="14.4" x14ac:dyDescent="0.3">
      <c r="B354" s="26"/>
      <c r="C354" s="26"/>
      <c r="D354" s="26"/>
      <c r="E354" s="58"/>
      <c r="F354" s="45"/>
      <c r="G354" s="45"/>
      <c r="H354" s="80"/>
    </row>
    <row r="355" spans="2:8" ht="14.4" x14ac:dyDescent="0.3">
      <c r="B355" s="26"/>
      <c r="C355" s="26"/>
      <c r="D355" s="26"/>
      <c r="E355" s="58"/>
      <c r="F355" s="45"/>
      <c r="G355" s="45"/>
      <c r="H355" s="80"/>
    </row>
    <row r="356" spans="2:8" ht="14.4" x14ac:dyDescent="0.3">
      <c r="B356" s="26"/>
      <c r="C356" s="26"/>
      <c r="D356" s="26"/>
      <c r="E356" s="58"/>
      <c r="F356" s="45"/>
      <c r="G356" s="45"/>
      <c r="H356" s="80"/>
    </row>
    <row r="357" spans="2:8" ht="14.4" x14ac:dyDescent="0.3">
      <c r="B357" s="26"/>
      <c r="C357" s="26"/>
      <c r="D357" s="26"/>
      <c r="E357" s="58"/>
      <c r="F357" s="45"/>
      <c r="G357" s="45"/>
      <c r="H357" s="80"/>
    </row>
    <row r="358" spans="2:8" ht="14.4" x14ac:dyDescent="0.3">
      <c r="B358" s="26"/>
      <c r="C358" s="26"/>
      <c r="D358" s="26"/>
      <c r="E358" s="58"/>
      <c r="F358" s="45"/>
      <c r="G358" s="45"/>
      <c r="H358" s="80"/>
    </row>
    <row r="359" spans="2:8" ht="14.4" x14ac:dyDescent="0.3">
      <c r="B359" s="26"/>
      <c r="C359" s="26"/>
      <c r="D359" s="26"/>
      <c r="E359" s="58"/>
      <c r="F359" s="45"/>
      <c r="G359" s="45"/>
      <c r="H359" s="80"/>
    </row>
    <row r="360" spans="2:8" ht="14.4" x14ac:dyDescent="0.3">
      <c r="B360" s="26"/>
      <c r="C360" s="26"/>
      <c r="D360" s="26"/>
      <c r="E360" s="58"/>
      <c r="F360" s="45"/>
      <c r="G360" s="45"/>
      <c r="H360" s="80"/>
    </row>
    <row r="361" spans="2:8" ht="14.4" x14ac:dyDescent="0.3">
      <c r="B361" s="26"/>
      <c r="C361" s="26"/>
      <c r="D361" s="26"/>
      <c r="E361" s="58"/>
      <c r="F361" s="45"/>
      <c r="G361" s="45"/>
      <c r="H361" s="80"/>
    </row>
    <row r="362" spans="2:8" ht="14.4" x14ac:dyDescent="0.3">
      <c r="B362" s="26"/>
      <c r="C362" s="26"/>
      <c r="D362" s="26"/>
      <c r="E362" s="58"/>
      <c r="F362" s="45"/>
      <c r="G362" s="45"/>
      <c r="H362" s="80"/>
    </row>
    <row r="363" spans="2:8" ht="14.4" x14ac:dyDescent="0.3">
      <c r="B363" s="26"/>
      <c r="C363" s="26"/>
      <c r="D363" s="26"/>
      <c r="E363" s="58"/>
      <c r="F363" s="45"/>
      <c r="G363" s="45"/>
      <c r="H363" s="80"/>
    </row>
    <row r="364" spans="2:8" ht="14.4" x14ac:dyDescent="0.3">
      <c r="B364" s="26"/>
      <c r="C364" s="26"/>
      <c r="D364" s="26"/>
      <c r="E364" s="58"/>
      <c r="F364" s="45"/>
      <c r="G364" s="45"/>
      <c r="H364" s="80"/>
    </row>
    <row r="365" spans="2:8" ht="14.4" x14ac:dyDescent="0.3">
      <c r="B365" s="26"/>
      <c r="C365" s="26"/>
      <c r="D365" s="26"/>
      <c r="E365" s="58"/>
      <c r="F365" s="45"/>
      <c r="G365" s="45"/>
      <c r="H365" s="80"/>
    </row>
    <row r="366" spans="2:8" ht="14.4" x14ac:dyDescent="0.3">
      <c r="B366" s="26"/>
      <c r="C366" s="26"/>
      <c r="D366" s="26"/>
      <c r="E366" s="58"/>
      <c r="F366" s="45"/>
      <c r="G366" s="45"/>
      <c r="H366" s="80"/>
    </row>
    <row r="367" spans="2:8" ht="14.4" x14ac:dyDescent="0.3">
      <c r="B367" s="26"/>
      <c r="C367" s="26"/>
      <c r="D367" s="26"/>
      <c r="E367" s="58"/>
      <c r="F367" s="45"/>
      <c r="G367" s="45"/>
      <c r="H367" s="80"/>
    </row>
    <row r="368" spans="2:8" ht="14.4" x14ac:dyDescent="0.3">
      <c r="B368" s="26"/>
      <c r="C368" s="26"/>
      <c r="D368" s="26"/>
      <c r="E368" s="58"/>
      <c r="F368" s="45"/>
      <c r="G368" s="45"/>
      <c r="H368" s="80"/>
    </row>
    <row r="369" spans="2:8" ht="14.4" x14ac:dyDescent="0.3">
      <c r="B369" s="26"/>
      <c r="C369" s="26"/>
      <c r="D369" s="26"/>
      <c r="E369" s="58"/>
      <c r="F369" s="45"/>
      <c r="G369" s="45"/>
      <c r="H369" s="80"/>
    </row>
    <row r="370" spans="2:8" ht="14.4" x14ac:dyDescent="0.3">
      <c r="B370" s="26"/>
      <c r="C370" s="26"/>
      <c r="D370" s="26"/>
      <c r="E370" s="58"/>
      <c r="F370" s="45"/>
      <c r="G370" s="45"/>
      <c r="H370" s="80"/>
    </row>
    <row r="371" spans="2:8" ht="14.4" x14ac:dyDescent="0.3">
      <c r="B371" s="26"/>
      <c r="C371" s="26"/>
      <c r="D371" s="26"/>
      <c r="E371" s="58"/>
      <c r="F371" s="45"/>
      <c r="G371" s="45"/>
      <c r="H371" s="80"/>
    </row>
    <row r="372" spans="2:8" ht="14.4" x14ac:dyDescent="0.3">
      <c r="B372" s="26"/>
      <c r="C372" s="26"/>
      <c r="D372" s="26"/>
      <c r="E372" s="58"/>
      <c r="F372" s="45"/>
      <c r="G372" s="45"/>
      <c r="H372" s="80"/>
    </row>
    <row r="373" spans="2:8" ht="14.4" x14ac:dyDescent="0.3">
      <c r="B373" s="26"/>
      <c r="C373" s="26"/>
      <c r="D373" s="26"/>
      <c r="E373" s="58"/>
      <c r="F373" s="45"/>
      <c r="G373" s="45"/>
      <c r="H373" s="80"/>
    </row>
    <row r="374" spans="2:8" ht="14.4" x14ac:dyDescent="0.3">
      <c r="B374" s="26"/>
      <c r="C374" s="26"/>
      <c r="D374" s="26"/>
      <c r="E374" s="58"/>
      <c r="F374" s="45"/>
      <c r="G374" s="45"/>
      <c r="H374" s="80"/>
    </row>
    <row r="375" spans="2:8" ht="14.4" x14ac:dyDescent="0.3">
      <c r="B375" s="26"/>
      <c r="C375" s="26"/>
      <c r="D375" s="26"/>
      <c r="E375" s="58"/>
      <c r="F375" s="45"/>
      <c r="G375" s="45"/>
      <c r="H375" s="80"/>
    </row>
    <row r="376" spans="2:8" ht="14.4" x14ac:dyDescent="0.3">
      <c r="B376" s="26"/>
      <c r="C376" s="26"/>
      <c r="D376" s="26"/>
      <c r="E376" s="58"/>
      <c r="F376" s="45"/>
      <c r="G376" s="45"/>
      <c r="H376" s="80"/>
    </row>
    <row r="377" spans="2:8" ht="14.4" x14ac:dyDescent="0.3">
      <c r="B377" s="26"/>
      <c r="C377" s="26"/>
      <c r="D377" s="26"/>
      <c r="E377" s="58"/>
      <c r="F377" s="45"/>
      <c r="G377" s="45"/>
      <c r="H377" s="80"/>
    </row>
    <row r="378" spans="2:8" ht="14.4" x14ac:dyDescent="0.3">
      <c r="B378" s="26"/>
      <c r="C378" s="26"/>
      <c r="D378" s="26"/>
      <c r="E378" s="58"/>
      <c r="F378" s="45"/>
      <c r="G378" s="45"/>
      <c r="H378" s="80"/>
    </row>
    <row r="379" spans="2:8" ht="14.4" x14ac:dyDescent="0.3">
      <c r="B379" s="26"/>
      <c r="C379" s="26"/>
      <c r="D379" s="26"/>
      <c r="E379" s="58"/>
      <c r="F379" s="45"/>
      <c r="G379" s="45"/>
      <c r="H379" s="80"/>
    </row>
    <row r="380" spans="2:8" ht="14.4" x14ac:dyDescent="0.3">
      <c r="B380" s="26"/>
      <c r="C380" s="26"/>
      <c r="D380" s="26"/>
      <c r="E380" s="58"/>
      <c r="F380" s="45"/>
      <c r="G380" s="45"/>
      <c r="H380" s="80"/>
    </row>
    <row r="381" spans="2:8" ht="14.4" x14ac:dyDescent="0.3">
      <c r="B381" s="26"/>
      <c r="C381" s="26"/>
      <c r="D381" s="26"/>
      <c r="E381" s="58"/>
      <c r="F381" s="45"/>
      <c r="G381" s="45"/>
      <c r="H381" s="80"/>
    </row>
    <row r="382" spans="2:8" ht="14.4" x14ac:dyDescent="0.3">
      <c r="B382" s="26"/>
      <c r="C382" s="26"/>
      <c r="D382" s="26"/>
      <c r="E382" s="58"/>
      <c r="F382" s="45"/>
      <c r="G382" s="45"/>
      <c r="H382" s="80"/>
    </row>
    <row r="383" spans="2:8" ht="14.4" x14ac:dyDescent="0.3">
      <c r="B383" s="26"/>
      <c r="C383" s="26"/>
      <c r="D383" s="26"/>
      <c r="E383" s="58"/>
      <c r="F383" s="45"/>
      <c r="G383" s="45"/>
      <c r="H383" s="80"/>
    </row>
    <row r="384" spans="2:8" ht="14.4" x14ac:dyDescent="0.3">
      <c r="B384" s="26"/>
      <c r="C384" s="26"/>
      <c r="D384" s="26"/>
      <c r="E384" s="58"/>
      <c r="F384" s="45"/>
      <c r="G384" s="45"/>
      <c r="H384" s="80"/>
    </row>
    <row r="385" spans="2:8" ht="14.4" x14ac:dyDescent="0.3">
      <c r="B385" s="26"/>
      <c r="C385" s="26"/>
      <c r="D385" s="26"/>
      <c r="E385" s="58"/>
      <c r="F385" s="45"/>
      <c r="G385" s="45"/>
      <c r="H385" s="80"/>
    </row>
    <row r="386" spans="2:8" ht="14.4" x14ac:dyDescent="0.3">
      <c r="B386" s="26"/>
      <c r="C386" s="26"/>
      <c r="D386" s="26"/>
      <c r="E386" s="58"/>
      <c r="F386" s="45"/>
      <c r="G386" s="45"/>
      <c r="H386" s="80"/>
    </row>
    <row r="387" spans="2:8" ht="14.4" x14ac:dyDescent="0.3">
      <c r="B387" s="26"/>
      <c r="C387" s="26"/>
      <c r="D387" s="26"/>
      <c r="E387" s="58"/>
      <c r="F387" s="45"/>
      <c r="G387" s="45"/>
      <c r="H387" s="80"/>
    </row>
    <row r="388" spans="2:8" ht="14.4" x14ac:dyDescent="0.3">
      <c r="B388" s="26"/>
      <c r="C388" s="26"/>
      <c r="D388" s="26"/>
      <c r="E388" s="58"/>
      <c r="F388" s="45"/>
      <c r="G388" s="45"/>
      <c r="H388" s="80"/>
    </row>
    <row r="389" spans="2:8" ht="14.4" x14ac:dyDescent="0.3">
      <c r="B389" s="26"/>
      <c r="C389" s="26"/>
      <c r="D389" s="26"/>
      <c r="E389" s="58"/>
      <c r="F389" s="45"/>
      <c r="G389" s="45"/>
      <c r="H389" s="80"/>
    </row>
    <row r="390" spans="2:8" ht="14.4" x14ac:dyDescent="0.3">
      <c r="B390" s="26"/>
      <c r="C390" s="26"/>
      <c r="D390" s="26"/>
      <c r="E390" s="58"/>
      <c r="F390" s="45"/>
      <c r="G390" s="45"/>
      <c r="H390" s="80"/>
    </row>
    <row r="391" spans="2:8" ht="14.4" x14ac:dyDescent="0.3">
      <c r="B391" s="26"/>
      <c r="C391" s="26"/>
      <c r="D391" s="26"/>
      <c r="E391" s="58"/>
      <c r="F391" s="45"/>
      <c r="G391" s="45"/>
      <c r="H391" s="80"/>
    </row>
    <row r="392" spans="2:8" ht="14.4" x14ac:dyDescent="0.3">
      <c r="B392" s="26"/>
      <c r="C392" s="26"/>
      <c r="D392" s="26"/>
      <c r="E392" s="58"/>
      <c r="F392" s="45"/>
      <c r="G392" s="45"/>
      <c r="H392" s="80"/>
    </row>
    <row r="393" spans="2:8" ht="14.4" x14ac:dyDescent="0.3">
      <c r="B393" s="26"/>
      <c r="C393" s="26"/>
      <c r="D393" s="26"/>
      <c r="E393" s="58"/>
      <c r="F393" s="45"/>
      <c r="G393" s="45"/>
      <c r="H393" s="80"/>
    </row>
    <row r="394" spans="2:8" ht="14.4" x14ac:dyDescent="0.3">
      <c r="B394" s="26"/>
      <c r="C394" s="26"/>
      <c r="D394" s="26"/>
      <c r="E394" s="58"/>
      <c r="F394" s="45"/>
      <c r="G394" s="45"/>
      <c r="H394" s="80"/>
    </row>
    <row r="395" spans="2:8" ht="14.4" x14ac:dyDescent="0.3">
      <c r="B395" s="26"/>
      <c r="C395" s="26"/>
      <c r="D395" s="26"/>
      <c r="E395" s="58"/>
      <c r="F395" s="45"/>
      <c r="G395" s="45"/>
      <c r="H395" s="80"/>
    </row>
    <row r="396" spans="2:8" ht="14.4" x14ac:dyDescent="0.3">
      <c r="B396" s="26"/>
      <c r="C396" s="26"/>
      <c r="D396" s="26"/>
      <c r="E396" s="58"/>
      <c r="F396" s="45"/>
      <c r="G396" s="45"/>
      <c r="H396" s="80"/>
    </row>
    <row r="397" spans="2:8" ht="14.4" x14ac:dyDescent="0.3">
      <c r="B397" s="26"/>
      <c r="C397" s="26"/>
      <c r="D397" s="26"/>
      <c r="E397" s="58"/>
      <c r="F397" s="45"/>
      <c r="G397" s="45"/>
      <c r="H397" s="80"/>
    </row>
    <row r="398" spans="2:8" ht="14.4" x14ac:dyDescent="0.3">
      <c r="B398" s="26"/>
      <c r="C398" s="26"/>
      <c r="D398" s="26"/>
      <c r="E398" s="58"/>
      <c r="F398" s="45"/>
      <c r="G398" s="45"/>
      <c r="H398" s="80"/>
    </row>
    <row r="399" spans="2:8" ht="14.4" x14ac:dyDescent="0.3">
      <c r="B399" s="26"/>
      <c r="C399" s="26"/>
      <c r="D399" s="26"/>
      <c r="E399" s="58"/>
      <c r="F399" s="45"/>
      <c r="G399" s="45"/>
      <c r="H399" s="80"/>
    </row>
    <row r="400" spans="2:8" ht="14.4" x14ac:dyDescent="0.3">
      <c r="B400" s="26"/>
      <c r="C400" s="26"/>
      <c r="D400" s="26"/>
      <c r="E400" s="58"/>
      <c r="F400" s="45"/>
      <c r="G400" s="45"/>
      <c r="H400" s="80"/>
    </row>
    <row r="401" spans="2:8" ht="14.4" x14ac:dyDescent="0.3">
      <c r="B401" s="26"/>
      <c r="C401" s="26"/>
      <c r="D401" s="26"/>
      <c r="E401" s="58"/>
      <c r="F401" s="45"/>
      <c r="G401" s="45"/>
      <c r="H401" s="80"/>
    </row>
    <row r="402" spans="2:8" ht="14.4" x14ac:dyDescent="0.3">
      <c r="B402" s="26"/>
      <c r="C402" s="26"/>
      <c r="D402" s="26"/>
      <c r="E402" s="58"/>
      <c r="F402" s="45"/>
      <c r="G402" s="45"/>
      <c r="H402" s="80"/>
    </row>
    <row r="403" spans="2:8" ht="14.4" x14ac:dyDescent="0.3">
      <c r="B403" s="26"/>
      <c r="C403" s="26"/>
      <c r="D403" s="26"/>
      <c r="E403" s="58"/>
      <c r="F403" s="45"/>
      <c r="G403" s="45"/>
      <c r="H403" s="80"/>
    </row>
    <row r="404" spans="2:8" ht="14.4" x14ac:dyDescent="0.3">
      <c r="B404" s="26"/>
      <c r="C404" s="26"/>
      <c r="D404" s="26"/>
      <c r="E404" s="58"/>
      <c r="F404" s="45"/>
      <c r="G404" s="45"/>
      <c r="H404" s="80"/>
    </row>
    <row r="405" spans="2:8" ht="14.4" x14ac:dyDescent="0.3">
      <c r="B405" s="26"/>
      <c r="C405" s="26"/>
      <c r="D405" s="26"/>
      <c r="E405" s="58"/>
      <c r="F405" s="45"/>
      <c r="G405" s="45"/>
      <c r="H405" s="80"/>
    </row>
    <row r="406" spans="2:8" ht="14.4" x14ac:dyDescent="0.3">
      <c r="B406" s="26"/>
      <c r="C406" s="26"/>
      <c r="D406" s="26"/>
      <c r="E406" s="58"/>
      <c r="F406" s="45"/>
      <c r="G406" s="45"/>
      <c r="H406" s="80"/>
    </row>
    <row r="407" spans="2:8" ht="14.4" x14ac:dyDescent="0.3">
      <c r="B407" s="26"/>
      <c r="C407" s="26"/>
      <c r="D407" s="26"/>
      <c r="E407" s="58"/>
      <c r="F407" s="45"/>
      <c r="G407" s="45"/>
      <c r="H407" s="80"/>
    </row>
    <row r="408" spans="2:8" ht="14.4" x14ac:dyDescent="0.3">
      <c r="B408" s="26"/>
      <c r="C408" s="26"/>
      <c r="D408" s="26"/>
      <c r="E408" s="58"/>
      <c r="F408" s="45"/>
      <c r="G408" s="45"/>
      <c r="H408" s="80"/>
    </row>
    <row r="409" spans="2:8" ht="14.4" x14ac:dyDescent="0.3">
      <c r="B409" s="26"/>
      <c r="C409" s="26"/>
      <c r="D409" s="26"/>
      <c r="E409" s="58"/>
      <c r="F409" s="45"/>
      <c r="G409" s="45"/>
      <c r="H409" s="80"/>
    </row>
    <row r="410" spans="2:8" ht="14.4" x14ac:dyDescent="0.3">
      <c r="B410" s="26"/>
      <c r="C410" s="26"/>
      <c r="D410" s="26"/>
      <c r="E410" s="58"/>
      <c r="F410" s="45"/>
      <c r="G410" s="45"/>
      <c r="H410" s="80"/>
    </row>
    <row r="411" spans="2:8" ht="14.4" x14ac:dyDescent="0.3">
      <c r="B411" s="26"/>
      <c r="C411" s="26"/>
      <c r="D411" s="26"/>
      <c r="E411" s="58"/>
      <c r="F411" s="45"/>
      <c r="G411" s="45"/>
      <c r="H411" s="80"/>
    </row>
    <row r="412" spans="2:8" ht="14.4" x14ac:dyDescent="0.3">
      <c r="B412" s="26"/>
      <c r="C412" s="26"/>
      <c r="D412" s="26"/>
      <c r="E412" s="58"/>
      <c r="F412" s="45"/>
      <c r="G412" s="45"/>
      <c r="H412" s="80"/>
    </row>
    <row r="413" spans="2:8" ht="14.4" x14ac:dyDescent="0.3">
      <c r="B413" s="26"/>
      <c r="C413" s="26"/>
      <c r="D413" s="26"/>
      <c r="E413" s="58"/>
      <c r="F413" s="45"/>
      <c r="G413" s="45"/>
      <c r="H413" s="80"/>
    </row>
    <row r="414" spans="2:8" ht="14.4" x14ac:dyDescent="0.3">
      <c r="B414" s="26"/>
      <c r="C414" s="26"/>
      <c r="D414" s="26"/>
      <c r="E414" s="58"/>
      <c r="F414" s="45"/>
      <c r="G414" s="45"/>
      <c r="H414" s="80"/>
    </row>
    <row r="415" spans="2:8" ht="14.4" x14ac:dyDescent="0.3">
      <c r="B415" s="26"/>
      <c r="C415" s="26"/>
      <c r="D415" s="26"/>
      <c r="E415" s="58"/>
      <c r="F415" s="45"/>
      <c r="G415" s="45"/>
      <c r="H415" s="80"/>
    </row>
    <row r="416" spans="2:8" ht="14.4" x14ac:dyDescent="0.3">
      <c r="B416" s="26"/>
      <c r="C416" s="26"/>
      <c r="D416" s="26"/>
      <c r="E416" s="58"/>
      <c r="F416" s="45"/>
      <c r="G416" s="45"/>
      <c r="H416" s="80"/>
    </row>
    <row r="417" spans="2:8" ht="14.4" x14ac:dyDescent="0.3">
      <c r="B417" s="26"/>
      <c r="C417" s="26"/>
      <c r="D417" s="26"/>
      <c r="E417" s="58"/>
      <c r="F417" s="45"/>
      <c r="G417" s="45"/>
      <c r="H417" s="80"/>
    </row>
    <row r="418" spans="2:8" ht="14.4" x14ac:dyDescent="0.3">
      <c r="B418" s="26"/>
      <c r="C418" s="26"/>
      <c r="D418" s="26"/>
      <c r="E418" s="58"/>
      <c r="F418" s="45"/>
      <c r="G418" s="45"/>
      <c r="H418" s="80"/>
    </row>
    <row r="419" spans="2:8" ht="14.4" x14ac:dyDescent="0.3">
      <c r="B419" s="26"/>
      <c r="C419" s="26"/>
      <c r="D419" s="26"/>
      <c r="E419" s="58"/>
      <c r="F419" s="45"/>
      <c r="G419" s="45"/>
      <c r="H419" s="80"/>
    </row>
    <row r="420" spans="2:8" ht="14.4" x14ac:dyDescent="0.3">
      <c r="B420" s="26"/>
      <c r="C420" s="26"/>
      <c r="D420" s="26"/>
      <c r="E420" s="58"/>
      <c r="F420" s="45"/>
      <c r="G420" s="45"/>
      <c r="H420" s="80"/>
    </row>
    <row r="421" spans="2:8" ht="14.4" x14ac:dyDescent="0.3">
      <c r="B421" s="26"/>
      <c r="C421" s="26"/>
      <c r="D421" s="26"/>
      <c r="E421" s="58"/>
      <c r="F421" s="45"/>
      <c r="G421" s="45"/>
      <c r="H421" s="80"/>
    </row>
    <row r="422" spans="2:8" ht="14.4" x14ac:dyDescent="0.3">
      <c r="B422" s="26"/>
      <c r="C422" s="26"/>
      <c r="D422" s="26"/>
      <c r="E422" s="58"/>
      <c r="F422" s="45"/>
      <c r="G422" s="45"/>
      <c r="H422" s="80"/>
    </row>
    <row r="423" spans="2:8" ht="14.4" x14ac:dyDescent="0.3">
      <c r="B423" s="26"/>
      <c r="C423" s="26"/>
      <c r="D423" s="26"/>
      <c r="E423" s="58"/>
      <c r="F423" s="45"/>
      <c r="G423" s="45"/>
      <c r="H423" s="80"/>
    </row>
    <row r="424" spans="2:8" ht="14.4" x14ac:dyDescent="0.3">
      <c r="B424" s="26"/>
      <c r="C424" s="26"/>
      <c r="D424" s="26"/>
      <c r="E424" s="58"/>
      <c r="F424" s="45"/>
      <c r="G424" s="45"/>
      <c r="H424" s="80"/>
    </row>
    <row r="425" spans="2:8" ht="14.4" x14ac:dyDescent="0.3">
      <c r="B425" s="26"/>
      <c r="C425" s="26"/>
      <c r="D425" s="26"/>
      <c r="E425" s="58"/>
      <c r="F425" s="45"/>
      <c r="G425" s="45"/>
      <c r="H425" s="80"/>
    </row>
    <row r="426" spans="2:8" ht="14.4" x14ac:dyDescent="0.3">
      <c r="B426" s="26"/>
      <c r="C426" s="26"/>
      <c r="D426" s="26"/>
      <c r="E426" s="58"/>
      <c r="F426" s="45"/>
      <c r="G426" s="45"/>
      <c r="H426" s="80"/>
    </row>
    <row r="427" spans="2:8" ht="14.4" x14ac:dyDescent="0.3">
      <c r="B427" s="26"/>
      <c r="C427" s="26"/>
      <c r="D427" s="26"/>
      <c r="E427" s="58"/>
      <c r="F427" s="45"/>
      <c r="G427" s="45"/>
      <c r="H427" s="80"/>
    </row>
    <row r="428" spans="2:8" ht="14.4" x14ac:dyDescent="0.3">
      <c r="B428" s="26"/>
      <c r="C428" s="26"/>
      <c r="D428" s="26"/>
      <c r="E428" s="58"/>
      <c r="F428" s="45"/>
      <c r="G428" s="45"/>
      <c r="H428" s="80"/>
    </row>
    <row r="429" spans="2:8" ht="14.4" x14ac:dyDescent="0.3">
      <c r="B429" s="26"/>
      <c r="C429" s="26"/>
      <c r="D429" s="26"/>
      <c r="E429" s="58"/>
      <c r="F429" s="45"/>
      <c r="G429" s="45"/>
      <c r="H429" s="80"/>
    </row>
    <row r="430" spans="2:8" ht="14.4" x14ac:dyDescent="0.3">
      <c r="B430" s="26"/>
      <c r="C430" s="26"/>
      <c r="D430" s="26"/>
      <c r="E430" s="58"/>
      <c r="F430" s="45"/>
      <c r="G430" s="45"/>
      <c r="H430" s="80"/>
    </row>
    <row r="431" spans="2:8" ht="14.4" x14ac:dyDescent="0.3">
      <c r="B431" s="26"/>
      <c r="C431" s="26"/>
      <c r="D431" s="26"/>
      <c r="E431" s="58"/>
      <c r="F431" s="45"/>
      <c r="G431" s="45"/>
      <c r="H431" s="80"/>
    </row>
    <row r="432" spans="2:8" ht="14.4" x14ac:dyDescent="0.3">
      <c r="B432" s="26"/>
      <c r="C432" s="26"/>
      <c r="D432" s="26"/>
      <c r="E432" s="58"/>
      <c r="F432" s="45"/>
      <c r="G432" s="45"/>
      <c r="H432" s="80"/>
    </row>
    <row r="433" spans="2:8" ht="14.4" x14ac:dyDescent="0.3">
      <c r="B433" s="26"/>
      <c r="C433" s="26"/>
      <c r="D433" s="26"/>
      <c r="E433" s="58"/>
      <c r="F433" s="45"/>
      <c r="G433" s="45"/>
      <c r="H433" s="80"/>
    </row>
    <row r="434" spans="2:8" ht="14.4" x14ac:dyDescent="0.3">
      <c r="B434" s="26"/>
      <c r="C434" s="26"/>
      <c r="D434" s="26"/>
      <c r="E434" s="58"/>
      <c r="F434" s="45"/>
      <c r="G434" s="45"/>
      <c r="H434" s="80"/>
    </row>
    <row r="435" spans="2:8" ht="14.4" x14ac:dyDescent="0.3">
      <c r="B435" s="26"/>
      <c r="C435" s="26"/>
      <c r="D435" s="26"/>
      <c r="E435" s="58"/>
      <c r="F435" s="45"/>
      <c r="G435" s="45"/>
      <c r="H435" s="80"/>
    </row>
    <row r="436" spans="2:8" ht="14.4" x14ac:dyDescent="0.3">
      <c r="B436" s="26"/>
      <c r="C436" s="26"/>
      <c r="D436" s="26"/>
      <c r="E436" s="58"/>
      <c r="F436" s="45"/>
      <c r="G436" s="45"/>
      <c r="H436" s="80"/>
    </row>
    <row r="437" spans="2:8" ht="14.4" x14ac:dyDescent="0.3">
      <c r="B437" s="26"/>
      <c r="C437" s="26"/>
      <c r="D437" s="26"/>
      <c r="E437" s="58"/>
      <c r="F437" s="45"/>
      <c r="G437" s="45"/>
      <c r="H437" s="80"/>
    </row>
    <row r="438" spans="2:8" ht="14.4" x14ac:dyDescent="0.3">
      <c r="B438" s="26"/>
      <c r="C438" s="26"/>
      <c r="D438" s="26"/>
      <c r="E438" s="58"/>
      <c r="F438" s="45"/>
      <c r="G438" s="45"/>
      <c r="H438" s="80"/>
    </row>
    <row r="439" spans="2:8" ht="14.4" x14ac:dyDescent="0.3">
      <c r="B439" s="26"/>
      <c r="C439" s="26"/>
      <c r="D439" s="26"/>
      <c r="E439" s="58"/>
      <c r="F439" s="45"/>
      <c r="G439" s="45"/>
      <c r="H439" s="80"/>
    </row>
    <row r="440" spans="2:8" ht="14.4" x14ac:dyDescent="0.3">
      <c r="B440" s="26"/>
      <c r="C440" s="26"/>
      <c r="D440" s="26"/>
      <c r="E440" s="58"/>
      <c r="F440" s="45"/>
      <c r="G440" s="45"/>
      <c r="H440" s="80"/>
    </row>
    <row r="441" spans="2:8" ht="14.4" x14ac:dyDescent="0.3">
      <c r="B441" s="26"/>
      <c r="C441" s="26"/>
      <c r="D441" s="26"/>
      <c r="E441" s="58"/>
      <c r="F441" s="45"/>
      <c r="G441" s="45"/>
      <c r="H441" s="80"/>
    </row>
    <row r="442" spans="2:8" ht="14.4" x14ac:dyDescent="0.3">
      <c r="B442" s="26"/>
      <c r="C442" s="26"/>
      <c r="D442" s="26"/>
      <c r="E442" s="58"/>
      <c r="F442" s="45"/>
      <c r="G442" s="45"/>
      <c r="H442" s="80"/>
    </row>
    <row r="443" spans="2:8" ht="14.4" x14ac:dyDescent="0.3">
      <c r="B443" s="26"/>
      <c r="C443" s="26"/>
      <c r="D443" s="26"/>
      <c r="E443" s="58"/>
      <c r="F443" s="45"/>
      <c r="G443" s="45"/>
      <c r="H443" s="80"/>
    </row>
    <row r="444" spans="2:8" ht="14.4" x14ac:dyDescent="0.3">
      <c r="B444" s="26"/>
      <c r="C444" s="26"/>
      <c r="D444" s="26"/>
      <c r="E444" s="58"/>
      <c r="F444" s="45"/>
      <c r="G444" s="45"/>
      <c r="H444" s="80"/>
    </row>
    <row r="445" spans="2:8" ht="14.4" x14ac:dyDescent="0.3">
      <c r="B445" s="26"/>
      <c r="C445" s="26"/>
      <c r="D445" s="26"/>
      <c r="E445" s="58"/>
      <c r="F445" s="45"/>
      <c r="G445" s="45"/>
      <c r="H445" s="80"/>
    </row>
    <row r="446" spans="2:8" ht="14.4" x14ac:dyDescent="0.3">
      <c r="B446" s="26"/>
      <c r="C446" s="26"/>
      <c r="D446" s="26"/>
      <c r="E446" s="58"/>
      <c r="F446" s="45"/>
      <c r="G446" s="45"/>
      <c r="H446" s="80"/>
    </row>
    <row r="447" spans="2:8" ht="14.4" x14ac:dyDescent="0.3">
      <c r="B447" s="26"/>
      <c r="C447" s="26"/>
      <c r="D447" s="26"/>
      <c r="E447" s="58"/>
      <c r="F447" s="45"/>
      <c r="G447" s="45"/>
      <c r="H447" s="80"/>
    </row>
    <row r="448" spans="2:8" ht="14.4" x14ac:dyDescent="0.3">
      <c r="B448" s="26"/>
      <c r="C448" s="26"/>
      <c r="D448" s="26"/>
      <c r="E448" s="58"/>
      <c r="F448" s="45"/>
      <c r="G448" s="45"/>
      <c r="H448" s="80"/>
    </row>
    <row r="449" spans="2:8" ht="14.4" x14ac:dyDescent="0.3">
      <c r="B449" s="26"/>
      <c r="C449" s="26"/>
      <c r="D449" s="26"/>
      <c r="E449" s="58"/>
      <c r="F449" s="45"/>
      <c r="G449" s="45"/>
      <c r="H449" s="80"/>
    </row>
    <row r="450" spans="2:8" ht="14.4" x14ac:dyDescent="0.3">
      <c r="B450" s="26"/>
      <c r="C450" s="26"/>
      <c r="D450" s="26"/>
      <c r="E450" s="58"/>
      <c r="F450" s="45"/>
      <c r="G450" s="45"/>
      <c r="H450" s="80"/>
    </row>
    <row r="451" spans="2:8" ht="14.4" x14ac:dyDescent="0.3">
      <c r="B451" s="26"/>
      <c r="C451" s="26"/>
      <c r="D451" s="26"/>
      <c r="E451" s="58"/>
      <c r="F451" s="45"/>
      <c r="G451" s="45"/>
      <c r="H451" s="80"/>
    </row>
    <row r="452" spans="2:8" ht="14.4" x14ac:dyDescent="0.3">
      <c r="B452" s="26"/>
      <c r="C452" s="26"/>
      <c r="D452" s="26"/>
      <c r="E452" s="58"/>
      <c r="F452" s="45"/>
      <c r="G452" s="45"/>
      <c r="H452" s="80"/>
    </row>
    <row r="453" spans="2:8" ht="14.4" x14ac:dyDescent="0.3">
      <c r="B453" s="26"/>
      <c r="C453" s="26"/>
      <c r="D453" s="26"/>
      <c r="E453" s="58"/>
      <c r="F453" s="45"/>
      <c r="G453" s="45"/>
      <c r="H453" s="80"/>
    </row>
    <row r="454" spans="2:8" ht="14.4" x14ac:dyDescent="0.3">
      <c r="B454" s="26"/>
      <c r="C454" s="26"/>
      <c r="D454" s="26"/>
      <c r="E454" s="58"/>
      <c r="F454" s="45"/>
      <c r="G454" s="45"/>
      <c r="H454" s="80"/>
    </row>
    <row r="455" spans="2:8" ht="14.4" x14ac:dyDescent="0.3">
      <c r="B455" s="26"/>
      <c r="C455" s="26"/>
      <c r="D455" s="26"/>
      <c r="E455" s="58"/>
      <c r="F455" s="45"/>
      <c r="G455" s="45"/>
      <c r="H455" s="80"/>
    </row>
    <row r="456" spans="2:8" ht="14.4" x14ac:dyDescent="0.3">
      <c r="B456" s="26"/>
      <c r="C456" s="26"/>
      <c r="D456" s="26"/>
      <c r="E456" s="58"/>
      <c r="F456" s="45"/>
      <c r="G456" s="45"/>
      <c r="H456" s="80"/>
    </row>
    <row r="457" spans="2:8" ht="14.4" x14ac:dyDescent="0.3">
      <c r="B457" s="26"/>
      <c r="C457" s="26"/>
      <c r="D457" s="26"/>
      <c r="E457" s="58"/>
      <c r="F457" s="45"/>
      <c r="G457" s="45"/>
      <c r="H457" s="80"/>
    </row>
    <row r="458" spans="2:8" ht="14.4" x14ac:dyDescent="0.3">
      <c r="B458" s="26"/>
      <c r="C458" s="26"/>
      <c r="D458" s="26"/>
      <c r="E458" s="58"/>
      <c r="F458" s="45"/>
      <c r="G458" s="45"/>
      <c r="H458" s="80"/>
    </row>
    <row r="459" spans="2:8" ht="14.4" x14ac:dyDescent="0.3">
      <c r="B459" s="26"/>
      <c r="C459" s="26"/>
      <c r="D459" s="26"/>
      <c r="E459" s="58"/>
      <c r="F459" s="45"/>
      <c r="G459" s="45"/>
      <c r="H459" s="80"/>
    </row>
    <row r="460" spans="2:8" ht="14.4" x14ac:dyDescent="0.3">
      <c r="B460" s="26"/>
      <c r="C460" s="26"/>
      <c r="D460" s="26"/>
      <c r="E460" s="58"/>
      <c r="F460" s="45"/>
      <c r="G460" s="45"/>
      <c r="H460" s="80"/>
    </row>
    <row r="461" spans="2:8" ht="14.4" x14ac:dyDescent="0.3">
      <c r="B461" s="26"/>
      <c r="C461" s="26"/>
      <c r="D461" s="26"/>
      <c r="E461" s="58"/>
      <c r="F461" s="45"/>
      <c r="G461" s="45"/>
      <c r="H461" s="80"/>
    </row>
    <row r="462" spans="2:8" ht="14.4" x14ac:dyDescent="0.3">
      <c r="B462" s="26"/>
      <c r="C462" s="26"/>
      <c r="D462" s="26"/>
      <c r="E462" s="58"/>
      <c r="F462" s="45"/>
      <c r="G462" s="45"/>
      <c r="H462" s="80"/>
    </row>
    <row r="463" spans="2:8" ht="14.4" x14ac:dyDescent="0.3">
      <c r="B463" s="26"/>
      <c r="C463" s="26"/>
      <c r="D463" s="26"/>
      <c r="E463" s="58"/>
      <c r="F463" s="45"/>
      <c r="G463" s="45"/>
      <c r="H463" s="80"/>
    </row>
    <row r="464" spans="2:8" ht="14.4" x14ac:dyDescent="0.3">
      <c r="B464" s="26"/>
      <c r="C464" s="26"/>
      <c r="D464" s="26"/>
      <c r="E464" s="58"/>
      <c r="F464" s="45"/>
      <c r="G464" s="45"/>
      <c r="H464" s="80"/>
    </row>
    <row r="465" spans="2:8" ht="14.4" x14ac:dyDescent="0.3">
      <c r="B465" s="26"/>
      <c r="C465" s="26"/>
      <c r="D465" s="26"/>
      <c r="E465" s="58"/>
      <c r="F465" s="45"/>
      <c r="G465" s="45"/>
      <c r="H465" s="80"/>
    </row>
    <row r="466" spans="2:8" ht="14.4" x14ac:dyDescent="0.3">
      <c r="B466" s="26"/>
      <c r="C466" s="26"/>
      <c r="D466" s="26"/>
      <c r="E466" s="58"/>
      <c r="F466" s="45"/>
      <c r="G466" s="45"/>
      <c r="H466" s="80"/>
    </row>
    <row r="467" spans="2:8" ht="14.4" x14ac:dyDescent="0.3">
      <c r="B467" s="26"/>
      <c r="C467" s="26"/>
      <c r="D467" s="26"/>
      <c r="E467" s="58"/>
      <c r="F467" s="45"/>
      <c r="G467" s="45"/>
      <c r="H467" s="80"/>
    </row>
    <row r="468" spans="2:8" ht="14.4" x14ac:dyDescent="0.3">
      <c r="B468" s="26"/>
      <c r="C468" s="26"/>
      <c r="D468" s="26"/>
      <c r="E468" s="58"/>
      <c r="F468" s="45"/>
      <c r="G468" s="45"/>
      <c r="H468" s="80"/>
    </row>
    <row r="469" spans="2:8" ht="14.4" x14ac:dyDescent="0.3">
      <c r="B469" s="26"/>
      <c r="C469" s="26"/>
      <c r="D469" s="26"/>
      <c r="E469" s="58"/>
      <c r="F469" s="45"/>
      <c r="G469" s="45"/>
      <c r="H469" s="80"/>
    </row>
    <row r="470" spans="2:8" ht="14.4" x14ac:dyDescent="0.3">
      <c r="B470" s="26"/>
      <c r="C470" s="26"/>
      <c r="D470" s="26"/>
      <c r="E470" s="58"/>
      <c r="F470" s="45"/>
      <c r="G470" s="45"/>
      <c r="H470" s="80"/>
    </row>
    <row r="471" spans="2:8" ht="14.4" x14ac:dyDescent="0.3">
      <c r="B471" s="26"/>
      <c r="C471" s="26"/>
      <c r="D471" s="26"/>
      <c r="E471" s="58"/>
      <c r="F471" s="45"/>
      <c r="G471" s="45"/>
      <c r="H471" s="80"/>
    </row>
    <row r="472" spans="2:8" ht="14.4" x14ac:dyDescent="0.3">
      <c r="B472" s="26"/>
      <c r="C472" s="26"/>
      <c r="D472" s="26"/>
      <c r="E472" s="58"/>
      <c r="F472" s="45"/>
      <c r="G472" s="45"/>
      <c r="H472" s="80"/>
    </row>
    <row r="473" spans="2:8" ht="14.4" x14ac:dyDescent="0.3">
      <c r="B473" s="26"/>
      <c r="C473" s="26"/>
      <c r="D473" s="26"/>
      <c r="E473" s="58"/>
      <c r="F473" s="45"/>
      <c r="G473" s="45"/>
      <c r="H473" s="80"/>
    </row>
    <row r="474" spans="2:8" ht="14.4" x14ac:dyDescent="0.3">
      <c r="B474" s="26"/>
      <c r="C474" s="26"/>
      <c r="D474" s="26"/>
      <c r="E474" s="58"/>
      <c r="F474" s="45"/>
      <c r="G474" s="45"/>
      <c r="H474" s="80"/>
    </row>
    <row r="475" spans="2:8" ht="14.4" x14ac:dyDescent="0.3">
      <c r="B475" s="26"/>
      <c r="C475" s="26"/>
      <c r="D475" s="26"/>
      <c r="E475" s="58"/>
      <c r="F475" s="45"/>
      <c r="G475" s="45"/>
      <c r="H475" s="80"/>
    </row>
    <row r="476" spans="2:8" ht="14.4" x14ac:dyDescent="0.3">
      <c r="B476" s="26"/>
      <c r="C476" s="26"/>
      <c r="D476" s="26"/>
      <c r="E476" s="58"/>
      <c r="F476" s="45"/>
      <c r="G476" s="45"/>
      <c r="H476" s="80"/>
    </row>
    <row r="477" spans="2:8" ht="14.4" x14ac:dyDescent="0.3">
      <c r="B477" s="26"/>
      <c r="C477" s="26"/>
      <c r="D477" s="26"/>
      <c r="E477" s="58"/>
      <c r="F477" s="45"/>
      <c r="G477" s="45"/>
      <c r="H477" s="80"/>
    </row>
    <row r="478" spans="2:8" ht="14.4" x14ac:dyDescent="0.3">
      <c r="B478" s="26"/>
      <c r="C478" s="26"/>
      <c r="D478" s="26"/>
      <c r="E478" s="58"/>
      <c r="F478" s="45"/>
      <c r="G478" s="45"/>
      <c r="H478" s="80"/>
    </row>
    <row r="479" spans="2:8" ht="14.4" x14ac:dyDescent="0.3">
      <c r="B479" s="26"/>
      <c r="C479" s="26"/>
      <c r="D479" s="26"/>
      <c r="E479" s="58"/>
      <c r="F479" s="45"/>
      <c r="G479" s="45"/>
      <c r="H479" s="80"/>
    </row>
    <row r="480" spans="2:8" ht="14.4" x14ac:dyDescent="0.3">
      <c r="B480" s="26"/>
      <c r="C480" s="26"/>
      <c r="D480" s="26"/>
      <c r="E480" s="58"/>
      <c r="F480" s="45"/>
      <c r="G480" s="45"/>
      <c r="H480" s="80"/>
    </row>
    <row r="481" spans="2:8" ht="14.4" x14ac:dyDescent="0.3">
      <c r="B481" s="26"/>
      <c r="C481" s="26"/>
      <c r="D481" s="26"/>
      <c r="E481" s="58"/>
      <c r="F481" s="45"/>
      <c r="G481" s="45"/>
      <c r="H481" s="80"/>
    </row>
    <row r="482" spans="2:8" ht="14.4" x14ac:dyDescent="0.3">
      <c r="B482" s="26"/>
      <c r="C482" s="26"/>
      <c r="D482" s="26"/>
      <c r="E482" s="58"/>
      <c r="F482" s="45"/>
      <c r="G482" s="45"/>
      <c r="H482" s="80"/>
    </row>
    <row r="483" spans="2:8" ht="14.4" x14ac:dyDescent="0.3">
      <c r="B483" s="26"/>
      <c r="C483" s="26"/>
      <c r="D483" s="26"/>
      <c r="E483" s="58"/>
      <c r="F483" s="45"/>
      <c r="G483" s="45"/>
      <c r="H483" s="80"/>
    </row>
    <row r="484" spans="2:8" ht="14.4" x14ac:dyDescent="0.3">
      <c r="B484" s="26"/>
      <c r="C484" s="26"/>
      <c r="D484" s="26"/>
      <c r="E484" s="58"/>
      <c r="F484" s="45"/>
      <c r="G484" s="45"/>
      <c r="H484" s="80"/>
    </row>
    <row r="485" spans="2:8" ht="14.4" x14ac:dyDescent="0.3">
      <c r="B485" s="26"/>
      <c r="C485" s="26"/>
      <c r="D485" s="26"/>
      <c r="E485" s="58"/>
      <c r="F485" s="45"/>
      <c r="G485" s="45"/>
      <c r="H485" s="80"/>
    </row>
    <row r="486" spans="2:8" ht="14.4" x14ac:dyDescent="0.3">
      <c r="B486" s="26"/>
      <c r="C486" s="26"/>
      <c r="D486" s="26"/>
      <c r="E486" s="58"/>
      <c r="F486" s="45"/>
      <c r="G486" s="45"/>
      <c r="H486" s="80"/>
    </row>
    <row r="487" spans="2:8" ht="14.4" x14ac:dyDescent="0.3">
      <c r="B487" s="26"/>
      <c r="C487" s="26"/>
      <c r="D487" s="26"/>
      <c r="E487" s="58"/>
      <c r="F487" s="45"/>
      <c r="G487" s="45"/>
      <c r="H487" s="80"/>
    </row>
    <row r="488" spans="2:8" ht="14.4" x14ac:dyDescent="0.3">
      <c r="B488" s="26"/>
      <c r="C488" s="26"/>
      <c r="D488" s="26"/>
      <c r="E488" s="58"/>
      <c r="F488" s="45"/>
      <c r="G488" s="45"/>
      <c r="H488" s="80"/>
    </row>
    <row r="489" spans="2:8" ht="14.4" x14ac:dyDescent="0.3">
      <c r="B489" s="26"/>
      <c r="C489" s="26"/>
      <c r="D489" s="26"/>
      <c r="E489" s="58"/>
      <c r="F489" s="45"/>
      <c r="G489" s="45"/>
      <c r="H489" s="80"/>
    </row>
    <row r="490" spans="2:8" ht="14.4" x14ac:dyDescent="0.3">
      <c r="B490" s="26"/>
      <c r="C490" s="26"/>
      <c r="D490" s="26"/>
      <c r="E490" s="58"/>
      <c r="F490" s="45"/>
      <c r="G490" s="45"/>
      <c r="H490" s="80"/>
    </row>
    <row r="491" spans="2:8" ht="14.4" x14ac:dyDescent="0.3">
      <c r="B491" s="26"/>
      <c r="C491" s="26"/>
      <c r="D491" s="26"/>
      <c r="E491" s="58"/>
      <c r="F491" s="45"/>
      <c r="G491" s="45"/>
      <c r="H491" s="80"/>
    </row>
    <row r="492" spans="2:8" ht="15" thickBot="1" x14ac:dyDescent="0.35">
      <c r="B492" s="25"/>
      <c r="C492" s="25"/>
      <c r="D492" s="25"/>
      <c r="E492" s="59"/>
      <c r="F492" s="46"/>
      <c r="G492" s="46"/>
      <c r="H492" s="81"/>
    </row>
    <row r="493" spans="2:8" ht="14.4" x14ac:dyDescent="0.3"/>
    <row r="494" spans="2:8" ht="14.4" x14ac:dyDescent="0.3"/>
  </sheetData>
  <sortState ref="E35:H39">
    <sortCondition descending="1" ref="H35:H39"/>
  </sortState>
  <mergeCells count="33">
    <mergeCell ref="B2:B4"/>
    <mergeCell ref="D6:D8"/>
    <mergeCell ref="B6:B8"/>
    <mergeCell ref="D12:D13"/>
    <mergeCell ref="B12:B13"/>
    <mergeCell ref="C6:C8"/>
    <mergeCell ref="C2:C4"/>
    <mergeCell ref="D2:D4"/>
    <mergeCell ref="D34:D35"/>
    <mergeCell ref="B34:B35"/>
    <mergeCell ref="D47:D50"/>
    <mergeCell ref="B47:B50"/>
    <mergeCell ref="C52:C56"/>
    <mergeCell ref="C41:C43"/>
    <mergeCell ref="B41:B43"/>
    <mergeCell ref="D41:D43"/>
    <mergeCell ref="C47:C50"/>
    <mergeCell ref="C58:C59"/>
    <mergeCell ref="D58:D59"/>
    <mergeCell ref="B58:B59"/>
    <mergeCell ref="C29:C30"/>
    <mergeCell ref="C12:C13"/>
    <mergeCell ref="C17:C18"/>
    <mergeCell ref="C24:C27"/>
    <mergeCell ref="D17:D18"/>
    <mergeCell ref="B17:B18"/>
    <mergeCell ref="D29:D30"/>
    <mergeCell ref="D24:D27"/>
    <mergeCell ref="B24:B27"/>
    <mergeCell ref="B52:B56"/>
    <mergeCell ref="D52:D56"/>
    <mergeCell ref="B29:B30"/>
    <mergeCell ref="C34:C3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topLeftCell="A10" workbookViewId="0">
      <selection activeCell="E10" sqref="E10"/>
    </sheetView>
  </sheetViews>
  <sheetFormatPr defaultRowHeight="14.4" x14ac:dyDescent="0.3"/>
  <cols>
    <col min="2" max="2" width="10" customWidth="1"/>
    <col min="3" max="3" width="48.77734375" style="28" customWidth="1"/>
    <col min="4" max="4" width="9" style="67" customWidth="1"/>
  </cols>
  <sheetData>
    <row r="1" spans="2:5" ht="64.2" thickTop="1" thickBot="1" x14ac:dyDescent="0.35">
      <c r="B1" s="29" t="s">
        <v>112</v>
      </c>
      <c r="C1" s="29" t="s">
        <v>115</v>
      </c>
      <c r="D1" s="65" t="s">
        <v>113</v>
      </c>
      <c r="E1" s="65" t="s">
        <v>145</v>
      </c>
    </row>
    <row r="2" spans="2:5" ht="32.4" thickTop="1" thickBot="1" x14ac:dyDescent="0.35">
      <c r="B2" s="14">
        <v>82</v>
      </c>
      <c r="C2" s="17" t="s">
        <v>19</v>
      </c>
      <c r="D2" s="66">
        <v>22</v>
      </c>
      <c r="E2" s="86">
        <f>D2/B2</f>
        <v>0.26829268292682928</v>
      </c>
    </row>
    <row r="3" spans="2:5" ht="16.2" thickTop="1" thickBot="1" x14ac:dyDescent="0.35">
      <c r="B3" s="14"/>
      <c r="C3" s="15" t="s">
        <v>1</v>
      </c>
      <c r="D3" s="66">
        <v>2</v>
      </c>
      <c r="E3" s="86"/>
    </row>
    <row r="4" spans="2:5" ht="31.2" thickTop="1" thickBot="1" x14ac:dyDescent="0.35">
      <c r="B4" s="138">
        <v>245</v>
      </c>
      <c r="C4" s="15" t="s">
        <v>108</v>
      </c>
      <c r="D4" s="66">
        <v>2</v>
      </c>
      <c r="E4" s="86">
        <f>D4/245</f>
        <v>8.1632653061224497E-3</v>
      </c>
    </row>
    <row r="5" spans="2:5" ht="31.2" thickTop="1" thickBot="1" x14ac:dyDescent="0.35">
      <c r="B5" s="138"/>
      <c r="C5" s="15" t="s">
        <v>109</v>
      </c>
      <c r="D5" s="66">
        <v>3</v>
      </c>
      <c r="E5" s="86">
        <f t="shared" ref="E5:E7" si="0">D5/245</f>
        <v>1.2244897959183673E-2</v>
      </c>
    </row>
    <row r="6" spans="2:5" ht="31.2" thickTop="1" thickBot="1" x14ac:dyDescent="0.35">
      <c r="B6" s="138"/>
      <c r="C6" s="15" t="s">
        <v>8</v>
      </c>
      <c r="D6" s="66">
        <v>15</v>
      </c>
      <c r="E6" s="86">
        <f t="shared" si="0"/>
        <v>6.1224489795918366E-2</v>
      </c>
    </row>
    <row r="7" spans="2:5" ht="31.2" thickTop="1" thickBot="1" x14ac:dyDescent="0.35">
      <c r="B7" s="138"/>
      <c r="C7" s="15" t="s">
        <v>7</v>
      </c>
      <c r="D7" s="66">
        <v>15</v>
      </c>
      <c r="E7" s="86">
        <f t="shared" si="0"/>
        <v>6.1224489795918366E-2</v>
      </c>
    </row>
    <row r="8" spans="2:5" ht="31.2" thickTop="1" thickBot="1" x14ac:dyDescent="0.35">
      <c r="B8" s="138"/>
      <c r="C8" s="15" t="s">
        <v>9</v>
      </c>
      <c r="D8" s="66">
        <v>10</v>
      </c>
      <c r="E8" s="86">
        <f>D8/245</f>
        <v>4.0816326530612242E-2</v>
      </c>
    </row>
    <row r="9" spans="2:5" ht="16.8" thickTop="1" thickBot="1" x14ac:dyDescent="0.35">
      <c r="B9" s="14">
        <v>424</v>
      </c>
      <c r="C9" s="17" t="s">
        <v>37</v>
      </c>
      <c r="D9" s="66">
        <v>5</v>
      </c>
      <c r="E9" s="86">
        <f>D9/B9</f>
        <v>1.179245283018868E-2</v>
      </c>
    </row>
    <row r="10" spans="2:5" ht="16.8" thickTop="1" thickBot="1" x14ac:dyDescent="0.35">
      <c r="B10" s="14"/>
      <c r="C10" s="17" t="s">
        <v>20</v>
      </c>
      <c r="D10" s="66">
        <v>1</v>
      </c>
      <c r="E10" s="86"/>
    </row>
    <row r="11" spans="2:5" ht="16.2" thickTop="1" thickBot="1" x14ac:dyDescent="0.35">
      <c r="B11" s="14"/>
      <c r="C11" s="15" t="s">
        <v>3</v>
      </c>
      <c r="D11" s="66">
        <v>3</v>
      </c>
      <c r="E11" s="86"/>
    </row>
    <row r="12" spans="2:5" ht="48" thickTop="1" thickBot="1" x14ac:dyDescent="0.35">
      <c r="B12" s="14"/>
      <c r="C12" s="15" t="s">
        <v>114</v>
      </c>
      <c r="D12" s="66">
        <v>1</v>
      </c>
      <c r="E12" s="86"/>
    </row>
    <row r="13" spans="2:5" ht="16.8" thickTop="1" thickBot="1" x14ac:dyDescent="0.35">
      <c r="B13" s="14"/>
      <c r="C13" s="17" t="s">
        <v>39</v>
      </c>
      <c r="D13" s="66">
        <v>1</v>
      </c>
      <c r="E13" s="86"/>
    </row>
    <row r="14" spans="2:5" ht="32.4" thickTop="1" thickBot="1" x14ac:dyDescent="0.35">
      <c r="B14" s="14"/>
      <c r="C14" s="17" t="s">
        <v>35</v>
      </c>
      <c r="D14" s="66">
        <v>2</v>
      </c>
      <c r="E14" s="86"/>
    </row>
    <row r="15" spans="2:5" ht="32.4" thickTop="1" thickBot="1" x14ac:dyDescent="0.35">
      <c r="B15" s="14"/>
      <c r="C15" s="17" t="s">
        <v>101</v>
      </c>
      <c r="D15" s="66">
        <v>1</v>
      </c>
      <c r="E15" s="86"/>
    </row>
    <row r="16" spans="2:5" ht="32.4" thickTop="1" thickBot="1" x14ac:dyDescent="0.35">
      <c r="B16" s="14"/>
      <c r="C16" s="17" t="s">
        <v>36</v>
      </c>
      <c r="D16" s="66">
        <v>2</v>
      </c>
      <c r="E16" s="86"/>
    </row>
    <row r="17" spans="2:5" ht="16.2" thickTop="1" thickBot="1" x14ac:dyDescent="0.35">
      <c r="B17" s="14"/>
      <c r="C17" s="15" t="s">
        <v>21</v>
      </c>
      <c r="D17" s="66">
        <v>1</v>
      </c>
      <c r="E17" s="86"/>
    </row>
    <row r="18" spans="2:5" ht="16.2" thickTop="1" thickBot="1" x14ac:dyDescent="0.35">
      <c r="B18" s="14"/>
      <c r="C18" s="19" t="s">
        <v>0</v>
      </c>
      <c r="D18" s="66">
        <v>4</v>
      </c>
      <c r="E18" s="86"/>
    </row>
    <row r="19" spans="2:5" ht="16.8" thickTop="1" thickBot="1" x14ac:dyDescent="0.35">
      <c r="B19" s="14"/>
      <c r="C19" s="17" t="s">
        <v>3</v>
      </c>
      <c r="D19" s="66">
        <v>3</v>
      </c>
      <c r="E19" s="86"/>
    </row>
    <row r="20" spans="2:5" ht="32.4" thickTop="1" thickBot="1" x14ac:dyDescent="0.35">
      <c r="B20" s="38"/>
      <c r="C20" s="17" t="s">
        <v>105</v>
      </c>
      <c r="D20" s="66">
        <v>1</v>
      </c>
      <c r="E20" s="86"/>
    </row>
    <row r="21" spans="2:5" s="27" customFormat="1" ht="16.8" thickTop="1" thickBot="1" x14ac:dyDescent="0.35">
      <c r="B21" s="30"/>
      <c r="C21" s="17"/>
      <c r="D21" s="66">
        <f>SUM(D2:D20)</f>
        <v>94</v>
      </c>
      <c r="E21" s="87"/>
    </row>
    <row r="22" spans="2:5" ht="16.2" thickTop="1" x14ac:dyDescent="0.3">
      <c r="C22" s="3"/>
    </row>
    <row r="23" spans="2:5" ht="15.6" x14ac:dyDescent="0.3">
      <c r="C23" s="3"/>
    </row>
    <row r="24" spans="2:5" ht="15" x14ac:dyDescent="0.3">
      <c r="C24" s="2"/>
    </row>
  </sheetData>
  <mergeCells count="1">
    <mergeCell ref="B4:B8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workbookViewId="0">
      <selection activeCell="E11" sqref="E11"/>
    </sheetView>
  </sheetViews>
  <sheetFormatPr defaultRowHeight="14.4" x14ac:dyDescent="0.3"/>
  <cols>
    <col min="2" max="2" width="13.88671875" customWidth="1"/>
    <col min="3" max="3" width="32.88671875" customWidth="1"/>
    <col min="4" max="4" width="10.33203125" customWidth="1"/>
    <col min="5" max="5" width="12.6640625" style="91" customWidth="1"/>
  </cols>
  <sheetData>
    <row r="1" spans="2:5" ht="64.2" thickTop="1" thickBot="1" x14ac:dyDescent="0.35">
      <c r="B1" s="29" t="s">
        <v>112</v>
      </c>
      <c r="C1" s="29" t="s">
        <v>115</v>
      </c>
      <c r="D1" s="29" t="s">
        <v>113</v>
      </c>
      <c r="E1" s="88" t="s">
        <v>145</v>
      </c>
    </row>
    <row r="2" spans="2:5" ht="22.2" thickTop="1" thickBot="1" x14ac:dyDescent="0.35">
      <c r="B2" s="14">
        <v>135</v>
      </c>
      <c r="C2" s="17" t="s">
        <v>40</v>
      </c>
      <c r="D2" s="20">
        <v>53</v>
      </c>
      <c r="E2" s="92">
        <f>D2/B2</f>
        <v>0.3925925925925926</v>
      </c>
    </row>
    <row r="3" spans="2:5" ht="48" thickTop="1" thickBot="1" x14ac:dyDescent="0.35">
      <c r="B3" s="14">
        <v>25</v>
      </c>
      <c r="C3" s="17" t="s">
        <v>41</v>
      </c>
      <c r="D3" s="18">
        <v>6</v>
      </c>
      <c r="E3" s="92">
        <f>D3/B3</f>
        <v>0.24</v>
      </c>
    </row>
    <row r="4" spans="2:5" ht="63.6" thickTop="1" thickBot="1" x14ac:dyDescent="0.35">
      <c r="B4" s="14"/>
      <c r="C4" s="17" t="s">
        <v>44</v>
      </c>
      <c r="D4" s="18">
        <v>5</v>
      </c>
      <c r="E4" s="89"/>
    </row>
    <row r="5" spans="2:5" ht="32.4" thickTop="1" thickBot="1" x14ac:dyDescent="0.35">
      <c r="B5" s="14"/>
      <c r="C5" s="17" t="s">
        <v>47</v>
      </c>
      <c r="D5" s="18">
        <v>5</v>
      </c>
      <c r="E5" s="89"/>
    </row>
    <row r="6" spans="2:5" ht="16.2" thickTop="1" thickBot="1" x14ac:dyDescent="0.35">
      <c r="B6" s="14"/>
      <c r="C6" s="15" t="s">
        <v>50</v>
      </c>
      <c r="D6" s="16">
        <v>5</v>
      </c>
      <c r="E6" s="90"/>
    </row>
    <row r="7" spans="2:5" ht="63.6" thickTop="1" thickBot="1" x14ac:dyDescent="0.35">
      <c r="B7" s="14">
        <v>36</v>
      </c>
      <c r="C7" s="17" t="s">
        <v>42</v>
      </c>
      <c r="D7" s="16">
        <v>4</v>
      </c>
      <c r="E7" s="92">
        <f>D7/B7</f>
        <v>0.1111111111111111</v>
      </c>
    </row>
    <row r="8" spans="2:5" ht="48" thickTop="1" thickBot="1" x14ac:dyDescent="0.35">
      <c r="B8" s="14"/>
      <c r="C8" s="17" t="s">
        <v>48</v>
      </c>
      <c r="D8" s="18">
        <v>3</v>
      </c>
      <c r="E8" s="89"/>
    </row>
    <row r="9" spans="2:5" ht="16.2" thickTop="1" thickBot="1" x14ac:dyDescent="0.35">
      <c r="B9" s="14"/>
      <c r="C9" s="15" t="s">
        <v>106</v>
      </c>
      <c r="D9" s="16">
        <v>2</v>
      </c>
      <c r="E9" s="90"/>
    </row>
    <row r="10" spans="2:5" ht="46.2" thickTop="1" thickBot="1" x14ac:dyDescent="0.35">
      <c r="B10" s="14">
        <v>7</v>
      </c>
      <c r="C10" s="15" t="s">
        <v>107</v>
      </c>
      <c r="D10" s="18">
        <v>1</v>
      </c>
      <c r="E10" s="92">
        <f>D10/B10</f>
        <v>0.14285714285714285</v>
      </c>
    </row>
    <row r="11" spans="2:5" ht="63.6" thickTop="1" thickBot="1" x14ac:dyDescent="0.35">
      <c r="B11" s="14"/>
      <c r="C11" s="17" t="s">
        <v>43</v>
      </c>
      <c r="D11" s="18">
        <v>1</v>
      </c>
      <c r="E11" s="89"/>
    </row>
    <row r="12" spans="2:5" ht="63.6" thickTop="1" thickBot="1" x14ac:dyDescent="0.35">
      <c r="B12" s="14"/>
      <c r="C12" s="17" t="s">
        <v>45</v>
      </c>
      <c r="D12" s="18">
        <v>1</v>
      </c>
      <c r="E12" s="89"/>
    </row>
    <row r="13" spans="2:5" ht="63.6" thickTop="1" thickBot="1" x14ac:dyDescent="0.35">
      <c r="B13" s="14"/>
      <c r="C13" s="17" t="s">
        <v>46</v>
      </c>
      <c r="D13" s="18">
        <v>1</v>
      </c>
      <c r="E13" s="89"/>
    </row>
    <row r="14" spans="2:5" ht="16.8" thickTop="1" thickBot="1" x14ac:dyDescent="0.35">
      <c r="B14" s="14"/>
      <c r="C14" s="17" t="s">
        <v>49</v>
      </c>
      <c r="D14" s="18">
        <v>1</v>
      </c>
      <c r="E14" s="89"/>
    </row>
    <row r="15" spans="2:5" ht="15" thickTop="1" x14ac:dyDescent="0.3"/>
  </sheetData>
  <sortState ref="B2:E14">
    <sortCondition descending="1" ref="D2:D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2025-05-10T12:54:28Z</dcterms:modified>
</cp:coreProperties>
</file>