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ebrahim_swr\"/>
    </mc:Choice>
  </mc:AlternateContent>
  <bookViews>
    <workbookView xWindow="0" yWindow="0" windowWidth="13296" windowHeight="8220"/>
  </bookViews>
  <sheets>
    <sheet name="Sheet1" sheetId="1" r:id="rId1"/>
    <sheet name="Sheet3" sheetId="3" r:id="rId2"/>
    <sheet name="Sheet2" sheetId="2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2" i="1" l="1"/>
  <c r="G52" i="1"/>
  <c r="G49" i="1"/>
  <c r="H49" i="1" s="1"/>
  <c r="G43" i="1"/>
  <c r="H43" i="1" s="1"/>
  <c r="H38" i="1"/>
  <c r="G31" i="1"/>
  <c r="H31" i="1" s="1"/>
  <c r="H28" i="1"/>
  <c r="H26" i="1"/>
  <c r="G26" i="1"/>
  <c r="H20" i="1"/>
  <c r="G20" i="1"/>
  <c r="H17" i="1"/>
  <c r="G17" i="1"/>
  <c r="H14" i="1"/>
  <c r="H9" i="1"/>
  <c r="H5" i="1"/>
  <c r="H3" i="1"/>
  <c r="D5" i="2" l="1"/>
  <c r="D4" i="2"/>
  <c r="D3" i="2"/>
  <c r="D2" i="2"/>
  <c r="E10" i="3"/>
  <c r="E9" i="3"/>
  <c r="E8" i="3"/>
  <c r="H51" i="1"/>
  <c r="H50" i="1"/>
  <c r="H47" i="1"/>
  <c r="H48" i="1"/>
  <c r="H45" i="1"/>
  <c r="H44" i="1"/>
  <c r="H46" i="1"/>
  <c r="H42" i="1"/>
  <c r="H39" i="1"/>
  <c r="H40" i="1"/>
  <c r="H41" i="1"/>
  <c r="H37" i="1"/>
  <c r="H29" i="1"/>
  <c r="H30" i="1"/>
  <c r="H27" i="1"/>
  <c r="H25" i="1"/>
  <c r="H24" i="1"/>
  <c r="H19" i="1"/>
  <c r="H18" i="1"/>
  <c r="H16" i="1"/>
  <c r="H15" i="1"/>
  <c r="H13" i="1"/>
  <c r="H8" i="1"/>
  <c r="H4" i="1"/>
  <c r="H2" i="1"/>
</calcChain>
</file>

<file path=xl/sharedStrings.xml><?xml version="1.0" encoding="utf-8"?>
<sst xmlns="http://schemas.openxmlformats.org/spreadsheetml/2006/main" count="158" uniqueCount="136">
  <si>
    <t>Diphthongization</t>
  </si>
  <si>
    <t xml:space="preserve">Glottalization(substitution of [ʕ] with [ʔ]), </t>
  </si>
  <si>
    <t>substitution of [l] with [n]</t>
  </si>
  <si>
    <t>substitution of [q] with [g]</t>
  </si>
  <si>
    <t>substitution of [q] with [k]</t>
  </si>
  <si>
    <t>voicing(substitution of [s] with [z])</t>
  </si>
  <si>
    <t>Epenthesis(insertion of [ æ] phone between consonant cluster)</t>
  </si>
  <si>
    <t>Epenthesis(insertion of [ ɑ] phone between consonant cluster)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</si>
  <si>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</si>
  <si>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</si>
  <si>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</si>
  <si>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</si>
  <si>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[z]with [t͡s ]</t>
  </si>
  <si>
    <t xml:space="preserve">depharyngealization(substitution of [sˤ] with [s]), </t>
  </si>
  <si>
    <t>depharyngealization and aspiration (substitution of [tˤ] with [tʰ]),</t>
  </si>
  <si>
    <t>depharyngealization substitution of [tˤ] with [t͡ʃ]</t>
  </si>
  <si>
    <t>Devoicing(substitution of [d͡ʒ] with [t͡ʃ])</t>
  </si>
  <si>
    <t>degemination(reduce consonant cluster to one single consonant)</t>
  </si>
  <si>
    <t>germination</t>
  </si>
  <si>
    <t>substitution of [h]with [χ]</t>
  </si>
  <si>
    <t>substitution of [ħ]with [h]</t>
  </si>
  <si>
    <t>substitution of [h]with [ħ]</t>
  </si>
  <si>
    <t>devoicing(substitution of [b]with [p]</t>
  </si>
  <si>
    <t>final consonant deletion</t>
  </si>
  <si>
    <t>Definite Article deletion</t>
  </si>
  <si>
    <t>replace the Modern Standard Arabic diphthong [æj]with the colloquial arabic vowel[e:]</t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</si>
  <si>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</si>
  <si>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</si>
  <si>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consonant [θ]with the colloquial arabic consonant [s]</t>
  </si>
  <si>
    <t>replace the Modern Standard Arabic consonant [θ]with the colloquial arabic consonant [t]</t>
  </si>
  <si>
    <t>consonant deletion  of [ʔ] phone affected by colloquial Arabic</t>
  </si>
  <si>
    <t>colloquial Arabic word</t>
  </si>
  <si>
    <t>nonsense</t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</si>
  <si>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</si>
  <si>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</si>
  <si>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</si>
  <si>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</si>
  <si>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</si>
  <si>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</si>
  <si>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</si>
  <si>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</si>
  <si>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</si>
  <si>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</si>
  <si>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</si>
  <si>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</si>
  <si>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</si>
  <si>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</si>
  <si>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</si>
  <si>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</si>
  <si>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</si>
  <si>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</si>
  <si>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</si>
  <si>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</si>
  <si>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</si>
  <si>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</si>
  <si>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</si>
  <si>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</si>
  <si>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</si>
  <si>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</si>
  <si>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</si>
  <si>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</si>
  <si>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</si>
  <si>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</si>
  <si>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</si>
  <si>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</si>
  <si>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</si>
  <si>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</si>
  <si>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</si>
  <si>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</si>
  <si>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</si>
  <si>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</si>
  <si>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</si>
  <si>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</si>
  <si>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</si>
  <si>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</si>
  <si>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</si>
  <si>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</si>
  <si>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</si>
  <si>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</si>
  <si>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</si>
  <si>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</si>
  <si>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</si>
  <si>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</si>
  <si>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</si>
  <si>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</si>
  <si>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</si>
  <si>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</si>
  <si>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</si>
  <si>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</si>
  <si>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</si>
  <si>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substitution of [t]with [t͡s ]</t>
  </si>
  <si>
    <t xml:space="preserve">depharyngealization  (substitution of [tˤ] with [t]) </t>
  </si>
  <si>
    <t xml:space="preserve">devoicing(substitution of [d]with [d̥])  </t>
  </si>
  <si>
    <t>v</t>
  </si>
  <si>
    <t xml:space="preserve">syllable structure process (first syllable deletion)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</si>
  <si>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</si>
  <si>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</si>
  <si>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[d] phone changes to  [n] to become  similar to the nearby  phone[m])</t>
  </si>
  <si>
    <t>syllable structure process (consonant deletion of  [t] phone)</t>
  </si>
  <si>
    <r>
      <t>Monophthongization</t>
    </r>
    <r>
      <rPr>
        <sz val="12"/>
        <color theme="1"/>
        <rFont val="Arial"/>
        <family val="2"/>
      </rPr>
      <t xml:space="preserve"> </t>
    </r>
  </si>
  <si>
    <t xml:space="preserve">Gliding(substitution of [ʕ] with [w]), </t>
  </si>
  <si>
    <t>replace verb with  noun</t>
  </si>
  <si>
    <t>assimilation (the  [t] phone changes to  [d͡ʒ] to become  similar to the nearby  phone[d͡ʒ])</t>
  </si>
  <si>
    <t xml:space="preserve">syllable structure process (final syllable deletion) </t>
  </si>
  <si>
    <t>letter</t>
  </si>
  <si>
    <t>total</t>
  </si>
  <si>
    <t>arabic letter</t>
  </si>
  <si>
    <t>phonological_processes</t>
  </si>
  <si>
    <t>number of error</t>
  </si>
  <si>
    <t xml:space="preserve">percentage </t>
  </si>
  <si>
    <t>[l]</t>
  </si>
  <si>
    <t>[n]</t>
  </si>
  <si>
    <t>[z]</t>
  </si>
  <si>
    <t>[t͡s]</t>
  </si>
  <si>
    <t>[s]</t>
  </si>
  <si>
    <t>[kʰ]</t>
  </si>
  <si>
    <t>[d͡ʒ̥]</t>
  </si>
  <si>
    <t>[t͡ʃ]</t>
  </si>
  <si>
    <t>[g]</t>
  </si>
  <si>
    <t>[k]</t>
  </si>
  <si>
    <t>[h]</t>
  </si>
  <si>
    <t>[χ]</t>
  </si>
  <si>
    <t>[ʔ]</t>
  </si>
  <si>
    <t>[w]</t>
  </si>
  <si>
    <t>[ħ]</t>
  </si>
  <si>
    <t>[m]</t>
  </si>
  <si>
    <t>[p]</t>
  </si>
  <si>
    <t>[t]</t>
  </si>
  <si>
    <t>[tʰ]</t>
  </si>
  <si>
    <t>[tˤʰ]</t>
  </si>
  <si>
    <t>[d͡ʒ]</t>
  </si>
  <si>
    <t>[d̥]</t>
  </si>
  <si>
    <t>percentage</t>
  </si>
  <si>
    <t>a</t>
  </si>
  <si>
    <t xml:space="preserve">syllable structure processes
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</si>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</sst>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wrapText="1"/>
    </xf>
    <xf numFmtId="0" fontId="1" fillId="9" borderId="1" xfId="8" applyBorder="1"/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10" fillId="3" borderId="1" xfId="2" applyFont="1" applyBorder="1" applyAlignment="1">
      <alignment vertical="center" wrapText="1"/>
    </xf>
    <xf numFmtId="0" fontId="10" fillId="2" borderId="1" xfId="1" applyFont="1" applyBorder="1" applyAlignment="1">
      <alignment vertical="center" wrapText="1"/>
    </xf>
    <xf numFmtId="0" fontId="10" fillId="4" borderId="1" xfId="3" applyFont="1" applyBorder="1" applyAlignment="1">
      <alignment vertical="center" wrapText="1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0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0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6" borderId="1" xfId="5" applyFont="1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1" fillId="7" borderId="1" xfId="6" applyBorder="1" applyAlignment="1">
      <alignment vertical="center" wrapText="1" readingOrder="2"/>
    </xf>
    <xf numFmtId="0" fontId="1" fillId="7" borderId="1" xfId="6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0" fontId="12" fillId="0" borderId="1" xfId="10" applyNumberFormat="1" applyFont="1" applyBorder="1" applyAlignment="1">
      <alignment vertical="center" wrapText="1"/>
    </xf>
    <xf numFmtId="10" fontId="4" fillId="4" borderId="1" xfId="10" applyNumberFormat="1" applyFont="1" applyFill="1" applyBorder="1" applyAlignment="1">
      <alignment vertical="center"/>
    </xf>
    <xf numFmtId="10" fontId="3" fillId="3" borderId="1" xfId="10" applyNumberFormat="1" applyFont="1" applyFill="1" applyBorder="1" applyAlignment="1">
      <alignment vertical="center"/>
    </xf>
    <xf numFmtId="10" fontId="2" fillId="2" borderId="1" xfId="10" applyNumberFormat="1" applyFont="1" applyFill="1" applyBorder="1"/>
    <xf numFmtId="10" fontId="1" fillId="9" borderId="1" xfId="10" applyNumberFormat="1" applyFill="1" applyBorder="1"/>
    <xf numFmtId="10" fontId="3" fillId="3" borderId="1" xfId="10" applyNumberFormat="1" applyFont="1" applyFill="1" applyBorder="1"/>
    <xf numFmtId="10" fontId="2" fillId="2" borderId="1" xfId="10" applyNumberFormat="1" applyFont="1" applyFill="1" applyBorder="1" applyAlignment="1">
      <alignment vertical="center"/>
    </xf>
    <xf numFmtId="10" fontId="1" fillId="9" borderId="1" xfId="10" applyNumberFormat="1" applyFill="1" applyBorder="1" applyAlignment="1">
      <alignment vertical="center"/>
    </xf>
    <xf numFmtId="10" fontId="1" fillId="7" borderId="1" xfId="10" applyNumberFormat="1" applyFill="1" applyBorder="1" applyAlignment="1">
      <alignment vertical="center"/>
    </xf>
    <xf numFmtId="10" fontId="1" fillId="5" borderId="1" xfId="10" applyNumberFormat="1" applyFill="1" applyBorder="1" applyAlignment="1">
      <alignment vertical="center"/>
    </xf>
    <xf numFmtId="10" fontId="1" fillId="6" borderId="1" xfId="10" applyNumberFormat="1" applyFill="1" applyBorder="1" applyAlignment="1">
      <alignment vertical="center"/>
    </xf>
    <xf numFmtId="10" fontId="1" fillId="8" borderId="1" xfId="10" applyNumberFormat="1" applyFill="1" applyBorder="1" applyAlignment="1">
      <alignment vertical="center"/>
    </xf>
    <xf numFmtId="10" fontId="1" fillId="10" borderId="1" xfId="10" applyNumberFormat="1" applyFill="1" applyBorder="1" applyAlignment="1">
      <alignment vertical="center"/>
    </xf>
    <xf numFmtId="10" fontId="0" fillId="0" borderId="0" xfId="10" applyNumberFormat="1" applyFont="1"/>
    <xf numFmtId="10" fontId="0" fillId="0" borderId="1" xfId="10" applyNumberFormat="1" applyFont="1" applyBorder="1"/>
    <xf numFmtId="10" fontId="0" fillId="0" borderId="1" xfId="10" applyNumberFormat="1" applyFont="1" applyBorder="1" applyAlignment="1">
      <alignment wrapText="1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0" fillId="6" borderId="1" xfId="5" applyFont="1" applyBorder="1" applyAlignment="1">
      <alignment horizontal="center" vertical="center"/>
    </xf>
    <xf numFmtId="0" fontId="0" fillId="8" borderId="1" xfId="7" applyFont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8" borderId="1" xfId="7" applyFont="1" applyBorder="1" applyAlignment="1">
      <alignment vertical="center" wrapText="1"/>
    </xf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[l]</c:v>
                </c:pt>
              </c:strCache>
            </c:strRef>
          </c:cat>
          <c:val>
            <c:numRef>
              <c:f>Sheet1!$G$2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0-4C99-B0DC-090446D5407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[l]</c:v>
                </c:pt>
              </c:strCache>
            </c:strRef>
          </c:cat>
          <c:val>
            <c:numRef>
              <c:f>Sheet1!$H$2</c:f>
              <c:numCache>
                <c:formatCode>0.00%</c:formatCode>
                <c:ptCount val="1"/>
                <c:pt idx="0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0-4C99-B0DC-090446D54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727712"/>
        <c:axId val="1772717312"/>
      </c:barChart>
      <c:catAx>
        <c:axId val="17727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17312"/>
        <c:crosses val="autoZero"/>
        <c:auto val="1"/>
        <c:lblAlgn val="ctr"/>
        <c:lblOffset val="100"/>
        <c:noMultiLvlLbl val="0"/>
      </c:catAx>
      <c:valAx>
        <c:axId val="177271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27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2-4309-8200-CAB1B0B430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Sheet1!$H$4</c:f>
              <c:numCache>
                <c:formatCode>0.00%</c:formatCode>
                <c:ptCount val="1"/>
                <c:pt idx="0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2-4309-8200-CAB1B0B43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445648"/>
        <c:axId val="1575456464"/>
      </c:barChart>
      <c:catAx>
        <c:axId val="157544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56464"/>
        <c:crosses val="autoZero"/>
        <c:auto val="1"/>
        <c:lblAlgn val="ctr"/>
        <c:lblOffset val="100"/>
        <c:noMultiLvlLbl val="0"/>
      </c:catAx>
      <c:valAx>
        <c:axId val="15754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4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8-46D1-AEAF-146D78BF0F7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Sheet1!$F$8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Sheet1!$H$8</c:f>
              <c:numCache>
                <c:formatCode>0.00%</c:formatCode>
                <c:ptCount val="1"/>
                <c:pt idx="0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8-46D1-AEAF-146D78BF0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724800"/>
        <c:axId val="1772716480"/>
      </c:barChart>
      <c:catAx>
        <c:axId val="177272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16480"/>
        <c:crosses val="autoZero"/>
        <c:auto val="1"/>
        <c:lblAlgn val="ctr"/>
        <c:lblOffset val="100"/>
        <c:noMultiLvlLbl val="0"/>
      </c:catAx>
      <c:valAx>
        <c:axId val="17727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24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Sheet1!$G$13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5-48AE-9A84-60406A83BA5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Sheet1!$H$13</c:f>
              <c:numCache>
                <c:formatCode>0.00%</c:formatCode>
                <c:ptCount val="1"/>
                <c:pt idx="0">
                  <c:v>0.42105263157894735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5-48AE-9A84-60406A83B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806944"/>
        <c:axId val="1637811104"/>
      </c:barChart>
      <c:catAx>
        <c:axId val="16378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11104"/>
        <c:crosses val="autoZero"/>
        <c:auto val="1"/>
        <c:lblAlgn val="ctr"/>
        <c:lblOffset val="100"/>
        <c:noMultiLvlLbl val="0"/>
      </c:catAx>
      <c:valAx>
        <c:axId val="16378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06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Sheet1!$F$15:$F$16</c:f>
              <c:strCache>
                <c:ptCount val="2"/>
                <c:pt idx="0">
                  <c:v>[d͡ʒ̥]</c:v>
                </c:pt>
                <c:pt idx="1">
                  <c:v>[t͡ʃ]</c:v>
                </c:pt>
              </c:strCache>
            </c:strRef>
          </c:cat>
          <c:val>
            <c:numRef>
              <c:f>Sheet1!$G$15:$G$16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9-4805-A72A-FE9573CB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456048"/>
        <c:axId val="157545022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Sheet1!$F$15:$F$16</c:f>
              <c:strCache>
                <c:ptCount val="2"/>
                <c:pt idx="0">
                  <c:v>[d͡ʒ̥]</c:v>
                </c:pt>
                <c:pt idx="1">
                  <c:v>[t͡ʃ]</c:v>
                </c:pt>
              </c:strCache>
            </c:strRef>
          </c:cat>
          <c:val>
            <c:numRef>
              <c:f>Sheet1!$H$15:$H$16</c:f>
              <c:numCache>
                <c:formatCode>0.00%</c:formatCode>
                <c:ptCount val="2"/>
                <c:pt idx="0">
                  <c:v>0.21428571428571427</c:v>
                </c:pt>
                <c:pt idx="1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9-4805-A72A-FE9573CB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725632"/>
        <c:axId val="1772719392"/>
      </c:lineChart>
      <c:catAx>
        <c:axId val="15754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50224"/>
        <c:crosses val="autoZero"/>
        <c:auto val="1"/>
        <c:lblAlgn val="ctr"/>
        <c:lblOffset val="100"/>
        <c:noMultiLvlLbl val="0"/>
      </c:catAx>
      <c:valAx>
        <c:axId val="15754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56048"/>
        <c:crosses val="autoZero"/>
        <c:crossBetween val="between"/>
      </c:valAx>
      <c:valAx>
        <c:axId val="17727193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25632"/>
        <c:crosses val="max"/>
        <c:crossBetween val="between"/>
      </c:valAx>
      <c:catAx>
        <c:axId val="1772725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27193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Sheet1!$F$18:$F$19</c:f>
              <c:strCache>
                <c:ptCount val="2"/>
                <c:pt idx="0">
                  <c:v>[g]</c:v>
                </c:pt>
                <c:pt idx="1">
                  <c:v>[k]</c:v>
                </c:pt>
              </c:strCache>
            </c:strRef>
          </c:cat>
          <c:val>
            <c:numRef>
              <c:f>Sheet1!$G$18:$G$19</c:f>
              <c:numCache>
                <c:formatCode>General</c:formatCode>
                <c:ptCount val="2"/>
                <c:pt idx="0">
                  <c:v>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6-48DA-905B-BD116BB2C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567344"/>
        <c:axId val="178256193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Sheet1!$F$18:$F$19</c:f>
              <c:strCache>
                <c:ptCount val="2"/>
                <c:pt idx="0">
                  <c:v>[g]</c:v>
                </c:pt>
                <c:pt idx="1">
                  <c:v>[k]</c:v>
                </c:pt>
              </c:strCache>
            </c:strRef>
          </c:cat>
          <c:val>
            <c:numRef>
              <c:f>Sheet1!$H$18:$H$19</c:f>
              <c:numCache>
                <c:formatCode>0.00%</c:formatCode>
                <c:ptCount val="2"/>
                <c:pt idx="0">
                  <c:v>0.5714285714285714</c:v>
                </c:pt>
                <c:pt idx="1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6-48DA-905B-BD116BB2C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549040"/>
        <c:axId val="1782564432"/>
      </c:lineChart>
      <c:catAx>
        <c:axId val="178256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61936"/>
        <c:crosses val="autoZero"/>
        <c:auto val="1"/>
        <c:lblAlgn val="ctr"/>
        <c:lblOffset val="100"/>
        <c:noMultiLvlLbl val="0"/>
      </c:catAx>
      <c:valAx>
        <c:axId val="17825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67344"/>
        <c:crosses val="autoZero"/>
        <c:crossBetween val="between"/>
      </c:valAx>
      <c:valAx>
        <c:axId val="178256443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49040"/>
        <c:crosses val="max"/>
        <c:crossBetween val="between"/>
      </c:valAx>
      <c:catAx>
        <c:axId val="1782549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256443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Sheet1!$F$24:$F$25</c:f>
              <c:strCache>
                <c:ptCount val="2"/>
                <c:pt idx="0">
                  <c:v>[ʔ]</c:v>
                </c:pt>
                <c:pt idx="1">
                  <c:v>[w]</c:v>
                </c:pt>
              </c:strCache>
            </c:strRef>
          </c:cat>
          <c:val>
            <c:numRef>
              <c:f>Sheet1!$G$24:$G$25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1-4CC9-A003-920C0E31C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578576"/>
        <c:axId val="178257566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Sheet1!$F$24:$F$25</c:f>
              <c:strCache>
                <c:ptCount val="2"/>
                <c:pt idx="0">
                  <c:v>[ʔ]</c:v>
                </c:pt>
                <c:pt idx="1">
                  <c:v>[w]</c:v>
                </c:pt>
              </c:strCache>
            </c:strRef>
          </c:cat>
          <c:val>
            <c:numRef>
              <c:f>Sheet1!$H$24:$H$25</c:f>
              <c:numCache>
                <c:formatCode>0.00%</c:formatCode>
                <c:ptCount val="2"/>
                <c:pt idx="0">
                  <c:v>5.4054054054054057E-2</c:v>
                </c:pt>
                <c:pt idx="1">
                  <c:v>2.7027027027027029E-2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1-4CC9-A003-920C0E31C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574832"/>
        <c:axId val="1782578160"/>
      </c:lineChart>
      <c:catAx>
        <c:axId val="178257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5664"/>
        <c:crosses val="autoZero"/>
        <c:auto val="1"/>
        <c:lblAlgn val="ctr"/>
        <c:lblOffset val="100"/>
        <c:noMultiLvlLbl val="0"/>
      </c:catAx>
      <c:valAx>
        <c:axId val="17825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8576"/>
        <c:crosses val="autoZero"/>
        <c:crossBetween val="between"/>
      </c:valAx>
      <c:valAx>
        <c:axId val="178257816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4832"/>
        <c:crosses val="max"/>
        <c:crossBetween val="between"/>
      </c:valAx>
      <c:catAx>
        <c:axId val="1782574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257816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Sheet1!$F$27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Sheet1!$G$27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4-45BA-8C66-7568E971191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Sheet1!$F$27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Sheet1!$H$27</c:f>
              <c:numCache>
                <c:formatCode>0.00%</c:formatCode>
                <c:ptCount val="1"/>
                <c:pt idx="0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4-45BA-8C66-7568E9711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553616"/>
        <c:axId val="1782565680"/>
      </c:barChart>
      <c:catAx>
        <c:axId val="178255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65680"/>
        <c:crosses val="autoZero"/>
        <c:auto val="1"/>
        <c:lblAlgn val="ctr"/>
        <c:lblOffset val="100"/>
        <c:noMultiLvlLbl val="0"/>
      </c:catAx>
      <c:valAx>
        <c:axId val="178256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53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Sheet1!$F$29:$F$30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Sheet1!$G$29:$G$30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6-475A-A64E-26D07ECC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810272"/>
        <c:axId val="163781692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Sheet1!$F$29:$F$30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Sheet1!$H$29:$H$30</c:f>
              <c:numCache>
                <c:formatCode>0.00%</c:formatCode>
                <c:ptCount val="2"/>
                <c:pt idx="0">
                  <c:v>0.23684210526315788</c:v>
                </c:pt>
                <c:pt idx="1">
                  <c:v>7.8947368421052627E-2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66-475A-A64E-26D07ECC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09440"/>
        <c:axId val="1637818176"/>
      </c:lineChart>
      <c:catAx>
        <c:axId val="16378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16928"/>
        <c:crosses val="autoZero"/>
        <c:auto val="1"/>
        <c:lblAlgn val="ctr"/>
        <c:lblOffset val="100"/>
        <c:noMultiLvlLbl val="0"/>
      </c:catAx>
      <c:valAx>
        <c:axId val="16378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10272"/>
        <c:crosses val="autoZero"/>
        <c:crossBetween val="between"/>
      </c:valAx>
      <c:valAx>
        <c:axId val="163781817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09440"/>
        <c:crosses val="max"/>
        <c:crossBetween val="between"/>
      </c:valAx>
      <c:catAx>
        <c:axId val="1637809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781817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Sheet1!$F$37</c:f>
              <c:strCache>
                <c:ptCount val="1"/>
                <c:pt idx="0">
                  <c:v>[p]</c:v>
                </c:pt>
              </c:strCache>
            </c:strRef>
          </c:cat>
          <c:val>
            <c:numRef>
              <c:f>Sheet1!$G$37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C-44AD-9898-51735880676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Sheet1!$F$37</c:f>
              <c:strCache>
                <c:ptCount val="1"/>
                <c:pt idx="0">
                  <c:v>[p]</c:v>
                </c:pt>
              </c:strCache>
            </c:strRef>
          </c:cat>
          <c:val>
            <c:numRef>
              <c:f>Sheet1!$H$37</c:f>
              <c:numCache>
                <c:formatCode>0.00%</c:formatCode>
                <c:ptCount val="1"/>
                <c:pt idx="0">
                  <c:v>3.7735849056603772E-2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C-44AD-9898-51735880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569008"/>
        <c:axId val="1782569424"/>
      </c:barChart>
      <c:catAx>
        <c:axId val="178256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69424"/>
        <c:crosses val="autoZero"/>
        <c:auto val="1"/>
        <c:lblAlgn val="ctr"/>
        <c:lblOffset val="100"/>
        <c:noMultiLvlLbl val="0"/>
      </c:catAx>
      <c:valAx>
        <c:axId val="178256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69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Sheet1!$F$39:$F$42</c:f>
              <c:strCache>
                <c:ptCount val="4"/>
                <c:pt idx="0">
                  <c:v>[tʰ]</c:v>
                </c:pt>
                <c:pt idx="1">
                  <c:v>[t]</c:v>
                </c:pt>
                <c:pt idx="2">
                  <c:v>[t͡ʃ]</c:v>
                </c:pt>
                <c:pt idx="3">
                  <c:v>[tˤʰ]</c:v>
                </c:pt>
              </c:strCache>
            </c:strRef>
          </c:cat>
          <c:val>
            <c:numRef>
              <c:f>Sheet1!$G$39:$G$42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8-4F3D-9962-AD665B6A7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455632"/>
        <c:axId val="157544939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Sheet1!$F$39:$F$42</c:f>
              <c:strCache>
                <c:ptCount val="4"/>
                <c:pt idx="0">
                  <c:v>[tʰ]</c:v>
                </c:pt>
                <c:pt idx="1">
                  <c:v>[t]</c:v>
                </c:pt>
                <c:pt idx="2">
                  <c:v>[t͡ʃ]</c:v>
                </c:pt>
                <c:pt idx="3">
                  <c:v>[tˤʰ]</c:v>
                </c:pt>
              </c:strCache>
            </c:strRef>
          </c:cat>
          <c:val>
            <c:numRef>
              <c:f>Sheet1!$H$39:$H$42</c:f>
              <c:numCache>
                <c:formatCode>0.00%</c:formatCode>
                <c:ptCount val="4"/>
                <c:pt idx="0">
                  <c:v>0.46153846153846156</c:v>
                </c:pt>
                <c:pt idx="1">
                  <c:v>0.15384615384615385</c:v>
                </c:pt>
                <c:pt idx="2">
                  <c:v>7.6923076923076927E-2</c:v>
                </c:pt>
                <c:pt idx="3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F8-4F3D-9962-AD665B6A7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569840"/>
        <c:axId val="1782560688"/>
      </c:lineChart>
      <c:catAx>
        <c:axId val="15754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49392"/>
        <c:crosses val="autoZero"/>
        <c:auto val="1"/>
        <c:lblAlgn val="ctr"/>
        <c:lblOffset val="100"/>
        <c:noMultiLvlLbl val="0"/>
      </c:catAx>
      <c:valAx>
        <c:axId val="157544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55632"/>
        <c:crosses val="autoZero"/>
        <c:crossBetween val="between"/>
      </c:valAx>
      <c:valAx>
        <c:axId val="178256068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69840"/>
        <c:crosses val="max"/>
        <c:crossBetween val="between"/>
      </c:valAx>
      <c:catAx>
        <c:axId val="178256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256068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Sheet1!$F$44:$F$48</c:f>
              <c:strCache>
                <c:ptCount val="5"/>
                <c:pt idx="0">
                  <c:v>[tʰ]</c:v>
                </c:pt>
                <c:pt idx="1">
                  <c:v>[t͡ʃ]</c:v>
                </c:pt>
                <c:pt idx="2">
                  <c:v>[t͡s]</c:v>
                </c:pt>
                <c:pt idx="3">
                  <c:v>[t]</c:v>
                </c:pt>
                <c:pt idx="4">
                  <c:v>[d͡ʒ]</c:v>
                </c:pt>
              </c:strCache>
            </c:strRef>
          </c:cat>
          <c:val>
            <c:numRef>
              <c:f>Sheet1!$G$44:$G$48</c:f>
              <c:numCache>
                <c:formatCode>General</c:formatCode>
                <c:ptCount val="5"/>
                <c:pt idx="0">
                  <c:v>15</c:v>
                </c:pt>
                <c:pt idx="1">
                  <c:v>10</c:v>
                </c:pt>
                <c:pt idx="2">
                  <c:v>8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3-42EE-BAB0-9756F350B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444816"/>
        <c:axId val="157544980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Sheet1!$F$44:$F$48</c:f>
              <c:strCache>
                <c:ptCount val="5"/>
                <c:pt idx="0">
                  <c:v>[tʰ]</c:v>
                </c:pt>
                <c:pt idx="1">
                  <c:v>[t͡ʃ]</c:v>
                </c:pt>
                <c:pt idx="2">
                  <c:v>[t͡s]</c:v>
                </c:pt>
                <c:pt idx="3">
                  <c:v>[t]</c:v>
                </c:pt>
                <c:pt idx="4">
                  <c:v>[d͡ʒ]</c:v>
                </c:pt>
              </c:strCache>
            </c:strRef>
          </c:cat>
          <c:val>
            <c:numRef>
              <c:f>Sheet1!$H$44:$H$48</c:f>
              <c:numCache>
                <c:formatCode>0.00%</c:formatCode>
                <c:ptCount val="5"/>
                <c:pt idx="0">
                  <c:v>0.21739130434782608</c:v>
                </c:pt>
                <c:pt idx="1">
                  <c:v>0.14492753623188406</c:v>
                </c:pt>
                <c:pt idx="2">
                  <c:v>0.11594202898550725</c:v>
                </c:pt>
                <c:pt idx="3">
                  <c:v>5.7971014492753624E-2</c:v>
                </c:pt>
                <c:pt idx="4">
                  <c:v>1.4492753623188406E-2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3-42EE-BAB0-9756F350B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458544"/>
        <c:axId val="1575457296"/>
      </c:lineChart>
      <c:catAx>
        <c:axId val="157544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49808"/>
        <c:crosses val="autoZero"/>
        <c:auto val="1"/>
        <c:lblAlgn val="ctr"/>
        <c:lblOffset val="100"/>
        <c:noMultiLvlLbl val="0"/>
      </c:catAx>
      <c:valAx>
        <c:axId val="15754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44816"/>
        <c:crosses val="autoZero"/>
        <c:crossBetween val="between"/>
      </c:valAx>
      <c:valAx>
        <c:axId val="15754572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58544"/>
        <c:crosses val="max"/>
        <c:crossBetween val="between"/>
      </c:valAx>
      <c:catAx>
        <c:axId val="157545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4572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Sheet1!$F$50:$F$51</c:f>
              <c:strCache>
                <c:ptCount val="2"/>
                <c:pt idx="0">
                  <c:v>[d̥]</c:v>
                </c:pt>
                <c:pt idx="1">
                  <c:v>[m]</c:v>
                </c:pt>
              </c:strCache>
            </c:strRef>
          </c:cat>
          <c:val>
            <c:numRef>
              <c:f>Sheet1!$G$50:$G$51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6-44CE-842B-55D91D953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804864"/>
        <c:axId val="163781942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Sheet1!$F$50:$F$51</c:f>
              <c:strCache>
                <c:ptCount val="2"/>
                <c:pt idx="0">
                  <c:v>[d̥]</c:v>
                </c:pt>
                <c:pt idx="1">
                  <c:v>[m]</c:v>
                </c:pt>
              </c:strCache>
            </c:strRef>
          </c:cat>
          <c:val>
            <c:numRef>
              <c:f>Sheet1!$H$50:$H$51</c:f>
              <c:numCache>
                <c:formatCode>0.00%</c:formatCode>
                <c:ptCount val="2"/>
                <c:pt idx="0">
                  <c:v>9.6774193548387094E-2</c:v>
                </c:pt>
                <c:pt idx="1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F6-44CE-842B-55D91D953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15680"/>
        <c:axId val="1637809024"/>
      </c:lineChart>
      <c:catAx>
        <c:axId val="16378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19424"/>
        <c:crosses val="autoZero"/>
        <c:auto val="1"/>
        <c:lblAlgn val="ctr"/>
        <c:lblOffset val="100"/>
        <c:noMultiLvlLbl val="0"/>
      </c:catAx>
      <c:valAx>
        <c:axId val="163781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04864"/>
        <c:crosses val="autoZero"/>
        <c:crossBetween val="between"/>
      </c:valAx>
      <c:valAx>
        <c:axId val="163780902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15680"/>
        <c:crosses val="max"/>
        <c:crossBetween val="between"/>
      </c:valAx>
      <c:catAx>
        <c:axId val="1637815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78090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Sheet3!$C$3:$C$12</c:f>
              <c:strCache>
                <c:ptCount val="10"/>
                <c:pt idx="0">
                  <c:v>Definite Article deletion</c:v>
                </c:pt>
                <c:pt idx="1">
                  <c:v>replace the Modern Standard Arabic consonant [θ]with the colloquial arabic consonant [s]</c:v>
                </c:pt>
                <c:pt idx="2">
                  <c:v>replace the Modern Standard Arabic consonant [θ]with the colloquial arabic consonant [t]</c:v>
                </c:pt>
                <c:pt idx="3">
                  <c:v>consonant deletion  of [ʔ] phone affected by colloquial Arabic</c:v>
                </c:pt>
                <c:pt idx="4">
                  <c:v>nonsense</c:v>
                </c:pt>
                <c:pt idx="5">
                  <c:v>replace the Modern Standard Arabic diphthong [æj]with the colloquial arabic vowel[e:]</c:v>
                </c:pt>
                <c:pt idx="6">
                  <c:v>replace the Modern Standard Arabic diphthong [æw]with the colloquial arabic vowel[o:]</c:v>
                </c:pt>
                <c:pt idx="7">
                  <c:v>replace the Modern Standard Arabic diphthong [æw]with the colloquial arabic vowel[u:]</c:v>
                </c:pt>
                <c:pt idx="8">
                  <c:v>replace plural noun with singular noun</c:v>
                </c:pt>
                <c:pt idx="9">
                  <c:v>replace verb with  noun</c:v>
                </c:pt>
              </c:strCache>
            </c:strRef>
          </c:cat>
          <c:val>
            <c:numRef>
              <c:f>Sheet3!$D$3:$D$12</c:f>
              <c:numCache>
                <c:formatCode>General</c:formatCode>
                <c:ptCount val="10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E-4053-8379-5D7E93383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810688"/>
        <c:axId val="163781401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Sheet3!$C$3:$C$12</c:f>
              <c:strCache>
                <c:ptCount val="10"/>
                <c:pt idx="0">
                  <c:v>Definite Article deletion</c:v>
                </c:pt>
                <c:pt idx="1">
                  <c:v>replace the Modern Standard Arabic consonant [θ]with the colloquial arabic consonant [s]</c:v>
                </c:pt>
                <c:pt idx="2">
                  <c:v>replace the Modern Standard Arabic consonant [θ]with the colloquial arabic consonant [t]</c:v>
                </c:pt>
                <c:pt idx="3">
                  <c:v>consonant deletion  of [ʔ] phone affected by colloquial Arabic</c:v>
                </c:pt>
                <c:pt idx="4">
                  <c:v>nonsense</c:v>
                </c:pt>
                <c:pt idx="5">
                  <c:v>replace the Modern Standard Arabic diphthong [æj]with the colloquial arabic vowel[e:]</c:v>
                </c:pt>
                <c:pt idx="6">
                  <c:v>replace the Modern Standard Arabic diphthong [æw]with the colloquial arabic vowel[o:]</c:v>
                </c:pt>
                <c:pt idx="7">
                  <c:v>replace the Modern Standard Arabic diphthong [æw]with the colloquial arabic vowel[u:]</c:v>
                </c:pt>
                <c:pt idx="8">
                  <c:v>replace plural noun with singular noun</c:v>
                </c:pt>
                <c:pt idx="9">
                  <c:v>replace verb with  noun</c:v>
                </c:pt>
              </c:strCache>
            </c:strRef>
          </c:cat>
          <c:val>
            <c:numRef>
              <c:f>Sheet3!$E$3:$E$12</c:f>
              <c:numCache>
                <c:formatCode>0.00%</c:formatCode>
                <c:ptCount val="10"/>
                <c:pt idx="5">
                  <c:v>0.125</c:v>
                </c:pt>
                <c:pt idx="6">
                  <c:v>0.33333333333333331</c:v>
                </c:pt>
                <c:pt idx="7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E-4053-8379-5D7E93383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12352"/>
        <c:axId val="1637811520"/>
      </c:lineChart>
      <c:catAx>
        <c:axId val="16378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14016"/>
        <c:crosses val="autoZero"/>
        <c:auto val="1"/>
        <c:lblAlgn val="ctr"/>
        <c:lblOffset val="100"/>
        <c:noMultiLvlLbl val="0"/>
      </c:catAx>
      <c:valAx>
        <c:axId val="1637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10688"/>
        <c:crosses val="autoZero"/>
        <c:crossBetween val="between"/>
      </c:valAx>
      <c:valAx>
        <c:axId val="1637811520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637812352"/>
        <c:crosses val="max"/>
        <c:crossBetween val="between"/>
      </c:valAx>
      <c:catAx>
        <c:axId val="1637812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78115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Sheet2!$B$2:$B$11</c:f>
              <c:strCache>
                <c:ptCount val="10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a</c:v>
                </c:pt>
                <c:pt idx="4">
                  <c:v>Monophthongization </c:v>
                </c:pt>
                <c:pt idx="5">
                  <c:v>germination</c:v>
                </c:pt>
                <c:pt idx="6">
                  <c:v>Diphthongization</c:v>
                </c:pt>
                <c:pt idx="7">
                  <c:v>final consonant deletion</c:v>
                </c:pt>
                <c:pt idx="8">
                  <c:v>syllable structure process (final syllable deletion) </c:v>
                </c:pt>
                <c:pt idx="9">
                  <c:v>syllable structure process (first syllable deletion) </c:v>
                </c:pt>
              </c:strCache>
            </c:str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4-4099-B343-4F58059C1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785120"/>
        <c:axId val="178178595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3D51-47F7-87B8-1166FE6C6088}"/>
              </c:ext>
            </c:extLst>
          </c:dPt>
          <c:cat>
            <c:strRef>
              <c:f>Sheet2!$B$2:$B$11</c:f>
              <c:strCache>
                <c:ptCount val="10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a</c:v>
                </c:pt>
                <c:pt idx="4">
                  <c:v>Monophthongization </c:v>
                </c:pt>
                <c:pt idx="5">
                  <c:v>germination</c:v>
                </c:pt>
                <c:pt idx="6">
                  <c:v>Diphthongization</c:v>
                </c:pt>
                <c:pt idx="7">
                  <c:v>final consonant deletion</c:v>
                </c:pt>
                <c:pt idx="8">
                  <c:v>syllable structure process (final syllable deletion) </c:v>
                </c:pt>
                <c:pt idx="9">
                  <c:v>syllable structure process (first syllable deletion) </c:v>
                </c:pt>
              </c:strCache>
            </c:strRef>
          </c:cat>
          <c:val>
            <c:numRef>
              <c:f>Sheet2!$D$2:$D$11</c:f>
              <c:numCache>
                <c:formatCode>0.00%</c:formatCode>
                <c:ptCount val="10"/>
                <c:pt idx="0">
                  <c:v>0.18181818181818182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6.4102564102564097E-2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E4-4099-B343-4F58059C1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787200"/>
        <c:axId val="1781786784"/>
      </c:lineChart>
      <c:catAx>
        <c:axId val="17817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85952"/>
        <c:crosses val="autoZero"/>
        <c:auto val="1"/>
        <c:lblAlgn val="ctr"/>
        <c:lblOffset val="100"/>
        <c:noMultiLvlLbl val="0"/>
      </c:catAx>
      <c:valAx>
        <c:axId val="17817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85120"/>
        <c:crosses val="autoZero"/>
        <c:crossBetween val="between"/>
      </c:valAx>
      <c:valAx>
        <c:axId val="1781786784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781787200"/>
        <c:crosses val="max"/>
        <c:crossBetween val="between"/>
      </c:valAx>
      <c:catAx>
        <c:axId val="1781787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17867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661989</xdr:rowOff>
    </xdr:from>
    <xdr:to>
      <xdr:col>15</xdr:col>
      <xdr:colOff>314325</xdr:colOff>
      <xdr:row>1</xdr:row>
      <xdr:rowOff>1619251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3</xdr:row>
      <xdr:rowOff>97971</xdr:rowOff>
    </xdr:from>
    <xdr:to>
      <xdr:col>15</xdr:col>
      <xdr:colOff>361950</xdr:colOff>
      <xdr:row>3</xdr:row>
      <xdr:rowOff>1611086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</xdr:colOff>
      <xdr:row>6</xdr:row>
      <xdr:rowOff>214314</xdr:rowOff>
    </xdr:from>
    <xdr:to>
      <xdr:col>15</xdr:col>
      <xdr:colOff>333375</xdr:colOff>
      <xdr:row>7</xdr:row>
      <xdr:rowOff>1628776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11</xdr:row>
      <xdr:rowOff>233363</xdr:rowOff>
    </xdr:from>
    <xdr:to>
      <xdr:col>15</xdr:col>
      <xdr:colOff>314325</xdr:colOff>
      <xdr:row>12</xdr:row>
      <xdr:rowOff>1556657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28575</xdr:colOff>
      <xdr:row>14</xdr:row>
      <xdr:rowOff>76200</xdr:rowOff>
    </xdr:from>
    <xdr:to>
      <xdr:col>15</xdr:col>
      <xdr:colOff>333375</xdr:colOff>
      <xdr:row>15</xdr:row>
      <xdr:rowOff>1609724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28575</xdr:colOff>
      <xdr:row>17</xdr:row>
      <xdr:rowOff>14288</xdr:rowOff>
    </xdr:from>
    <xdr:to>
      <xdr:col>15</xdr:col>
      <xdr:colOff>333375</xdr:colOff>
      <xdr:row>18</xdr:row>
      <xdr:rowOff>1609725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38100</xdr:colOff>
      <xdr:row>23</xdr:row>
      <xdr:rowOff>14288</xdr:rowOff>
    </xdr:from>
    <xdr:to>
      <xdr:col>15</xdr:col>
      <xdr:colOff>342900</xdr:colOff>
      <xdr:row>24</xdr:row>
      <xdr:rowOff>1590675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19050</xdr:colOff>
      <xdr:row>26</xdr:row>
      <xdr:rowOff>65314</xdr:rowOff>
    </xdr:from>
    <xdr:to>
      <xdr:col>15</xdr:col>
      <xdr:colOff>323850</xdr:colOff>
      <xdr:row>26</xdr:row>
      <xdr:rowOff>1545772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28575</xdr:colOff>
      <xdr:row>28</xdr:row>
      <xdr:rowOff>152400</xdr:rowOff>
    </xdr:from>
    <xdr:to>
      <xdr:col>15</xdr:col>
      <xdr:colOff>333375</xdr:colOff>
      <xdr:row>29</xdr:row>
      <xdr:rowOff>1600200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19050</xdr:colOff>
      <xdr:row>35</xdr:row>
      <xdr:rowOff>204788</xdr:rowOff>
    </xdr:from>
    <xdr:to>
      <xdr:col>15</xdr:col>
      <xdr:colOff>323850</xdr:colOff>
      <xdr:row>36</xdr:row>
      <xdr:rowOff>1600200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21771</xdr:colOff>
      <xdr:row>38</xdr:row>
      <xdr:rowOff>70756</xdr:rowOff>
    </xdr:from>
    <xdr:to>
      <xdr:col>15</xdr:col>
      <xdr:colOff>326571</xdr:colOff>
      <xdr:row>41</xdr:row>
      <xdr:rowOff>1621970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43543</xdr:colOff>
      <xdr:row>43</xdr:row>
      <xdr:rowOff>130628</xdr:rowOff>
    </xdr:from>
    <xdr:to>
      <xdr:col>15</xdr:col>
      <xdr:colOff>348343</xdr:colOff>
      <xdr:row>47</xdr:row>
      <xdr:rowOff>1611085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54428</xdr:colOff>
      <xdr:row>49</xdr:row>
      <xdr:rowOff>119743</xdr:rowOff>
    </xdr:from>
    <xdr:to>
      <xdr:col>15</xdr:col>
      <xdr:colOff>359228</xdr:colOff>
      <xdr:row>50</xdr:row>
      <xdr:rowOff>1621970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</xdr:row>
      <xdr:rowOff>0</xdr:rowOff>
    </xdr:from>
    <xdr:to>
      <xdr:col>24</xdr:col>
      <xdr:colOff>464820</xdr:colOff>
      <xdr:row>12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171450</xdr:rowOff>
    </xdr:from>
    <xdr:to>
      <xdr:col>18</xdr:col>
      <xdr:colOff>243840</xdr:colOff>
      <xdr:row>11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6"/>
  <sheetViews>
    <sheetView tabSelected="1" topLeftCell="A34" zoomScale="70" zoomScaleNormal="70" workbookViewId="0">
      <selection activeCell="F48" sqref="F48"/>
    </sheetView>
  </sheetViews>
  <sheetFormatPr defaultRowHeight="14.4" x14ac:dyDescent="0.3"/>
  <cols>
    <col min="2" max="3" width="11.21875" customWidth="1"/>
    <col min="4" max="4" width="10.33203125" customWidth="1"/>
    <col min="5" max="5" width="36.21875" style="1" customWidth="1"/>
    <col min="6" max="6" width="6.109375" style="1" customWidth="1"/>
    <col min="7" max="7" width="6.21875" customWidth="1"/>
    <col min="8" max="8" width="8.44140625" style="70" customWidth="1"/>
  </cols>
  <sheetData>
    <row r="1" spans="2:8" ht="54" customHeight="1" thickTop="1" thickBot="1" x14ac:dyDescent="0.35">
      <c r="B1" s="54" t="s">
        <v>104</v>
      </c>
      <c r="C1" s="54" t="s">
        <v>105</v>
      </c>
      <c r="D1" s="55" t="s">
        <v>106</v>
      </c>
      <c r="E1" s="56" t="s">
        <v>107</v>
      </c>
      <c r="F1" s="56"/>
      <c r="G1" s="56" t="s">
        <v>108</v>
      </c>
      <c r="H1" s="57" t="s">
        <v>109</v>
      </c>
    </row>
    <row r="2" spans="2:8" ht="130.05000000000001" customHeight="1" thickTop="1" thickBot="1" x14ac:dyDescent="0.35">
      <c r="B2" s="12" t="s">
        <v>62</v>
      </c>
      <c r="C2" s="12">
        <v>38</v>
      </c>
      <c r="D2" s="13" t="s">
        <v>60</v>
      </c>
      <c r="E2" s="14" t="s">
        <v>96</v>
      </c>
      <c r="F2" s="14" t="s">
        <v>110</v>
      </c>
      <c r="G2" s="15">
        <v>1</v>
      </c>
      <c r="H2" s="58">
        <f>G2/C2</f>
        <v>2.6315789473684209E-2</v>
      </c>
    </row>
    <row r="3" spans="2:8" ht="35.4" customHeight="1" thickTop="1" thickBot="1" x14ac:dyDescent="0.35">
      <c r="B3" s="75" t="s">
        <v>135</v>
      </c>
      <c r="C3" s="75">
        <v>38</v>
      </c>
      <c r="D3" s="74"/>
      <c r="E3" s="14"/>
      <c r="F3" s="14"/>
      <c r="G3" s="15">
        <v>1</v>
      </c>
      <c r="H3" s="58">
        <f>G3/C3</f>
        <v>2.6315789473684209E-2</v>
      </c>
    </row>
    <row r="4" spans="2:8" ht="130.05000000000001" customHeight="1" thickTop="1" thickBot="1" x14ac:dyDescent="0.35">
      <c r="B4" s="16" t="s">
        <v>63</v>
      </c>
      <c r="C4" s="16">
        <v>115</v>
      </c>
      <c r="D4" s="17" t="s">
        <v>61</v>
      </c>
      <c r="E4" s="18" t="s">
        <v>2</v>
      </c>
      <c r="F4" s="18" t="s">
        <v>111</v>
      </c>
      <c r="G4" s="19">
        <v>5</v>
      </c>
      <c r="H4" s="59">
        <f>G4/C4</f>
        <v>4.3478260869565216E-2</v>
      </c>
    </row>
    <row r="5" spans="2:8" ht="31.2" customHeight="1" thickTop="1" thickBot="1" x14ac:dyDescent="0.35">
      <c r="B5" s="73" t="s">
        <v>135</v>
      </c>
      <c r="C5" s="73">
        <v>115</v>
      </c>
      <c r="D5" s="78"/>
      <c r="E5" s="18"/>
      <c r="F5" s="18"/>
      <c r="G5" s="19">
        <v>5</v>
      </c>
      <c r="H5" s="59">
        <f>G5/C5</f>
        <v>4.3478260869565216E-2</v>
      </c>
    </row>
    <row r="6" spans="2:8" ht="26.4" customHeight="1" thickTop="1" thickBot="1" x14ac:dyDescent="0.35">
      <c r="B6" s="20" t="s">
        <v>64</v>
      </c>
      <c r="C6" s="20">
        <v>23</v>
      </c>
      <c r="D6" s="21" t="s">
        <v>34</v>
      </c>
      <c r="E6" s="22" t="s">
        <v>5</v>
      </c>
      <c r="F6" s="22" t="s">
        <v>112</v>
      </c>
      <c r="G6" s="23">
        <v>0</v>
      </c>
      <c r="H6" s="60">
        <v>0</v>
      </c>
    </row>
    <row r="7" spans="2:8" ht="19.8" customHeight="1" thickTop="1" thickBot="1" x14ac:dyDescent="0.35">
      <c r="B7" s="24" t="s">
        <v>65</v>
      </c>
      <c r="C7" s="24">
        <v>6</v>
      </c>
      <c r="D7" s="25" t="s">
        <v>35</v>
      </c>
      <c r="E7" s="26" t="s">
        <v>12</v>
      </c>
      <c r="F7" s="26" t="s">
        <v>113</v>
      </c>
      <c r="G7" s="27">
        <v>0</v>
      </c>
      <c r="H7" s="61">
        <v>0</v>
      </c>
    </row>
    <row r="8" spans="2:8" ht="130.05000000000001" customHeight="1" thickTop="1" thickBot="1" x14ac:dyDescent="0.35">
      <c r="B8" s="16" t="s">
        <v>66</v>
      </c>
      <c r="C8" s="16">
        <v>17</v>
      </c>
      <c r="D8" s="17" t="s">
        <v>36</v>
      </c>
      <c r="E8" s="28" t="s">
        <v>13</v>
      </c>
      <c r="F8" s="28" t="s">
        <v>114</v>
      </c>
      <c r="G8" s="29">
        <v>1</v>
      </c>
      <c r="H8" s="62">
        <f>G8/C8</f>
        <v>5.8823529411764705E-2</v>
      </c>
    </row>
    <row r="9" spans="2:8" ht="19.2" customHeight="1" thickTop="1" thickBot="1" x14ac:dyDescent="0.35">
      <c r="B9" s="73" t="s">
        <v>135</v>
      </c>
      <c r="C9" s="73">
        <v>17</v>
      </c>
      <c r="D9" s="78"/>
      <c r="E9" s="28"/>
      <c r="F9" s="28"/>
      <c r="G9" s="29">
        <v>1</v>
      </c>
      <c r="H9" s="62">
        <f>G9/C9</f>
        <v>5.8823529411764705E-2</v>
      </c>
    </row>
    <row r="10" spans="2:8" ht="21" customHeight="1" thickTop="1" thickBot="1" x14ac:dyDescent="0.35">
      <c r="B10" s="20" t="s">
        <v>67</v>
      </c>
      <c r="C10" s="20">
        <v>14</v>
      </c>
      <c r="D10" s="21" t="s">
        <v>37</v>
      </c>
      <c r="E10" s="30">
        <v>0</v>
      </c>
      <c r="F10" s="30">
        <v>0</v>
      </c>
      <c r="G10" s="31">
        <v>0</v>
      </c>
      <c r="H10" s="63">
        <v>0</v>
      </c>
    </row>
    <row r="11" spans="2:8" ht="27" customHeight="1" thickTop="1" thickBot="1" x14ac:dyDescent="0.35">
      <c r="B11" s="12" t="s">
        <v>68</v>
      </c>
      <c r="C11" s="12">
        <v>0</v>
      </c>
      <c r="D11" s="13" t="s">
        <v>38</v>
      </c>
      <c r="E11" s="14">
        <v>0</v>
      </c>
      <c r="F11" s="14">
        <v>0</v>
      </c>
      <c r="G11" s="15">
        <v>0</v>
      </c>
      <c r="H11" s="58">
        <v>0</v>
      </c>
    </row>
    <row r="12" spans="2:8" ht="19.8" customHeight="1" thickTop="1" thickBot="1" x14ac:dyDescent="0.35">
      <c r="B12" s="24" t="s">
        <v>69</v>
      </c>
      <c r="C12" s="24">
        <v>1</v>
      </c>
      <c r="D12" s="24" t="s">
        <v>39</v>
      </c>
      <c r="E12" s="32">
        <v>0</v>
      </c>
      <c r="F12" s="32">
        <v>0</v>
      </c>
      <c r="G12" s="33">
        <v>0</v>
      </c>
      <c r="H12" s="64">
        <v>0</v>
      </c>
    </row>
    <row r="13" spans="2:8" ht="130.05000000000001" customHeight="1" thickTop="1" thickBot="1" x14ac:dyDescent="0.35">
      <c r="B13" s="16" t="s">
        <v>70</v>
      </c>
      <c r="C13" s="16">
        <v>19</v>
      </c>
      <c r="D13" s="17" t="s">
        <v>40</v>
      </c>
      <c r="E13" s="34" t="s">
        <v>8</v>
      </c>
      <c r="F13" s="34" t="s">
        <v>115</v>
      </c>
      <c r="G13" s="19">
        <v>8</v>
      </c>
      <c r="H13" s="59">
        <f>G13/C13</f>
        <v>0.42105263157894735</v>
      </c>
    </row>
    <row r="14" spans="2:8" ht="27.6" customHeight="1" thickTop="1" thickBot="1" x14ac:dyDescent="0.35">
      <c r="B14" s="73" t="s">
        <v>135</v>
      </c>
      <c r="C14" s="73">
        <v>19</v>
      </c>
      <c r="D14" s="78"/>
      <c r="E14" s="34"/>
      <c r="F14" s="34"/>
      <c r="G14" s="19">
        <v>8</v>
      </c>
      <c r="H14" s="59">
        <f>G14/C14</f>
        <v>0.42105263157894735</v>
      </c>
    </row>
    <row r="15" spans="2:8" ht="130.05000000000001" customHeight="1" thickTop="1" thickBot="1" x14ac:dyDescent="0.35">
      <c r="B15" s="88" t="s">
        <v>71</v>
      </c>
      <c r="C15" s="88">
        <v>14</v>
      </c>
      <c r="D15" s="89" t="s">
        <v>41</v>
      </c>
      <c r="E15" s="35" t="s">
        <v>95</v>
      </c>
      <c r="F15" s="35" t="s">
        <v>116</v>
      </c>
      <c r="G15" s="31">
        <v>3</v>
      </c>
      <c r="H15" s="63">
        <f t="shared" ref="H15:H20" si="0">G15/14</f>
        <v>0.21428571428571427</v>
      </c>
    </row>
    <row r="16" spans="2:8" ht="130.05000000000001" customHeight="1" thickTop="1" thickBot="1" x14ac:dyDescent="0.35">
      <c r="B16" s="88"/>
      <c r="C16" s="88"/>
      <c r="D16" s="89"/>
      <c r="E16" s="30" t="s">
        <v>16</v>
      </c>
      <c r="F16" s="30" t="s">
        <v>117</v>
      </c>
      <c r="G16" s="31">
        <v>1</v>
      </c>
      <c r="H16" s="63">
        <f t="shared" si="0"/>
        <v>7.1428571428571425E-2</v>
      </c>
    </row>
    <row r="17" spans="2:8" ht="31.8" customHeight="1" thickTop="1" thickBot="1" x14ac:dyDescent="0.35">
      <c r="B17" s="76" t="s">
        <v>135</v>
      </c>
      <c r="C17" s="76">
        <v>14</v>
      </c>
      <c r="D17" s="77"/>
      <c r="E17" s="30"/>
      <c r="F17" s="30"/>
      <c r="G17" s="31">
        <f>SUM(G15:G16)</f>
        <v>4</v>
      </c>
      <c r="H17" s="63">
        <f t="shared" si="0"/>
        <v>0.2857142857142857</v>
      </c>
    </row>
    <row r="18" spans="2:8" ht="130.05000000000001" customHeight="1" thickTop="1" thickBot="1" x14ac:dyDescent="0.35">
      <c r="B18" s="87" t="s">
        <v>72</v>
      </c>
      <c r="C18" s="87">
        <v>14</v>
      </c>
      <c r="D18" s="86" t="s">
        <v>42</v>
      </c>
      <c r="E18" s="36" t="s">
        <v>3</v>
      </c>
      <c r="F18" s="36" t="s">
        <v>118</v>
      </c>
      <c r="G18" s="15">
        <v>8</v>
      </c>
      <c r="H18" s="58">
        <f t="shared" si="0"/>
        <v>0.5714285714285714</v>
      </c>
    </row>
    <row r="19" spans="2:8" ht="130.05000000000001" customHeight="1" thickTop="1" thickBot="1" x14ac:dyDescent="0.35">
      <c r="B19" s="87"/>
      <c r="C19" s="87"/>
      <c r="D19" s="86"/>
      <c r="E19" s="14" t="s">
        <v>4</v>
      </c>
      <c r="F19" s="14" t="s">
        <v>119</v>
      </c>
      <c r="G19" s="15">
        <v>1</v>
      </c>
      <c r="H19" s="58">
        <f t="shared" si="0"/>
        <v>7.1428571428571425E-2</v>
      </c>
    </row>
    <row r="20" spans="2:8" ht="31.8" customHeight="1" thickTop="1" thickBot="1" x14ac:dyDescent="0.35">
      <c r="B20" s="75" t="s">
        <v>135</v>
      </c>
      <c r="C20" s="75">
        <v>14</v>
      </c>
      <c r="D20" s="74"/>
      <c r="E20" s="14"/>
      <c r="F20" s="14"/>
      <c r="G20" s="15">
        <f>SUM(G18:G19)</f>
        <v>9</v>
      </c>
      <c r="H20" s="58">
        <f t="shared" si="0"/>
        <v>0.6428571428571429</v>
      </c>
    </row>
    <row r="21" spans="2:8" ht="13.8" customHeight="1" thickTop="1" thickBot="1" x14ac:dyDescent="0.35">
      <c r="B21" s="37" t="s">
        <v>73</v>
      </c>
      <c r="C21" s="37">
        <v>8</v>
      </c>
      <c r="D21" s="38" t="s">
        <v>43</v>
      </c>
      <c r="E21" s="39">
        <v>0</v>
      </c>
      <c r="F21" s="39" t="s">
        <v>114</v>
      </c>
      <c r="G21" s="40">
        <v>0</v>
      </c>
      <c r="H21" s="65">
        <v>0</v>
      </c>
    </row>
    <row r="22" spans="2:8" ht="12" customHeight="1" thickTop="1" thickBot="1" x14ac:dyDescent="0.35">
      <c r="B22" s="16" t="s">
        <v>74</v>
      </c>
      <c r="C22" s="16">
        <v>8</v>
      </c>
      <c r="D22" s="17" t="s">
        <v>44</v>
      </c>
      <c r="E22" s="18">
        <v>0</v>
      </c>
      <c r="F22" s="18">
        <v>0</v>
      </c>
      <c r="G22" s="19">
        <v>0</v>
      </c>
      <c r="H22" s="59">
        <v>0</v>
      </c>
    </row>
    <row r="23" spans="2:8" ht="18.600000000000001" customHeight="1" thickTop="1" thickBot="1" x14ac:dyDescent="0.35">
      <c r="B23" s="41" t="s">
        <v>75</v>
      </c>
      <c r="C23" s="41">
        <v>4</v>
      </c>
      <c r="D23" s="42" t="s">
        <v>45</v>
      </c>
      <c r="E23" s="43">
        <v>0</v>
      </c>
      <c r="F23" s="43">
        <v>0</v>
      </c>
      <c r="G23" s="44">
        <v>0</v>
      </c>
      <c r="H23" s="66">
        <v>0</v>
      </c>
    </row>
    <row r="24" spans="2:8" ht="130.05000000000001" customHeight="1" thickTop="1" thickBot="1" x14ac:dyDescent="0.35">
      <c r="B24" s="94" t="s">
        <v>76</v>
      </c>
      <c r="C24" s="94">
        <v>37</v>
      </c>
      <c r="D24" s="93" t="s">
        <v>46</v>
      </c>
      <c r="E24" s="45" t="s">
        <v>1</v>
      </c>
      <c r="F24" s="45" t="s">
        <v>122</v>
      </c>
      <c r="G24" s="46">
        <v>2</v>
      </c>
      <c r="H24" s="67">
        <f>G24/37</f>
        <v>5.4054054054054057E-2</v>
      </c>
    </row>
    <row r="25" spans="2:8" ht="130.05000000000001" customHeight="1" thickTop="1" thickBot="1" x14ac:dyDescent="0.35">
      <c r="B25" s="94"/>
      <c r="C25" s="94"/>
      <c r="D25" s="93"/>
      <c r="E25" s="47" t="s">
        <v>100</v>
      </c>
      <c r="F25" s="47" t="s">
        <v>123</v>
      </c>
      <c r="G25" s="46">
        <v>1</v>
      </c>
      <c r="H25" s="67">
        <f>G25/37</f>
        <v>2.7027027027027029E-2</v>
      </c>
    </row>
    <row r="26" spans="2:8" ht="39" customHeight="1" thickTop="1" thickBot="1" x14ac:dyDescent="0.35">
      <c r="B26" s="83" t="s">
        <v>135</v>
      </c>
      <c r="C26" s="82">
        <v>37</v>
      </c>
      <c r="D26" s="81"/>
      <c r="E26" s="47"/>
      <c r="F26" s="47"/>
      <c r="G26" s="46">
        <f>SUM(G24:G25)</f>
        <v>3</v>
      </c>
      <c r="H26" s="67">
        <f>G26/37</f>
        <v>8.1081081081081086E-2</v>
      </c>
    </row>
    <row r="27" spans="2:8" ht="130.05000000000001" customHeight="1" thickTop="1" thickBot="1" x14ac:dyDescent="0.35">
      <c r="B27" s="20" t="s">
        <v>77</v>
      </c>
      <c r="C27" s="20">
        <v>32</v>
      </c>
      <c r="D27" s="21" t="s">
        <v>47</v>
      </c>
      <c r="E27" s="30" t="s">
        <v>20</v>
      </c>
      <c r="F27" s="30" t="s">
        <v>120</v>
      </c>
      <c r="G27" s="31">
        <v>1</v>
      </c>
      <c r="H27" s="63">
        <f>G27/32</f>
        <v>3.125E-2</v>
      </c>
    </row>
    <row r="28" spans="2:8" ht="37.799999999999997" customHeight="1" thickTop="1" thickBot="1" x14ac:dyDescent="0.35">
      <c r="B28" s="76" t="s">
        <v>135</v>
      </c>
      <c r="C28" s="76">
        <v>32</v>
      </c>
      <c r="D28" s="77"/>
      <c r="E28" s="30"/>
      <c r="F28" s="30"/>
      <c r="G28" s="31">
        <v>1</v>
      </c>
      <c r="H28" s="63">
        <f>G28/32</f>
        <v>3.125E-2</v>
      </c>
    </row>
    <row r="29" spans="2:8" ht="130.05000000000001" customHeight="1" thickTop="1" thickBot="1" x14ac:dyDescent="0.35">
      <c r="B29" s="91" t="s">
        <v>78</v>
      </c>
      <c r="C29" s="91">
        <v>38</v>
      </c>
      <c r="D29" s="92" t="s">
        <v>48</v>
      </c>
      <c r="E29" s="96" t="s">
        <v>21</v>
      </c>
      <c r="F29" s="48" t="s">
        <v>124</v>
      </c>
      <c r="G29" s="49">
        <v>9</v>
      </c>
      <c r="H29" s="68">
        <f>G29/38</f>
        <v>0.23684210526315788</v>
      </c>
    </row>
    <row r="30" spans="2:8" ht="130.05000000000001" customHeight="1" thickTop="1" thickBot="1" x14ac:dyDescent="0.35">
      <c r="B30" s="91"/>
      <c r="C30" s="91"/>
      <c r="D30" s="92"/>
      <c r="E30" s="48" t="s">
        <v>19</v>
      </c>
      <c r="F30" s="48" t="s">
        <v>121</v>
      </c>
      <c r="G30" s="49">
        <v>3</v>
      </c>
      <c r="H30" s="68">
        <f>G30/38</f>
        <v>7.8947368421052627E-2</v>
      </c>
    </row>
    <row r="31" spans="2:8" ht="31.2" customHeight="1" thickTop="1" thickBot="1" x14ac:dyDescent="0.35">
      <c r="B31" s="84" t="s">
        <v>135</v>
      </c>
      <c r="C31" s="79">
        <v>38</v>
      </c>
      <c r="D31" s="80"/>
      <c r="E31" s="48"/>
      <c r="F31" s="48"/>
      <c r="G31" s="49">
        <f>SUM(G29:G30)</f>
        <v>12</v>
      </c>
      <c r="H31" s="68">
        <f>G31/38</f>
        <v>0.31578947368421051</v>
      </c>
    </row>
    <row r="32" spans="2:8" ht="25.2" customHeight="1" thickTop="1" thickBot="1" x14ac:dyDescent="0.35">
      <c r="B32" s="16" t="s">
        <v>79</v>
      </c>
      <c r="C32" s="16">
        <v>54</v>
      </c>
      <c r="D32" s="17" t="s">
        <v>49</v>
      </c>
      <c r="E32" s="18">
        <v>0</v>
      </c>
      <c r="F32" s="18">
        <v>0</v>
      </c>
      <c r="G32" s="19">
        <v>0</v>
      </c>
      <c r="H32" s="59">
        <v>0</v>
      </c>
    </row>
    <row r="33" spans="2:8" ht="19.2" customHeight="1" thickTop="1" thickBot="1" x14ac:dyDescent="0.35">
      <c r="B33" s="12" t="s">
        <v>80</v>
      </c>
      <c r="C33" s="12">
        <v>35</v>
      </c>
      <c r="D33" s="13" t="s">
        <v>50</v>
      </c>
      <c r="E33" s="14">
        <v>0</v>
      </c>
      <c r="F33" s="14">
        <v>0</v>
      </c>
      <c r="G33" s="15">
        <v>0</v>
      </c>
      <c r="H33" s="58">
        <v>0</v>
      </c>
    </row>
    <row r="34" spans="2:8" ht="21.6" customHeight="1" thickTop="1" thickBot="1" x14ac:dyDescent="0.35">
      <c r="B34" s="20" t="s">
        <v>93</v>
      </c>
      <c r="C34" s="20"/>
      <c r="D34" s="21" t="s">
        <v>93</v>
      </c>
      <c r="E34" s="30">
        <v>0</v>
      </c>
      <c r="F34" s="30">
        <v>0</v>
      </c>
      <c r="G34" s="31">
        <v>0</v>
      </c>
      <c r="H34" s="63">
        <v>0</v>
      </c>
    </row>
    <row r="35" spans="2:8" ht="19.2" customHeight="1" thickTop="1" thickBot="1" x14ac:dyDescent="0.35">
      <c r="B35" s="40" t="s">
        <v>81</v>
      </c>
      <c r="C35" s="37">
        <v>59</v>
      </c>
      <c r="D35" s="50" t="s">
        <v>51</v>
      </c>
      <c r="E35" s="51">
        <v>0</v>
      </c>
      <c r="F35" s="51">
        <v>0</v>
      </c>
      <c r="G35" s="40">
        <v>0</v>
      </c>
      <c r="H35" s="65">
        <v>0</v>
      </c>
    </row>
    <row r="36" spans="2:8" ht="19.2" customHeight="1" thickTop="1" thickBot="1" x14ac:dyDescent="0.35">
      <c r="B36" s="20" t="s">
        <v>82</v>
      </c>
      <c r="C36" s="20">
        <v>41</v>
      </c>
      <c r="D36" s="21" t="s">
        <v>52</v>
      </c>
      <c r="E36" s="30">
        <v>0</v>
      </c>
      <c r="F36" s="30">
        <v>0</v>
      </c>
      <c r="G36" s="31">
        <v>0</v>
      </c>
      <c r="H36" s="63">
        <v>0</v>
      </c>
    </row>
    <row r="37" spans="2:8" ht="132" customHeight="1" thickTop="1" thickBot="1" x14ac:dyDescent="0.35">
      <c r="B37" s="12" t="s">
        <v>83</v>
      </c>
      <c r="C37" s="12">
        <v>53</v>
      </c>
      <c r="D37" s="13" t="s">
        <v>53</v>
      </c>
      <c r="E37" s="14" t="s">
        <v>22</v>
      </c>
      <c r="F37" s="14" t="s">
        <v>126</v>
      </c>
      <c r="G37" s="15">
        <v>2</v>
      </c>
      <c r="H37" s="58">
        <f>G37/C37</f>
        <v>3.7735849056603772E-2</v>
      </c>
    </row>
    <row r="38" spans="2:8" ht="33.6" customHeight="1" thickTop="1" thickBot="1" x14ac:dyDescent="0.35">
      <c r="B38" s="75" t="s">
        <v>135</v>
      </c>
      <c r="C38" s="75">
        <v>53</v>
      </c>
      <c r="D38" s="74"/>
      <c r="E38" s="14"/>
      <c r="F38" s="14"/>
      <c r="G38" s="15">
        <v>2</v>
      </c>
      <c r="H38" s="58">
        <f>G38/C38</f>
        <v>3.7735849056603772E-2</v>
      </c>
    </row>
    <row r="39" spans="2:8" ht="130.05000000000001" customHeight="1" thickTop="1" thickBot="1" x14ac:dyDescent="0.35">
      <c r="B39" s="85" t="s">
        <v>84</v>
      </c>
      <c r="C39" s="85">
        <v>13</v>
      </c>
      <c r="D39" s="90" t="s">
        <v>54</v>
      </c>
      <c r="E39" s="18" t="s">
        <v>14</v>
      </c>
      <c r="F39" s="18" t="s">
        <v>128</v>
      </c>
      <c r="G39" s="19">
        <v>6</v>
      </c>
      <c r="H39" s="59">
        <f>G39/13</f>
        <v>0.46153846153846156</v>
      </c>
    </row>
    <row r="40" spans="2:8" ht="130.05000000000001" customHeight="1" thickTop="1" thickBot="1" x14ac:dyDescent="0.35">
      <c r="B40" s="85"/>
      <c r="C40" s="85"/>
      <c r="D40" s="90"/>
      <c r="E40" s="18" t="s">
        <v>91</v>
      </c>
      <c r="F40" s="18" t="s">
        <v>127</v>
      </c>
      <c r="G40" s="19">
        <v>2</v>
      </c>
      <c r="H40" s="59">
        <f>G40/13</f>
        <v>0.15384615384615385</v>
      </c>
    </row>
    <row r="41" spans="2:8" ht="130.05000000000001" customHeight="1" thickTop="1" thickBot="1" x14ac:dyDescent="0.35">
      <c r="B41" s="85"/>
      <c r="C41" s="85"/>
      <c r="D41" s="90"/>
      <c r="E41" s="18" t="s">
        <v>15</v>
      </c>
      <c r="F41" s="18" t="s">
        <v>117</v>
      </c>
      <c r="G41" s="19">
        <v>1</v>
      </c>
      <c r="H41" s="59">
        <f>G41/13</f>
        <v>7.6923076923076927E-2</v>
      </c>
    </row>
    <row r="42" spans="2:8" ht="130.05000000000001" customHeight="1" thickTop="1" thickBot="1" x14ac:dyDescent="0.35">
      <c r="B42" s="85"/>
      <c r="C42" s="85"/>
      <c r="D42" s="90"/>
      <c r="E42" s="18" t="s">
        <v>10</v>
      </c>
      <c r="F42" s="18" t="s">
        <v>129</v>
      </c>
      <c r="G42" s="19">
        <v>1</v>
      </c>
      <c r="H42" s="59">
        <f>G42/13</f>
        <v>7.6923076923076927E-2</v>
      </c>
    </row>
    <row r="43" spans="2:8" ht="43.2" customHeight="1" thickTop="1" thickBot="1" x14ac:dyDescent="0.35">
      <c r="B43" s="73" t="s">
        <v>135</v>
      </c>
      <c r="C43" s="73">
        <v>13</v>
      </c>
      <c r="D43" s="78"/>
      <c r="E43" s="18"/>
      <c r="F43" s="18"/>
      <c r="G43" s="19">
        <f>SUM(G39:G42)</f>
        <v>10</v>
      </c>
      <c r="H43" s="59">
        <f>G43/13</f>
        <v>0.76923076923076927</v>
      </c>
    </row>
    <row r="44" spans="2:8" ht="130.05000000000001" customHeight="1" thickTop="1" thickBot="1" x14ac:dyDescent="0.35">
      <c r="B44" s="87" t="s">
        <v>85</v>
      </c>
      <c r="C44" s="87">
        <v>69</v>
      </c>
      <c r="D44" s="86" t="s">
        <v>55</v>
      </c>
      <c r="E44" s="36" t="s">
        <v>9</v>
      </c>
      <c r="F44" s="36" t="s">
        <v>128</v>
      </c>
      <c r="G44" s="15">
        <v>15</v>
      </c>
      <c r="H44" s="58">
        <f>G44/69</f>
        <v>0.21739130434782608</v>
      </c>
    </row>
    <row r="45" spans="2:8" ht="130.05000000000001" customHeight="1" thickTop="1" thickBot="1" x14ac:dyDescent="0.35">
      <c r="B45" s="87"/>
      <c r="C45" s="87"/>
      <c r="D45" s="86"/>
      <c r="E45" s="14" t="s">
        <v>11</v>
      </c>
      <c r="F45" s="14" t="s">
        <v>117</v>
      </c>
      <c r="G45" s="15">
        <v>10</v>
      </c>
      <c r="H45" s="58">
        <f>G45/69</f>
        <v>0.14492753623188406</v>
      </c>
    </row>
    <row r="46" spans="2:8" ht="130.05000000000001" customHeight="1" thickTop="1" thickBot="1" x14ac:dyDescent="0.35">
      <c r="B46" s="87"/>
      <c r="C46" s="87"/>
      <c r="D46" s="86"/>
      <c r="E46" s="14" t="s">
        <v>90</v>
      </c>
      <c r="F46" s="14" t="s">
        <v>113</v>
      </c>
      <c r="G46" s="15">
        <v>8</v>
      </c>
      <c r="H46" s="58">
        <f>G46/69</f>
        <v>0.11594202898550725</v>
      </c>
    </row>
    <row r="47" spans="2:8" ht="130.05000000000001" customHeight="1" thickTop="1" thickBot="1" x14ac:dyDescent="0.35">
      <c r="B47" s="87"/>
      <c r="C47" s="87"/>
      <c r="D47" s="86"/>
      <c r="E47" s="14" t="s">
        <v>98</v>
      </c>
      <c r="F47" s="14" t="s">
        <v>127</v>
      </c>
      <c r="G47" s="15">
        <v>4</v>
      </c>
      <c r="H47" s="58">
        <f>G47/69</f>
        <v>5.7971014492753624E-2</v>
      </c>
    </row>
    <row r="48" spans="2:8" ht="130.05000000000001" customHeight="1" thickTop="1" thickBot="1" x14ac:dyDescent="0.35">
      <c r="B48" s="87"/>
      <c r="C48" s="87"/>
      <c r="D48" s="86"/>
      <c r="E48" s="14" t="s">
        <v>102</v>
      </c>
      <c r="F48" s="14" t="s">
        <v>130</v>
      </c>
      <c r="G48" s="15">
        <v>1</v>
      </c>
      <c r="H48" s="58">
        <f>G48/69</f>
        <v>1.4492753623188406E-2</v>
      </c>
    </row>
    <row r="49" spans="2:8" ht="39.6" customHeight="1" thickTop="1" thickBot="1" x14ac:dyDescent="0.35">
      <c r="B49" s="75" t="s">
        <v>135</v>
      </c>
      <c r="C49" s="75">
        <v>69</v>
      </c>
      <c r="D49" s="74"/>
      <c r="E49" s="14"/>
      <c r="F49" s="14"/>
      <c r="G49" s="15">
        <f>SUM(G44:G48)</f>
        <v>38</v>
      </c>
      <c r="H49" s="58">
        <f t="shared" ref="H44:H49" si="1">G49/69</f>
        <v>0.55072463768115942</v>
      </c>
    </row>
    <row r="50" spans="2:8" ht="130.05000000000001" customHeight="1" thickTop="1" thickBot="1" x14ac:dyDescent="0.35">
      <c r="B50" s="88" t="s">
        <v>86</v>
      </c>
      <c r="C50" s="88">
        <v>31</v>
      </c>
      <c r="D50" s="89" t="s">
        <v>56</v>
      </c>
      <c r="E50" s="35" t="s">
        <v>92</v>
      </c>
      <c r="F50" s="35" t="s">
        <v>131</v>
      </c>
      <c r="G50" s="31">
        <v>3</v>
      </c>
      <c r="H50" s="63">
        <f>G50/31</f>
        <v>9.6774193548387094E-2</v>
      </c>
    </row>
    <row r="51" spans="2:8" ht="130.05000000000001" customHeight="1" thickTop="1" thickBot="1" x14ac:dyDescent="0.35">
      <c r="B51" s="88"/>
      <c r="C51" s="88"/>
      <c r="D51" s="89"/>
      <c r="E51" s="30" t="s">
        <v>97</v>
      </c>
      <c r="F51" s="30" t="s">
        <v>125</v>
      </c>
      <c r="G51" s="31">
        <v>1</v>
      </c>
      <c r="H51" s="63">
        <f>G51/31</f>
        <v>3.2258064516129031E-2</v>
      </c>
    </row>
    <row r="52" spans="2:8" ht="27.6" customHeight="1" thickTop="1" thickBot="1" x14ac:dyDescent="0.35">
      <c r="B52" s="76" t="s">
        <v>135</v>
      </c>
      <c r="C52" s="76">
        <v>31</v>
      </c>
      <c r="D52" s="77"/>
      <c r="E52" s="30"/>
      <c r="F52" s="30"/>
      <c r="G52" s="31">
        <f>SUM(G50:G51)</f>
        <v>4</v>
      </c>
      <c r="H52" s="63">
        <f>G52/31</f>
        <v>0.12903225806451613</v>
      </c>
    </row>
    <row r="53" spans="2:8" ht="21" customHeight="1" thickTop="1" thickBot="1" x14ac:dyDescent="0.35">
      <c r="B53" s="37" t="s">
        <v>87</v>
      </c>
      <c r="C53" s="37">
        <v>1</v>
      </c>
      <c r="D53" s="38" t="s">
        <v>57</v>
      </c>
      <c r="E53" s="39">
        <v>0</v>
      </c>
      <c r="F53" s="39">
        <v>0</v>
      </c>
      <c r="G53" s="40">
        <v>0</v>
      </c>
      <c r="H53" s="65">
        <v>0</v>
      </c>
    </row>
    <row r="54" spans="2:8" ht="16.2" customHeight="1" thickTop="1" thickBot="1" x14ac:dyDescent="0.35">
      <c r="B54" s="12" t="s">
        <v>88</v>
      </c>
      <c r="C54" s="12">
        <v>65</v>
      </c>
      <c r="D54" s="13" t="s">
        <v>58</v>
      </c>
      <c r="E54" s="52">
        <v>0</v>
      </c>
      <c r="F54" s="52">
        <v>0</v>
      </c>
      <c r="G54" s="53">
        <v>0</v>
      </c>
      <c r="H54" s="69">
        <v>0</v>
      </c>
    </row>
    <row r="55" spans="2:8" ht="16.2" customHeight="1" thickTop="1" thickBot="1" x14ac:dyDescent="0.35">
      <c r="B55" s="16" t="s">
        <v>89</v>
      </c>
      <c r="C55" s="16">
        <v>41</v>
      </c>
      <c r="D55" s="17" t="s">
        <v>59</v>
      </c>
      <c r="E55" s="18">
        <v>0</v>
      </c>
      <c r="F55" s="18">
        <v>0</v>
      </c>
      <c r="G55" s="19">
        <v>0</v>
      </c>
      <c r="H55" s="59">
        <v>0</v>
      </c>
    </row>
    <row r="56" spans="2:8" ht="15" thickTop="1" x14ac:dyDescent="0.3"/>
  </sheetData>
  <sortState ref="E44:H48">
    <sortCondition descending="1" ref="H44:H48"/>
  </sortState>
  <mergeCells count="21">
    <mergeCell ref="B18:B19"/>
    <mergeCell ref="D18:D19"/>
    <mergeCell ref="D15:D16"/>
    <mergeCell ref="B15:B16"/>
    <mergeCell ref="B29:B30"/>
    <mergeCell ref="D29:D30"/>
    <mergeCell ref="C29:C30"/>
    <mergeCell ref="D24:D25"/>
    <mergeCell ref="B24:B25"/>
    <mergeCell ref="C24:C25"/>
    <mergeCell ref="C15:C16"/>
    <mergeCell ref="C18:C19"/>
    <mergeCell ref="B39:B42"/>
    <mergeCell ref="D44:D48"/>
    <mergeCell ref="B44:B48"/>
    <mergeCell ref="B50:B51"/>
    <mergeCell ref="D50:D51"/>
    <mergeCell ref="C50:C51"/>
    <mergeCell ref="C39:C42"/>
    <mergeCell ref="C44:C48"/>
    <mergeCell ref="D39:D42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"/>
  <sheetViews>
    <sheetView workbookViewId="0">
      <selection activeCell="E11" sqref="E11"/>
    </sheetView>
  </sheetViews>
  <sheetFormatPr defaultRowHeight="14.4" x14ac:dyDescent="0.3"/>
  <cols>
    <col min="3" max="3" width="32.5546875" customWidth="1"/>
    <col min="5" max="5" width="8.88671875" style="70"/>
  </cols>
  <sheetData>
    <row r="1" spans="2:5" ht="30" customHeight="1" thickTop="1" thickBot="1" x14ac:dyDescent="0.35">
      <c r="B1" s="3"/>
      <c r="C1" s="3"/>
      <c r="D1" s="3"/>
      <c r="E1" s="71" t="s">
        <v>132</v>
      </c>
    </row>
    <row r="2" spans="2:5" ht="16.8" thickTop="1" thickBot="1" x14ac:dyDescent="0.35">
      <c r="B2" s="3"/>
      <c r="C2" s="7" t="s">
        <v>31</v>
      </c>
      <c r="D2" s="9">
        <v>30</v>
      </c>
      <c r="E2" s="71"/>
    </row>
    <row r="3" spans="2:5" ht="30" customHeight="1" thickTop="1" thickBot="1" x14ac:dyDescent="0.35">
      <c r="B3" s="3"/>
      <c r="C3" s="7" t="s">
        <v>24</v>
      </c>
      <c r="D3" s="8">
        <v>7</v>
      </c>
      <c r="E3" s="71"/>
    </row>
    <row r="4" spans="2:5" ht="30" customHeight="1" thickTop="1" thickBot="1" x14ac:dyDescent="0.35">
      <c r="B4" s="3"/>
      <c r="C4" s="7" t="s">
        <v>28</v>
      </c>
      <c r="D4" s="9">
        <v>5</v>
      </c>
      <c r="E4" s="71"/>
    </row>
    <row r="5" spans="2:5" ht="30" customHeight="1" thickTop="1" thickBot="1" x14ac:dyDescent="0.35">
      <c r="B5" s="3"/>
      <c r="C5" s="7" t="s">
        <v>29</v>
      </c>
      <c r="D5" s="9">
        <v>2</v>
      </c>
      <c r="E5" s="71"/>
    </row>
    <row r="6" spans="2:5" ht="30" customHeight="1" thickTop="1" thickBot="1" x14ac:dyDescent="0.35">
      <c r="B6" s="3"/>
      <c r="C6" s="7" t="s">
        <v>30</v>
      </c>
      <c r="D6" s="9">
        <v>2</v>
      </c>
      <c r="E6" s="71"/>
    </row>
    <row r="7" spans="2:5" ht="30" customHeight="1" thickTop="1" thickBot="1" x14ac:dyDescent="0.35">
      <c r="B7" s="3"/>
      <c r="C7" s="7" t="s">
        <v>32</v>
      </c>
      <c r="D7" s="9">
        <v>2</v>
      </c>
      <c r="E7" s="71"/>
    </row>
    <row r="8" spans="2:5" ht="30" customHeight="1" thickTop="1" thickBot="1" x14ac:dyDescent="0.35">
      <c r="B8" s="3">
        <v>8</v>
      </c>
      <c r="C8" s="7" t="s">
        <v>25</v>
      </c>
      <c r="D8" s="9">
        <v>1</v>
      </c>
      <c r="E8" s="71">
        <f>D8/B8</f>
        <v>0.125</v>
      </c>
    </row>
    <row r="9" spans="2:5" ht="30" customHeight="1" thickTop="1" thickBot="1" x14ac:dyDescent="0.35">
      <c r="B9" s="3">
        <v>3</v>
      </c>
      <c r="C9" s="7" t="s">
        <v>26</v>
      </c>
      <c r="D9" s="10">
        <v>1</v>
      </c>
      <c r="E9" s="71">
        <f>D9/B9</f>
        <v>0.33333333333333331</v>
      </c>
    </row>
    <row r="10" spans="2:5" ht="30" customHeight="1" thickTop="1" thickBot="1" x14ac:dyDescent="0.35">
      <c r="B10" s="3">
        <v>3</v>
      </c>
      <c r="C10" s="11" t="s">
        <v>27</v>
      </c>
      <c r="D10" s="9">
        <v>1</v>
      </c>
      <c r="E10" s="71">
        <f>D10/B10</f>
        <v>0.33333333333333331</v>
      </c>
    </row>
    <row r="11" spans="2:5" ht="30" customHeight="1" thickTop="1" thickBot="1" x14ac:dyDescent="0.35">
      <c r="B11" s="3"/>
      <c r="C11" s="7" t="s">
        <v>33</v>
      </c>
      <c r="D11" s="10">
        <v>1</v>
      </c>
      <c r="E11" s="71"/>
    </row>
    <row r="12" spans="2:5" ht="30" customHeight="1" thickTop="1" thickBot="1" x14ac:dyDescent="0.35">
      <c r="B12" s="3"/>
      <c r="C12" s="2" t="s">
        <v>101</v>
      </c>
      <c r="D12" s="9">
        <v>1</v>
      </c>
      <c r="E12" s="71"/>
    </row>
    <row r="13" spans="2:5" ht="15" thickTop="1" x14ac:dyDescent="0.3"/>
  </sheetData>
  <sortState ref="B1:E12">
    <sortCondition descending="1" ref="D1:D1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C13" sqref="C13"/>
    </sheetView>
  </sheetViews>
  <sheetFormatPr defaultRowHeight="14.4" x14ac:dyDescent="0.3"/>
  <cols>
    <col min="1" max="1" width="10.109375" style="1" customWidth="1"/>
    <col min="2" max="2" width="48.77734375" style="1" customWidth="1"/>
    <col min="4" max="4" width="8.88671875" style="70"/>
  </cols>
  <sheetData>
    <row r="1" spans="1:4" ht="30" customHeight="1" thickTop="1" thickBot="1" x14ac:dyDescent="0.35">
      <c r="A1" s="2" t="s">
        <v>105</v>
      </c>
      <c r="B1" s="2" t="s">
        <v>134</v>
      </c>
      <c r="C1" s="2" t="s">
        <v>108</v>
      </c>
      <c r="D1" s="72" t="s">
        <v>132</v>
      </c>
    </row>
    <row r="2" spans="1:4" ht="30" customHeight="1" thickTop="1" thickBot="1" x14ac:dyDescent="0.35">
      <c r="A2" s="4">
        <v>11</v>
      </c>
      <c r="B2" s="4" t="s">
        <v>17</v>
      </c>
      <c r="C2" s="3">
        <v>2</v>
      </c>
      <c r="D2" s="71">
        <f>C2/A2</f>
        <v>0.18181818181818182</v>
      </c>
    </row>
    <row r="3" spans="1:4" ht="30" customHeight="1" thickTop="1" thickBot="1" x14ac:dyDescent="0.35">
      <c r="A3" s="95">
        <v>78</v>
      </c>
      <c r="B3" s="6" t="s">
        <v>7</v>
      </c>
      <c r="C3" s="3">
        <v>3</v>
      </c>
      <c r="D3" s="71">
        <f>C3/78</f>
        <v>3.8461538461538464E-2</v>
      </c>
    </row>
    <row r="4" spans="1:4" ht="30" customHeight="1" thickTop="1" thickBot="1" x14ac:dyDescent="0.35">
      <c r="A4" s="95"/>
      <c r="B4" s="6" t="s">
        <v>6</v>
      </c>
      <c r="C4" s="3">
        <v>6</v>
      </c>
      <c r="D4" s="71">
        <f>C4/78</f>
        <v>7.6923076923076927E-2</v>
      </c>
    </row>
    <row r="5" spans="1:4" ht="30" customHeight="1" thickTop="1" thickBot="1" x14ac:dyDescent="0.35">
      <c r="A5" s="95"/>
      <c r="B5" s="6" t="s">
        <v>133</v>
      </c>
      <c r="C5" s="3">
        <v>5</v>
      </c>
      <c r="D5" s="71">
        <f>C5/78</f>
        <v>6.4102564102564097E-2</v>
      </c>
    </row>
    <row r="6" spans="1:4" ht="30" customHeight="1" thickTop="1" thickBot="1" x14ac:dyDescent="0.35">
      <c r="A6" s="5"/>
      <c r="B6" s="5" t="s">
        <v>99</v>
      </c>
      <c r="C6" s="3">
        <v>4</v>
      </c>
      <c r="D6" s="71"/>
    </row>
    <row r="7" spans="1:4" ht="30" customHeight="1" thickTop="1" thickBot="1" x14ac:dyDescent="0.35">
      <c r="A7" s="7"/>
      <c r="B7" s="7" t="s">
        <v>18</v>
      </c>
      <c r="C7" s="3">
        <v>3</v>
      </c>
      <c r="D7" s="71"/>
    </row>
    <row r="8" spans="1:4" ht="30" customHeight="1" thickTop="1" thickBot="1" x14ac:dyDescent="0.35">
      <c r="A8" s="5"/>
      <c r="B8" s="5" t="s">
        <v>0</v>
      </c>
      <c r="C8" s="3">
        <v>2</v>
      </c>
      <c r="D8" s="71"/>
    </row>
    <row r="9" spans="1:4" ht="30" customHeight="1" thickTop="1" thickBot="1" x14ac:dyDescent="0.35">
      <c r="A9" s="4"/>
      <c r="B9" s="4" t="s">
        <v>23</v>
      </c>
      <c r="C9" s="3">
        <v>1</v>
      </c>
      <c r="D9" s="71"/>
    </row>
    <row r="10" spans="1:4" ht="30" customHeight="1" thickTop="1" thickBot="1" x14ac:dyDescent="0.35">
      <c r="A10" s="5"/>
      <c r="B10" s="5" t="s">
        <v>103</v>
      </c>
      <c r="C10" s="3">
        <v>1</v>
      </c>
      <c r="D10" s="71"/>
    </row>
    <row r="11" spans="1:4" ht="30" customHeight="1" thickTop="1" thickBot="1" x14ac:dyDescent="0.35">
      <c r="A11" s="7"/>
      <c r="B11" s="7" t="s">
        <v>94</v>
      </c>
      <c r="C11" s="3">
        <v>1</v>
      </c>
      <c r="D11" s="71"/>
    </row>
    <row r="12" spans="1:4" ht="30" customHeight="1" thickTop="1" x14ac:dyDescent="0.3"/>
    <row r="13" spans="1:4" ht="30" customHeight="1" x14ac:dyDescent="0.3"/>
    <row r="14" spans="1:4" ht="30" customHeight="1" x14ac:dyDescent="0.3"/>
    <row r="15" spans="1:4" ht="30" customHeight="1" x14ac:dyDescent="0.3"/>
  </sheetData>
  <sortState ref="A6:D12">
    <sortCondition descending="1" ref="C6:C12"/>
  </sortState>
  <mergeCells count="1">
    <mergeCell ref="A3:A5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2025-05-22T11:40:06Z</dcterms:modified>
</cp:coreProperties>
</file>