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yohana_swr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Sheet1!$E$16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" i="1" l="1"/>
  <c r="C67" i="1"/>
  <c r="H65" i="1"/>
  <c r="G65" i="1"/>
  <c r="C65" i="1"/>
  <c r="G63" i="1"/>
  <c r="C63" i="1"/>
  <c r="G60" i="1"/>
  <c r="C60" i="1"/>
  <c r="G55" i="1"/>
  <c r="C55" i="1"/>
  <c r="G53" i="1"/>
  <c r="C53" i="1"/>
  <c r="G51" i="1"/>
  <c r="C51" i="1"/>
  <c r="H48" i="1"/>
  <c r="G48" i="1"/>
  <c r="C48" i="1"/>
  <c r="H46" i="1"/>
  <c r="G46" i="1"/>
  <c r="C46" i="1"/>
  <c r="H44" i="1"/>
  <c r="G44" i="1"/>
  <c r="C44" i="1"/>
  <c r="H42" i="1"/>
  <c r="G42" i="1"/>
  <c r="C42" i="1"/>
  <c r="G40" i="1"/>
  <c r="C40" i="1"/>
  <c r="G37" i="1"/>
  <c r="C37" i="1"/>
  <c r="G35" i="1"/>
  <c r="C35" i="1"/>
  <c r="G33" i="1"/>
  <c r="C33" i="1"/>
  <c r="G30" i="1"/>
  <c r="C30" i="1"/>
  <c r="H28" i="1"/>
  <c r="G28" i="1"/>
  <c r="C28" i="1"/>
  <c r="H26" i="1"/>
  <c r="G26" i="1"/>
  <c r="C26" i="1"/>
  <c r="G24" i="1"/>
  <c r="C24" i="1"/>
  <c r="G22" i="1"/>
  <c r="C22" i="1"/>
  <c r="G20" i="1"/>
  <c r="C20" i="1"/>
  <c r="H17" i="1"/>
  <c r="G17" i="1"/>
  <c r="C17" i="1"/>
  <c r="G15" i="1"/>
  <c r="C15" i="1"/>
  <c r="H13" i="1"/>
  <c r="G13" i="1"/>
  <c r="C13" i="1"/>
  <c r="G11" i="1"/>
  <c r="C11" i="1"/>
  <c r="G9" i="1"/>
  <c r="C9" i="1"/>
  <c r="G7" i="1"/>
  <c r="C7" i="1"/>
  <c r="G4" i="1"/>
  <c r="C4" i="1"/>
  <c r="E4" i="2" l="1"/>
  <c r="E3" i="2"/>
  <c r="E2" i="2"/>
  <c r="E9" i="3"/>
  <c r="E4" i="3"/>
  <c r="H66" i="1"/>
  <c r="H67" i="1" s="1"/>
  <c r="H62" i="1"/>
  <c r="H61" i="1"/>
  <c r="H63" i="1" s="1"/>
  <c r="H57" i="1"/>
  <c r="H58" i="1"/>
  <c r="H59" i="1"/>
  <c r="H56" i="1"/>
  <c r="H60" i="1" s="1"/>
  <c r="H54" i="1"/>
  <c r="H55" i="1" s="1"/>
  <c r="H52" i="1"/>
  <c r="H53" i="1" s="1"/>
  <c r="H50" i="1"/>
  <c r="H49" i="1"/>
  <c r="H51" i="1" s="1"/>
  <c r="H39" i="1"/>
  <c r="H38" i="1"/>
  <c r="H40" i="1" s="1"/>
  <c r="H36" i="1"/>
  <c r="H37" i="1" s="1"/>
  <c r="H34" i="1"/>
  <c r="H35" i="1" s="1"/>
  <c r="H32" i="1"/>
  <c r="H31" i="1"/>
  <c r="H33" i="1" s="1"/>
  <c r="H29" i="1"/>
  <c r="H30" i="1" s="1"/>
  <c r="H23" i="1"/>
  <c r="H24" i="1" s="1"/>
  <c r="H21" i="1"/>
  <c r="H22" i="1" s="1"/>
  <c r="H19" i="1"/>
  <c r="H18" i="1"/>
  <c r="H14" i="1"/>
  <c r="H15" i="1" s="1"/>
  <c r="H10" i="1"/>
  <c r="H11" i="1" s="1"/>
  <c r="H8" i="1"/>
  <c r="H9" i="1" s="1"/>
  <c r="H6" i="1"/>
  <c r="H5" i="1"/>
  <c r="H7" i="1" s="1"/>
  <c r="H3" i="1"/>
  <c r="H2" i="1"/>
  <c r="H4" i="1" s="1"/>
  <c r="H20" i="1" l="1"/>
</calcChain>
</file>

<file path=xl/sharedStrings.xml><?xml version="1.0" encoding="utf-8"?>
<sst xmlns="http://schemas.openxmlformats.org/spreadsheetml/2006/main" count="173" uniqueCount="160">
  <si>
    <t>Reduplication</t>
  </si>
  <si>
    <t>Metathesis</t>
  </si>
  <si>
    <t>Vowel  nasalization</t>
  </si>
  <si>
    <t xml:space="preserve">Glottalization(substitution of [ʕ] with [ʔ]), </t>
  </si>
  <si>
    <t>Glottalization(substitution of [ɣ] with [ʔ])</t>
  </si>
  <si>
    <t>Glottalization(insertion of  [ʔ] phone)</t>
  </si>
  <si>
    <t>substitution of [ʔ]with [ʕ]</t>
  </si>
  <si>
    <t>substitution of [r] with [ɻ]</t>
  </si>
  <si>
    <t>substitution of [l] with [ɻ]</t>
  </si>
  <si>
    <t>substitution of [ðˤ] with [r]</t>
  </si>
  <si>
    <t>substitution of [q] with [g]</t>
  </si>
  <si>
    <t>voicing (substitution of[θ] with [ð])</t>
  </si>
  <si>
    <t>Epenthesis(insertion of [ æ] phone between consonant cluster)</t>
  </si>
  <si>
    <t>Epenthesis(insertion of [ ɑ] phone between consonant cluster)</t>
  </si>
  <si>
    <t xml:space="preserve">Aspiration ( substitution of [k]with [kʰ]) , </t>
  </si>
  <si>
    <t xml:space="preserve">Aspiration ( substitution of [t]with [tʰ]) </t>
  </si>
  <si>
    <t xml:space="preserve">depharyngealization(substitution of [sˤ] with [s]), </t>
  </si>
  <si>
    <t>depharyngealization and aspiration (substitution of [tˤ] with [tʰ]),</t>
  </si>
  <si>
    <t xml:space="preserve">depharyngealization and devoicing(substitution of [dˤ] with [t]) </t>
  </si>
  <si>
    <t>substitution of [l] with [z]</t>
  </si>
  <si>
    <t>degemination(reduce consonant cluster to one single consonant)</t>
  </si>
  <si>
    <t>germination</t>
  </si>
  <si>
    <t>substitution of [ħ]with [χ]</t>
  </si>
  <si>
    <t>substitution of [h]with [χ]</t>
  </si>
  <si>
    <t>substitution of [d] with [z]</t>
  </si>
  <si>
    <t>devoicing(substitution of [d]with [t])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</si>
  <si>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</si>
  <si>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</si>
  <si>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</si>
  <si>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Definite Article deletion</t>
  </si>
  <si>
    <t>insertion of  Definite Article to the following word</t>
  </si>
  <si>
    <t>insertion of  Definite Article</t>
  </si>
  <si>
    <t>replace the Modern Standard Arabic diphthong [æw]with the colloquial arabic vowel[o:]</t>
  </si>
  <si>
    <t>replace the Modern Standard Arabic consonant [θ]with the colloquial arabic consonant [s]</t>
  </si>
  <si>
    <t>replace the Modern Standard Arabic consonant [ð]with the colloquial arabic consonant [z]</t>
  </si>
  <si>
    <t>replace the Modern Standard Arabic consonant [ð]with the colloquial arabic consonant [d]</t>
  </si>
  <si>
    <t>colloquial Arabic word</t>
  </si>
  <si>
    <t>consonant insertion of  [h] phone in final position</t>
  </si>
  <si>
    <t>Deletion of feminine marker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</si>
  <si>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</si>
  <si>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</si>
  <si>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</si>
  <si>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</si>
  <si>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</si>
  <si>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</si>
  <si>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</si>
  <si>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</si>
  <si>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</si>
  <si>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</si>
  <si>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</si>
  <si>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</si>
  <si>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</si>
  <si>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</si>
  <si>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</si>
  <si>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</si>
  <si>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</si>
  <si>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</si>
  <si>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</si>
  <si>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</si>
  <si>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</si>
  <si>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</si>
  <si>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</si>
  <si>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</si>
  <si>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</si>
  <si>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</si>
  <si>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</si>
  <si>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</si>
  <si>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</si>
  <si>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</si>
  <si>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</si>
  <si>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</si>
  <si>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</si>
  <si>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</si>
  <si>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</si>
  <si>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</si>
  <si>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</si>
  <si>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</si>
  <si>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</si>
  <si>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</si>
  <si>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</si>
  <si>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</si>
  <si>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</si>
  <si>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</si>
  <si>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</si>
  <si>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</si>
  <si>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</si>
  <si>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</si>
  <si>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</si>
  <si>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</si>
  <si>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</si>
  <si>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</si>
  <si>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</si>
  <si>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</si>
  <si>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 xml:space="preserve">devoicing(substitution of [d]with [d̥])  </t>
  </si>
  <si>
    <t>devoicing(substitution of [z]with [s]),</t>
  </si>
  <si>
    <t>devoicing(substitution of [dˤ]with [tˤ])</t>
  </si>
  <si>
    <t>v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</si>
  <si>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</si>
  <si>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</si>
  <si>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[k] phone changes to  [t] to become  similar to the nearby  phone[ t])</t>
  </si>
  <si>
    <t>syllable structure process (consonant deletion of  [d] phone)</t>
  </si>
  <si>
    <t xml:space="preserve">Gliding(substitution of [ʕ] with [j]), </t>
  </si>
  <si>
    <t xml:space="preserve">Gliding(substitution of [ʔ]] with [j]), </t>
  </si>
  <si>
    <t>assimilation (the  [j] phone changes to  [n] to become  similar to the nearby  phone[ n])</t>
  </si>
  <si>
    <t>[l]</t>
  </si>
  <si>
    <t>[ɻ]</t>
  </si>
  <si>
    <t>[z]</t>
  </si>
  <si>
    <t>[s]</t>
  </si>
  <si>
    <t>[ð]</t>
  </si>
  <si>
    <t>[r]</t>
  </si>
  <si>
    <t>[kʰ]</t>
  </si>
  <si>
    <t>[t]</t>
  </si>
  <si>
    <t>[d͡ʒ̥]</t>
  </si>
  <si>
    <t>[g]</t>
  </si>
  <si>
    <t>[ʔ]</t>
  </si>
  <si>
    <t>[j]</t>
  </si>
  <si>
    <t>[χ]</t>
  </si>
  <si>
    <t>[ʕ]</t>
  </si>
  <si>
    <t>[n]</t>
  </si>
  <si>
    <t>[p]</t>
  </si>
  <si>
    <t>[pʰ]</t>
  </si>
  <si>
    <t>[tʰ]</t>
  </si>
  <si>
    <t>[d̥]</t>
  </si>
  <si>
    <t>[tˤ]</t>
  </si>
  <si>
    <t>[-]</t>
  </si>
  <si>
    <t>percentage</t>
  </si>
  <si>
    <t>letter</t>
  </si>
  <si>
    <t>total</t>
  </si>
  <si>
    <t>arabic letter</t>
  </si>
  <si>
    <t>phonological_processes</t>
  </si>
  <si>
    <t>allpohone</t>
  </si>
  <si>
    <t>number of error</t>
  </si>
  <si>
    <t>r Total</t>
  </si>
  <si>
    <t>l Total</t>
  </si>
  <si>
    <t>z Total</t>
  </si>
  <si>
    <t>sˤ Total</t>
  </si>
  <si>
    <t>θ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</si>
  <si>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</si>
  <si>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</si>
  <si>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</si>
  <si>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</si>
  <si>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</si>
  <si>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</si>
  <si>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</si>
  <si>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</si>
  <si>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</si>
  <si>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</si>
  <si>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</si>
  <si>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</si>
  <si>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</si>
  <si>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v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</si>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</sst>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u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9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11" fillId="4" borderId="1" xfId="3" applyFont="1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1" fillId="3" borderId="1" xfId="2" applyFont="1" applyBorder="1" applyAlignment="1">
      <alignment vertical="center" wrapText="1"/>
    </xf>
    <xf numFmtId="0" fontId="11" fillId="2" borderId="1" xfId="1" applyFont="1" applyBorder="1" applyAlignment="1">
      <alignment vertical="center" wrapText="1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" fillId="5" borderId="1" xfId="4" applyBorder="1" applyAlignment="1">
      <alignment vertical="center"/>
    </xf>
    <xf numFmtId="0" fontId="11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0" fillId="6" borderId="1" xfId="5" applyFont="1" applyBorder="1" applyAlignment="1">
      <alignment vertical="center" wrapText="1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0" fontId="0" fillId="11" borderId="1" xfId="0" applyFill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4" borderId="1" xfId="3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10" fontId="0" fillId="0" borderId="1" xfId="0" applyNumberFormat="1" applyBorder="1"/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1" fillId="9" borderId="1" xfId="8" applyNumberFormat="1" applyBorder="1" applyAlignment="1">
      <alignment vertical="center"/>
    </xf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1" fillId="10" borderId="1" xfId="9" applyNumberFormat="1" applyBorder="1" applyAlignment="1">
      <alignment vertical="center"/>
    </xf>
    <xf numFmtId="10" fontId="0" fillId="0" borderId="0" xfId="0" applyNumberFormat="1"/>
    <xf numFmtId="0" fontId="0" fillId="5" borderId="1" xfId="4" applyFont="1" applyBorder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0" fontId="15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0" fontId="16" fillId="4" borderId="1" xfId="3" applyFont="1" applyBorder="1" applyAlignment="1">
      <alignment horizontal="center" vertical="center"/>
    </xf>
    <xf numFmtId="0" fontId="17" fillId="3" borderId="1" xfId="2" applyFont="1" applyBorder="1" applyAlignment="1">
      <alignment horizontal="center" vertical="center"/>
    </xf>
    <xf numFmtId="0" fontId="14" fillId="9" borderId="1" xfId="8" applyFont="1" applyBorder="1" applyAlignment="1">
      <alignment horizontal="center" vertical="center"/>
    </xf>
    <xf numFmtId="0" fontId="18" fillId="2" borderId="1" xfId="1" applyFont="1" applyBorder="1" applyAlignment="1">
      <alignment horizontal="center" vertical="center"/>
    </xf>
    <xf numFmtId="0" fontId="14" fillId="7" borderId="1" xfId="6" applyFont="1" applyBorder="1" applyAlignment="1">
      <alignment horizontal="center" vertical="center"/>
    </xf>
    <xf numFmtId="0" fontId="14" fillId="5" borderId="1" xfId="4" applyFont="1" applyBorder="1" applyAlignment="1">
      <alignment horizontal="center" vertical="center"/>
    </xf>
    <xf numFmtId="0" fontId="14" fillId="6" borderId="1" xfId="5" applyFont="1" applyBorder="1" applyAlignment="1">
      <alignment horizontal="center" vertical="center"/>
    </xf>
    <xf numFmtId="0" fontId="14" fillId="8" borderId="1" xfId="7" applyFont="1" applyBorder="1" applyAlignment="1">
      <alignment horizontal="center" vertical="center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Sheet1!$F$2:$F$3</c:f>
              <c:strCache>
                <c:ptCount val="2"/>
                <c:pt idx="0">
                  <c:v>[l]</c:v>
                </c:pt>
                <c:pt idx="1">
                  <c:v>[ɻ]</c:v>
                </c:pt>
              </c:strCache>
            </c:strRef>
          </c:cat>
          <c:val>
            <c:numRef>
              <c:f>Sheet1!$G$2:$G$3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9-46F0-B3F5-87DFBEBCD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685216"/>
        <c:axId val="60667939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Sheet1!$F$2:$F$3</c:f>
              <c:strCache>
                <c:ptCount val="2"/>
                <c:pt idx="0">
                  <c:v>[l]</c:v>
                </c:pt>
                <c:pt idx="1">
                  <c:v>[ɻ]</c:v>
                </c:pt>
              </c:strCache>
            </c:strRef>
          </c:cat>
          <c:val>
            <c:numRef>
              <c:f>Sheet1!$H$2:$H$3</c:f>
              <c:numCache>
                <c:formatCode>0.00%</c:formatCode>
                <c:ptCount val="2"/>
                <c:pt idx="0">
                  <c:v>0.21739130434782608</c:v>
                </c:pt>
                <c:pt idx="1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09-46F0-B3F5-87DFBEBCD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018720"/>
        <c:axId val="666017888"/>
      </c:lineChart>
      <c:catAx>
        <c:axId val="60668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79392"/>
        <c:crosses val="autoZero"/>
        <c:auto val="1"/>
        <c:lblAlgn val="ctr"/>
        <c:lblOffset val="100"/>
        <c:noMultiLvlLbl val="0"/>
      </c:catAx>
      <c:valAx>
        <c:axId val="6066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85216"/>
        <c:crosses val="autoZero"/>
        <c:crossBetween val="between"/>
      </c:valAx>
      <c:valAx>
        <c:axId val="66601788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18720"/>
        <c:crosses val="max"/>
        <c:crossBetween val="between"/>
      </c:valAx>
      <c:catAx>
        <c:axId val="666018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601788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Sheet1!$F$5:$F$6</c:f>
              <c:strCache>
                <c:ptCount val="2"/>
                <c:pt idx="0">
                  <c:v>[z]</c:v>
                </c:pt>
                <c:pt idx="1">
                  <c:v>[ɻ]</c:v>
                </c:pt>
              </c:strCache>
            </c:strRef>
          </c:cat>
          <c:val>
            <c:numRef>
              <c:f>Sheet1!$G$5:$G$6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C-4E8F-AF9A-E8BCC52BB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319680"/>
        <c:axId val="67632384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Sheet1!$F$5:$F$6</c:f>
              <c:strCache>
                <c:ptCount val="2"/>
                <c:pt idx="0">
                  <c:v>[z]</c:v>
                </c:pt>
                <c:pt idx="1">
                  <c:v>[ɻ]</c:v>
                </c:pt>
              </c:strCache>
            </c:strRef>
          </c:cat>
          <c:val>
            <c:numRef>
              <c:f>Sheet1!$H$5:$H$6</c:f>
              <c:numCache>
                <c:formatCode>0.00%</c:formatCode>
                <c:ptCount val="2"/>
                <c:pt idx="0">
                  <c:v>3.9215686274509803E-2</c:v>
                </c:pt>
                <c:pt idx="1">
                  <c:v>1.9607843137254902E-2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C-4E8F-AF9A-E8BCC52BB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324672"/>
        <c:axId val="676322176"/>
      </c:lineChart>
      <c:catAx>
        <c:axId val="6763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23840"/>
        <c:crosses val="autoZero"/>
        <c:auto val="1"/>
        <c:lblAlgn val="ctr"/>
        <c:lblOffset val="100"/>
        <c:noMultiLvlLbl val="0"/>
      </c:catAx>
      <c:valAx>
        <c:axId val="6763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19680"/>
        <c:crosses val="autoZero"/>
        <c:crossBetween val="between"/>
      </c:valAx>
      <c:valAx>
        <c:axId val="67632217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24672"/>
        <c:crosses val="max"/>
        <c:crossBetween val="between"/>
      </c:valAx>
      <c:catAx>
        <c:axId val="676324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632217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C-4653-9D4B-BE49522614F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Sheet1!$F$8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Sheet1!$H$8</c:f>
              <c:numCache>
                <c:formatCode>0.00%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9C-4653-9D4B-BE4952261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659552"/>
        <c:axId val="604660800"/>
      </c:barChart>
      <c:catAx>
        <c:axId val="60465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60800"/>
        <c:crosses val="autoZero"/>
        <c:auto val="1"/>
        <c:lblAlgn val="ctr"/>
        <c:lblOffset val="100"/>
        <c:noMultiLvlLbl val="0"/>
      </c:catAx>
      <c:valAx>
        <c:axId val="6046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9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B-45EE-B2D0-A080ACC9804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Sheet1!$F$10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Sheet1!$H$10</c:f>
              <c:numCache>
                <c:formatCode>0.00%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B-45EE-B2D0-A080ACC98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848592"/>
        <c:axId val="671849424"/>
      </c:barChart>
      <c:catAx>
        <c:axId val="6718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49424"/>
        <c:crosses val="autoZero"/>
        <c:auto val="1"/>
        <c:lblAlgn val="ctr"/>
        <c:lblOffset val="100"/>
        <c:noMultiLvlLbl val="0"/>
      </c:catAx>
      <c:valAx>
        <c:axId val="67184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48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Sheet1!$F$14</c:f>
              <c:strCache>
                <c:ptCount val="1"/>
                <c:pt idx="0">
                  <c:v>[r]</c:v>
                </c:pt>
              </c:strCache>
            </c:strRef>
          </c:cat>
          <c:val>
            <c:numRef>
              <c:f>Sheet1!$G$14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A-4A6F-B335-FDF4B83237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Sheet1!$F$14</c:f>
              <c:strCache>
                <c:ptCount val="1"/>
                <c:pt idx="0">
                  <c:v>[r]</c:v>
                </c:pt>
              </c:strCache>
            </c:strRef>
          </c:cat>
          <c:val>
            <c:numRef>
              <c:f>Sheet1!$H$14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A-4A6F-B335-FDF4B8323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848176"/>
        <c:axId val="671851088"/>
      </c:barChart>
      <c:catAx>
        <c:axId val="67184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51088"/>
        <c:crosses val="autoZero"/>
        <c:auto val="1"/>
        <c:lblAlgn val="ctr"/>
        <c:lblOffset val="100"/>
        <c:noMultiLvlLbl val="0"/>
      </c:catAx>
      <c:valAx>
        <c:axId val="67185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48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Sheet1!$F$18:$F$19</c:f>
              <c:strCache>
                <c:ptCount val="2"/>
                <c:pt idx="0">
                  <c:v>[kʰ]</c:v>
                </c:pt>
                <c:pt idx="1">
                  <c:v>[t]</c:v>
                </c:pt>
              </c:strCache>
            </c:strRef>
          </c:cat>
          <c:val>
            <c:numRef>
              <c:f>Sheet1!$G$18:$G$19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B-43E1-BD48-459FA848A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52544"/>
        <c:axId val="66854963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Sheet1!$F$18:$F$19</c:f>
              <c:strCache>
                <c:ptCount val="2"/>
                <c:pt idx="0">
                  <c:v>[kʰ]</c:v>
                </c:pt>
                <c:pt idx="1">
                  <c:v>[t]</c:v>
                </c:pt>
              </c:strCache>
            </c:strRef>
          </c:cat>
          <c:val>
            <c:numRef>
              <c:f>Sheet1!$H$18:$H$19</c:f>
              <c:numCache>
                <c:formatCode>0.00%</c:formatCode>
                <c:ptCount val="2"/>
                <c:pt idx="0">
                  <c:v>0.44444444444444442</c:v>
                </c:pt>
                <c:pt idx="1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EB-43E1-BD48-459FA848A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552544"/>
        <c:axId val="668549632"/>
      </c:lineChart>
      <c:catAx>
        <c:axId val="6685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49632"/>
        <c:crosses val="autoZero"/>
        <c:auto val="1"/>
        <c:lblAlgn val="ctr"/>
        <c:lblOffset val="100"/>
        <c:noMultiLvlLbl val="0"/>
      </c:catAx>
      <c:valAx>
        <c:axId val="66854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52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Sheet1!$F$21</c:f>
              <c:strCache>
                <c:ptCount val="1"/>
                <c:pt idx="0">
                  <c:v>[d͡ʒ̥]</c:v>
                </c:pt>
              </c:strCache>
            </c:strRef>
          </c:cat>
          <c:val>
            <c:numRef>
              <c:f>Sheet1!$G$21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6-4064-A74B-0BFC97DA6C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Sheet1!$F$21</c:f>
              <c:strCache>
                <c:ptCount val="1"/>
                <c:pt idx="0">
                  <c:v>[d͡ʒ̥]</c:v>
                </c:pt>
              </c:strCache>
            </c:strRef>
          </c:cat>
          <c:val>
            <c:numRef>
              <c:f>Sheet1!$H$21</c:f>
              <c:numCache>
                <c:formatCode>0.00%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B6-4064-A74B-0BFC97DA6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50880"/>
        <c:axId val="668548384"/>
      </c:barChart>
      <c:catAx>
        <c:axId val="6685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48384"/>
        <c:crosses val="autoZero"/>
        <c:auto val="1"/>
        <c:lblAlgn val="ctr"/>
        <c:lblOffset val="100"/>
        <c:noMultiLvlLbl val="0"/>
      </c:catAx>
      <c:valAx>
        <c:axId val="6685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50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Sheet1!$F$23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Sheet1!$G$23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A-486B-BBE3-53EC7375644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Sheet1!$F$23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Sheet1!$H$23</c:f>
              <c:numCache>
                <c:formatCode>0.00%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A-486B-BBE3-53EC73756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47552"/>
        <c:axId val="668553376"/>
      </c:barChart>
      <c:catAx>
        <c:axId val="66854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53376"/>
        <c:crosses val="autoZero"/>
        <c:auto val="1"/>
        <c:lblAlgn val="ctr"/>
        <c:lblOffset val="100"/>
        <c:noMultiLvlLbl val="0"/>
      </c:catAx>
      <c:valAx>
        <c:axId val="66855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47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Sheet1!$F$29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Sheet1!$G$29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A-465C-A3AA-AAEAD602D49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Sheet1!$F$29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Sheet1!$H$29</c:f>
              <c:numCache>
                <c:formatCode>0.00%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A-465C-A3AA-AAEAD602D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321344"/>
        <c:axId val="676325504"/>
      </c:barChart>
      <c:catAx>
        <c:axId val="6763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25504"/>
        <c:crosses val="autoZero"/>
        <c:auto val="1"/>
        <c:lblAlgn val="ctr"/>
        <c:lblOffset val="100"/>
        <c:noMultiLvlLbl val="0"/>
      </c:catAx>
      <c:valAx>
        <c:axId val="67632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21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Sheet1!$F$31:$F$32</c:f>
              <c:strCache>
                <c:ptCount val="2"/>
                <c:pt idx="0">
                  <c:v>[ʔ]</c:v>
                </c:pt>
                <c:pt idx="1">
                  <c:v>[j]</c:v>
                </c:pt>
              </c:strCache>
            </c:strRef>
          </c:cat>
          <c:val>
            <c:numRef>
              <c:f>Sheet1!$G$31:$G$32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5-4ABB-8DCA-6A07ECB75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736400"/>
        <c:axId val="81673348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Sheet1!$F$31:$F$32</c:f>
              <c:strCache>
                <c:ptCount val="2"/>
                <c:pt idx="0">
                  <c:v>[ʔ]</c:v>
                </c:pt>
                <c:pt idx="1">
                  <c:v>[j]</c:v>
                </c:pt>
              </c:strCache>
            </c:strRef>
          </c:cat>
          <c:val>
            <c:numRef>
              <c:f>Sheet1!$H$31:$H$32</c:f>
              <c:numCache>
                <c:formatCode>0.00%</c:formatCode>
                <c:ptCount val="2"/>
                <c:pt idx="0">
                  <c:v>0.14285714285714285</c:v>
                </c:pt>
                <c:pt idx="1">
                  <c:v>4.7619047619047616E-2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A5-4ABB-8DCA-6A07ECB75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938080"/>
        <c:axId val="816725584"/>
      </c:lineChart>
      <c:catAx>
        <c:axId val="81673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33488"/>
        <c:crosses val="autoZero"/>
        <c:auto val="1"/>
        <c:lblAlgn val="ctr"/>
        <c:lblOffset val="100"/>
        <c:noMultiLvlLbl val="0"/>
      </c:catAx>
      <c:valAx>
        <c:axId val="81673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36400"/>
        <c:crosses val="autoZero"/>
        <c:crossBetween val="between"/>
      </c:valAx>
      <c:valAx>
        <c:axId val="8167255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38080"/>
        <c:crosses val="max"/>
        <c:crossBetween val="between"/>
      </c:valAx>
      <c:catAx>
        <c:axId val="608938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67255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Sheet1!$F$34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Sheet1!$G$34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0-4682-9F59-1F9FF87B70B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Sheet1!$F$34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Sheet1!$H$34</c:f>
              <c:numCache>
                <c:formatCode>0.00%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0-4682-9F59-1F9FF87B7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46720"/>
        <c:axId val="668547136"/>
      </c:barChart>
      <c:catAx>
        <c:axId val="66854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47136"/>
        <c:crosses val="autoZero"/>
        <c:auto val="1"/>
        <c:lblAlgn val="ctr"/>
        <c:lblOffset val="100"/>
        <c:noMultiLvlLbl val="0"/>
      </c:catAx>
      <c:valAx>
        <c:axId val="66854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467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Sheet1!$F$36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Sheet1!$G$36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2-4A2D-8963-2C75CAF497D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Sheet1!$F$36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Sheet1!$H$36</c:f>
              <c:numCache>
                <c:formatCode>0.00%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92-4A2D-8963-2C75CAF49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52960"/>
        <c:axId val="668558784"/>
      </c:barChart>
      <c:catAx>
        <c:axId val="6685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58784"/>
        <c:crosses val="autoZero"/>
        <c:auto val="1"/>
        <c:lblAlgn val="ctr"/>
        <c:lblOffset val="100"/>
        <c:noMultiLvlLbl val="0"/>
      </c:catAx>
      <c:valAx>
        <c:axId val="6685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52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Sheet1!$F$38:$F$39</c:f>
              <c:strCache>
                <c:ptCount val="2"/>
                <c:pt idx="0">
                  <c:v>[j]</c:v>
                </c:pt>
                <c:pt idx="1">
                  <c:v>[ʕ]</c:v>
                </c:pt>
              </c:strCache>
            </c:strRef>
          </c:cat>
          <c:val>
            <c:numRef>
              <c:f>Sheet1!$G$38:$G$39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C-4F8B-B0BA-50F4BA533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014144"/>
        <c:axId val="66602121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Sheet1!$F$38:$F$39</c:f>
              <c:strCache>
                <c:ptCount val="2"/>
                <c:pt idx="0">
                  <c:v>[j]</c:v>
                </c:pt>
                <c:pt idx="1">
                  <c:v>[ʕ]</c:v>
                </c:pt>
              </c:strCache>
            </c:strRef>
          </c:cat>
          <c:val>
            <c:numRef>
              <c:f>Sheet1!$H$38:$H$39</c:f>
              <c:numCache>
                <c:formatCode>0.00%</c:formatCode>
                <c:ptCount val="2"/>
                <c:pt idx="0">
                  <c:v>1.5625E-2</c:v>
                </c:pt>
                <c:pt idx="1">
                  <c:v>1.5625E-2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C-4F8B-B0BA-50F4BA533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016640"/>
        <c:axId val="666015392"/>
      </c:lineChart>
      <c:catAx>
        <c:axId val="6660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21216"/>
        <c:crosses val="autoZero"/>
        <c:auto val="1"/>
        <c:lblAlgn val="ctr"/>
        <c:lblOffset val="100"/>
        <c:noMultiLvlLbl val="0"/>
      </c:catAx>
      <c:valAx>
        <c:axId val="66602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14144"/>
        <c:crosses val="autoZero"/>
        <c:crossBetween val="between"/>
      </c:valAx>
      <c:valAx>
        <c:axId val="6660153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16640"/>
        <c:crosses val="max"/>
        <c:crossBetween val="between"/>
      </c:valAx>
      <c:catAx>
        <c:axId val="666016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60153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Sheet1!$F$49:$F$50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Sheet1!$G$49:$G$50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D-4BD7-85C7-472F74A80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658720"/>
        <c:axId val="60465913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Sheet1!$F$49:$F$50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Sheet1!$H$49:$H$50</c:f>
              <c:numCache>
                <c:formatCode>0.00%</c:formatCode>
                <c:ptCount val="2"/>
                <c:pt idx="0">
                  <c:v>0.10714285714285714</c:v>
                </c:pt>
                <c:pt idx="1">
                  <c:v>3.5714285714285712E-2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D-4BD7-85C7-472F74A80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018304"/>
        <c:axId val="604660384"/>
      </c:lineChart>
      <c:catAx>
        <c:axId val="60465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9136"/>
        <c:crosses val="autoZero"/>
        <c:auto val="1"/>
        <c:lblAlgn val="ctr"/>
        <c:lblOffset val="100"/>
        <c:noMultiLvlLbl val="0"/>
      </c:catAx>
      <c:valAx>
        <c:axId val="60465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8720"/>
        <c:crosses val="autoZero"/>
        <c:crossBetween val="between"/>
      </c:valAx>
      <c:valAx>
        <c:axId val="6046603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18304"/>
        <c:crosses val="max"/>
        <c:crossBetween val="between"/>
      </c:valAx>
      <c:catAx>
        <c:axId val="666018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46603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Sheet1!$F$52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Sheet1!$G$52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8-4480-9068-1C45D620860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Sheet1!$F$52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Sheet1!$H$52</c:f>
              <c:numCache>
                <c:formatCode>0.00%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8-4480-9068-1C45D6208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729744"/>
        <c:axId val="816730576"/>
      </c:barChart>
      <c:catAx>
        <c:axId val="81672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30576"/>
        <c:crosses val="autoZero"/>
        <c:auto val="1"/>
        <c:lblAlgn val="ctr"/>
        <c:lblOffset val="100"/>
        <c:noMultiLvlLbl val="0"/>
      </c:catAx>
      <c:valAx>
        <c:axId val="8167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29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Sheet1!$F$54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Sheet1!$G$54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6-45E4-973E-301192F4037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Sheet1!$F$54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Sheet1!$H$54</c:f>
              <c:numCache>
                <c:formatCode>0.00%</c:formatCode>
                <c:ptCount val="1"/>
                <c:pt idx="0">
                  <c:v>0.56521739130434778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6-45E4-973E-301192F40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738064"/>
        <c:axId val="816726000"/>
      </c:barChart>
      <c:catAx>
        <c:axId val="81673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26000"/>
        <c:crosses val="autoZero"/>
        <c:auto val="1"/>
        <c:lblAlgn val="ctr"/>
        <c:lblOffset val="100"/>
        <c:noMultiLvlLbl val="0"/>
      </c:catAx>
      <c:valAx>
        <c:axId val="81672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38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Sheet1!$F$56:$F$59</c:f>
              <c:strCache>
                <c:ptCount val="4"/>
                <c:pt idx="0">
                  <c:v>[t]</c:v>
                </c:pt>
                <c:pt idx="1">
                  <c:v>[tʰ]</c:v>
                </c:pt>
                <c:pt idx="2">
                  <c:v>[d̥]</c:v>
                </c:pt>
                <c:pt idx="3">
                  <c:v>[-]</c:v>
                </c:pt>
              </c:strCache>
            </c:strRef>
          </c:cat>
          <c:val>
            <c:numRef>
              <c:f>Sheet1!$G$56:$G$59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0-456E-ADE3-48FA8E7E6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320096"/>
        <c:axId val="67632342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Sheet1!$F$56:$F$59</c:f>
              <c:strCache>
                <c:ptCount val="4"/>
                <c:pt idx="0">
                  <c:v>[t]</c:v>
                </c:pt>
                <c:pt idx="1">
                  <c:v>[tʰ]</c:v>
                </c:pt>
                <c:pt idx="2">
                  <c:v>[d̥]</c:v>
                </c:pt>
                <c:pt idx="3">
                  <c:v>[-]</c:v>
                </c:pt>
              </c:strCache>
            </c:strRef>
          </c:cat>
          <c:val>
            <c:numRef>
              <c:f>Sheet1!$H$56:$H$59</c:f>
              <c:numCache>
                <c:formatCode>0.00%</c:formatCode>
                <c:ptCount val="4"/>
                <c:pt idx="0">
                  <c:v>0.33333333333333331</c:v>
                </c:pt>
                <c:pt idx="1">
                  <c:v>0.16666666666666666</c:v>
                </c:pt>
                <c:pt idx="2">
                  <c:v>8.3333333333333329E-2</c:v>
                </c:pt>
                <c:pt idx="3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40-456E-ADE3-48FA8E7E6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014560"/>
        <c:axId val="666020384"/>
      </c:lineChart>
      <c:catAx>
        <c:axId val="67632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23424"/>
        <c:crosses val="autoZero"/>
        <c:auto val="1"/>
        <c:lblAlgn val="ctr"/>
        <c:lblOffset val="100"/>
        <c:noMultiLvlLbl val="0"/>
      </c:catAx>
      <c:valAx>
        <c:axId val="67632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20096"/>
        <c:crosses val="autoZero"/>
        <c:crossBetween val="between"/>
      </c:valAx>
      <c:valAx>
        <c:axId val="6660203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14560"/>
        <c:crosses val="max"/>
        <c:crossBetween val="between"/>
      </c:valAx>
      <c:catAx>
        <c:axId val="666014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60203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[dˤ]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Sheet1!$F$61:$F$62</c:f>
              <c:strCache>
                <c:ptCount val="2"/>
                <c:pt idx="0">
                  <c:v>[tˤ]</c:v>
                </c:pt>
                <c:pt idx="1">
                  <c:v>[t]</c:v>
                </c:pt>
              </c:strCache>
            </c:strRef>
          </c:cat>
          <c:val>
            <c:numRef>
              <c:f>Sheet1!$G$61:$G$62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F-489A-B740-138D141C4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2280160"/>
        <c:axId val="81227724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Sheet1!$F$61:$F$62</c:f>
              <c:strCache>
                <c:ptCount val="2"/>
                <c:pt idx="0">
                  <c:v>[tˤ]</c:v>
                </c:pt>
                <c:pt idx="1">
                  <c:v>[t]</c:v>
                </c:pt>
              </c:strCache>
            </c:strRef>
          </c:cat>
          <c:val>
            <c:numRef>
              <c:f>Sheet1!$H$61:$H$62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AF-489A-B740-138D141C4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280160"/>
        <c:axId val="812277248"/>
      </c:lineChart>
      <c:catAx>
        <c:axId val="8122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277248"/>
        <c:crosses val="autoZero"/>
        <c:auto val="1"/>
        <c:lblAlgn val="ctr"/>
        <c:lblOffset val="100"/>
        <c:noMultiLvlLbl val="0"/>
      </c:catAx>
      <c:valAx>
        <c:axId val="8122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280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[j]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Sheet1!$F$66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Sheet1!$G$66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5-4321-A8C7-757A87B88A9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Sheet1!$F$66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Sheet1!$H$66</c:f>
              <c:numCache>
                <c:formatCode>0.00%</c:formatCode>
                <c:ptCount val="1"/>
                <c:pt idx="0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5-4321-A8C7-757A87B88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57120"/>
        <c:axId val="668558368"/>
      </c:barChart>
      <c:catAx>
        <c:axId val="6685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58368"/>
        <c:crosses val="autoZero"/>
        <c:auto val="1"/>
        <c:lblAlgn val="ctr"/>
        <c:lblOffset val="100"/>
        <c:noMultiLvlLbl val="0"/>
      </c:catAx>
      <c:valAx>
        <c:axId val="6685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571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Sheet2!$C$2:$C$9</c:f>
              <c:strCache>
                <c:ptCount val="8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Glottalization(insertion of  [ʔ] phone)</c:v>
                </c:pt>
                <c:pt idx="4">
                  <c:v>Reduplication</c:v>
                </c:pt>
                <c:pt idx="5">
                  <c:v>germination</c:v>
                </c:pt>
                <c:pt idx="6">
                  <c:v>Metathesis</c:v>
                </c:pt>
                <c:pt idx="7">
                  <c:v>Vowel  nasalization</c:v>
                </c:pt>
              </c:strCache>
            </c:strRef>
          </c:cat>
          <c:val>
            <c:numRef>
              <c:f>Sheet2!$D$2:$D$9</c:f>
              <c:numCache>
                <c:formatCode>General</c:formatCode>
                <c:ptCount val="8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7-4999-95C9-1EB70E017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936416"/>
        <c:axId val="60893683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E7-4999-95C9-1EB70E0176C4}"/>
              </c:ext>
            </c:extLst>
          </c:dPt>
          <c:cat>
            <c:strRef>
              <c:f>Sheet2!$C$2:$C$9</c:f>
              <c:strCache>
                <c:ptCount val="8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Glottalization(insertion of  [ʔ] phone)</c:v>
                </c:pt>
                <c:pt idx="4">
                  <c:v>Reduplication</c:v>
                </c:pt>
                <c:pt idx="5">
                  <c:v>germination</c:v>
                </c:pt>
                <c:pt idx="6">
                  <c:v>Metathesis</c:v>
                </c:pt>
                <c:pt idx="7">
                  <c:v>Vowel  nasalization</c:v>
                </c:pt>
              </c:strCache>
            </c:strRef>
          </c:cat>
          <c:val>
            <c:numRef>
              <c:f>Sheet2!$E$2:$E$9</c:f>
              <c:numCache>
                <c:formatCode>0.00%</c:formatCode>
                <c:ptCount val="8"/>
                <c:pt idx="0">
                  <c:v>0.47368421052631576</c:v>
                </c:pt>
                <c:pt idx="1">
                  <c:v>7.6923076923076927E-2</c:v>
                </c:pt>
                <c:pt idx="2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E7-4999-95C9-1EB70E017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554624"/>
        <c:axId val="668554208"/>
      </c:lineChart>
      <c:catAx>
        <c:axId val="60893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36832"/>
        <c:crosses val="autoZero"/>
        <c:auto val="1"/>
        <c:lblAlgn val="ctr"/>
        <c:lblOffset val="100"/>
        <c:noMultiLvlLbl val="0"/>
      </c:catAx>
      <c:valAx>
        <c:axId val="60893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36416"/>
        <c:crosses val="autoZero"/>
        <c:crossBetween val="between"/>
      </c:valAx>
      <c:valAx>
        <c:axId val="668554208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668554624"/>
        <c:crosses val="max"/>
        <c:crossBetween val="between"/>
      </c:valAx>
      <c:catAx>
        <c:axId val="668554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85542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</a:t>
            </a:r>
            <a:r>
              <a:rPr lang="en-US" baseline="0"/>
              <a:t> structure processes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Sheet3!$C$2:$C$11</c:f>
              <c:strCache>
                <c:ptCount val="10"/>
                <c:pt idx="0">
                  <c:v>consonant insertion of  [h] phone in final position</c:v>
                </c:pt>
                <c:pt idx="1">
                  <c:v>colloquial Arabic word</c:v>
                </c:pt>
                <c:pt idx="2">
                  <c:v>Definite Article deletion</c:v>
                </c:pt>
                <c:pt idx="3">
                  <c:v>replace the Modern Standard Arabic consonant [θ]with the colloquial arabic consonant [s]</c:v>
                </c:pt>
                <c:pt idx="4">
                  <c:v>Deletion of feminine marker</c:v>
                </c:pt>
                <c:pt idx="5">
                  <c:v>insertion of  Definite Article to the following word</c:v>
                </c:pt>
                <c:pt idx="6">
                  <c:v>insertion of  Definite Article</c:v>
                </c:pt>
                <c:pt idx="7">
                  <c:v>replace the Modern Standard Arabic diphthong [æw]with the colloquial arabic vowel[o:]</c:v>
                </c:pt>
                <c:pt idx="8">
                  <c:v>replace the Modern Standard Arabic consonant [ð]with the colloquial arabic consonant [z]</c:v>
                </c:pt>
                <c:pt idx="9">
                  <c:v>replace the Modern Standard Arabic consonant [ð]with the colloquial arabic consonant [d]</c:v>
                </c:pt>
              </c:strCache>
            </c:strRef>
          </c:cat>
          <c:val>
            <c:numRef>
              <c:f>Sheet3!$D$2:$D$11</c:f>
              <c:numCache>
                <c:formatCode>General</c:formatCode>
                <c:ptCount val="10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2-48B5-8817-BF0ABB4D1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941408"/>
        <c:axId val="60894224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Sheet3!$C$2:$C$11</c:f>
              <c:strCache>
                <c:ptCount val="10"/>
                <c:pt idx="0">
                  <c:v>consonant insertion of  [h] phone in final position</c:v>
                </c:pt>
                <c:pt idx="1">
                  <c:v>colloquial Arabic word</c:v>
                </c:pt>
                <c:pt idx="2">
                  <c:v>Definite Article deletion</c:v>
                </c:pt>
                <c:pt idx="3">
                  <c:v>replace the Modern Standard Arabic consonant [θ]with the colloquial arabic consonant [s]</c:v>
                </c:pt>
                <c:pt idx="4">
                  <c:v>Deletion of feminine marker</c:v>
                </c:pt>
                <c:pt idx="5">
                  <c:v>insertion of  Definite Article to the following word</c:v>
                </c:pt>
                <c:pt idx="6">
                  <c:v>insertion of  Definite Article</c:v>
                </c:pt>
                <c:pt idx="7">
                  <c:v>replace the Modern Standard Arabic diphthong [æw]with the colloquial arabic vowel[o:]</c:v>
                </c:pt>
                <c:pt idx="8">
                  <c:v>replace the Modern Standard Arabic consonant [ð]with the colloquial arabic consonant [z]</c:v>
                </c:pt>
                <c:pt idx="9">
                  <c:v>replace the Modern Standard Arabic consonant [ð]with the colloquial arabic consonant [d]</c:v>
                </c:pt>
              </c:strCache>
            </c:strRef>
          </c:cat>
          <c:val>
            <c:numRef>
              <c:f>Sheet3!$E$2:$E$11</c:f>
              <c:numCache>
                <c:formatCode>0.00%</c:formatCode>
                <c:ptCount val="10"/>
                <c:pt idx="2">
                  <c:v>0.23809523809523808</c:v>
                </c:pt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62-48B5-8817-BF0ABB4D1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935584"/>
        <c:axId val="608943072"/>
      </c:lineChart>
      <c:catAx>
        <c:axId val="60894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42240"/>
        <c:crosses val="autoZero"/>
        <c:auto val="1"/>
        <c:lblAlgn val="ctr"/>
        <c:lblOffset val="100"/>
        <c:noMultiLvlLbl val="0"/>
      </c:catAx>
      <c:valAx>
        <c:axId val="6089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41408"/>
        <c:crosses val="autoZero"/>
        <c:crossBetween val="between"/>
      </c:valAx>
      <c:valAx>
        <c:axId val="608943072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608935584"/>
        <c:crosses val="max"/>
        <c:crossBetween val="between"/>
      </c:valAx>
      <c:catAx>
        <c:axId val="608935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894307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1</xdr:row>
      <xdr:rowOff>3810</xdr:rowOff>
    </xdr:from>
    <xdr:to>
      <xdr:col>15</xdr:col>
      <xdr:colOff>335280</xdr:colOff>
      <xdr:row>2</xdr:row>
      <xdr:rowOff>1211580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4</xdr:row>
      <xdr:rowOff>68580</xdr:rowOff>
    </xdr:from>
    <xdr:to>
      <xdr:col>15</xdr:col>
      <xdr:colOff>381000</xdr:colOff>
      <xdr:row>5</xdr:row>
      <xdr:rowOff>960120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144780</xdr:colOff>
      <xdr:row>7</xdr:row>
      <xdr:rowOff>64770</xdr:rowOff>
    </xdr:from>
    <xdr:to>
      <xdr:col>15</xdr:col>
      <xdr:colOff>449580</xdr:colOff>
      <xdr:row>7</xdr:row>
      <xdr:rowOff>2270760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114300</xdr:colOff>
      <xdr:row>9</xdr:row>
      <xdr:rowOff>60960</xdr:rowOff>
    </xdr:from>
    <xdr:to>
      <xdr:col>15</xdr:col>
      <xdr:colOff>419100</xdr:colOff>
      <xdr:row>9</xdr:row>
      <xdr:rowOff>2476500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198120</xdr:colOff>
      <xdr:row>13</xdr:row>
      <xdr:rowOff>68580</xdr:rowOff>
    </xdr:from>
    <xdr:to>
      <xdr:col>15</xdr:col>
      <xdr:colOff>502920</xdr:colOff>
      <xdr:row>13</xdr:row>
      <xdr:rowOff>1943100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106680</xdr:colOff>
      <xdr:row>17</xdr:row>
      <xdr:rowOff>60960</xdr:rowOff>
    </xdr:from>
    <xdr:to>
      <xdr:col>15</xdr:col>
      <xdr:colOff>411480</xdr:colOff>
      <xdr:row>18</xdr:row>
      <xdr:rowOff>1036320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129540</xdr:colOff>
      <xdr:row>20</xdr:row>
      <xdr:rowOff>114300</xdr:rowOff>
    </xdr:from>
    <xdr:to>
      <xdr:col>15</xdr:col>
      <xdr:colOff>434340</xdr:colOff>
      <xdr:row>20</xdr:row>
      <xdr:rowOff>2065020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121920</xdr:colOff>
      <xdr:row>22</xdr:row>
      <xdr:rowOff>83820</xdr:rowOff>
    </xdr:from>
    <xdr:to>
      <xdr:col>15</xdr:col>
      <xdr:colOff>426720</xdr:colOff>
      <xdr:row>22</xdr:row>
      <xdr:rowOff>1958340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152400</xdr:colOff>
      <xdr:row>28</xdr:row>
      <xdr:rowOff>19050</xdr:rowOff>
    </xdr:from>
    <xdr:to>
      <xdr:col>15</xdr:col>
      <xdr:colOff>457200</xdr:colOff>
      <xdr:row>28</xdr:row>
      <xdr:rowOff>1912620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167640</xdr:colOff>
      <xdr:row>30</xdr:row>
      <xdr:rowOff>53340</xdr:rowOff>
    </xdr:from>
    <xdr:to>
      <xdr:col>15</xdr:col>
      <xdr:colOff>472440</xdr:colOff>
      <xdr:row>31</xdr:row>
      <xdr:rowOff>937260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182880</xdr:colOff>
      <xdr:row>33</xdr:row>
      <xdr:rowOff>60960</xdr:rowOff>
    </xdr:from>
    <xdr:to>
      <xdr:col>15</xdr:col>
      <xdr:colOff>487680</xdr:colOff>
      <xdr:row>33</xdr:row>
      <xdr:rowOff>2118360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167640</xdr:colOff>
      <xdr:row>35</xdr:row>
      <xdr:rowOff>34290</xdr:rowOff>
    </xdr:from>
    <xdr:to>
      <xdr:col>15</xdr:col>
      <xdr:colOff>472440</xdr:colOff>
      <xdr:row>35</xdr:row>
      <xdr:rowOff>2042160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182880</xdr:colOff>
      <xdr:row>37</xdr:row>
      <xdr:rowOff>11430</xdr:rowOff>
    </xdr:from>
    <xdr:to>
      <xdr:col>15</xdr:col>
      <xdr:colOff>487680</xdr:colOff>
      <xdr:row>38</xdr:row>
      <xdr:rowOff>952500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99060</xdr:colOff>
      <xdr:row>48</xdr:row>
      <xdr:rowOff>45720</xdr:rowOff>
    </xdr:from>
    <xdr:to>
      <xdr:col>15</xdr:col>
      <xdr:colOff>403860</xdr:colOff>
      <xdr:row>49</xdr:row>
      <xdr:rowOff>891540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68580</xdr:colOff>
      <xdr:row>51</xdr:row>
      <xdr:rowOff>99060</xdr:rowOff>
    </xdr:from>
    <xdr:to>
      <xdr:col>15</xdr:col>
      <xdr:colOff>373380</xdr:colOff>
      <xdr:row>51</xdr:row>
      <xdr:rowOff>1920240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91440</xdr:colOff>
      <xdr:row>53</xdr:row>
      <xdr:rowOff>60960</xdr:rowOff>
    </xdr:from>
    <xdr:to>
      <xdr:col>15</xdr:col>
      <xdr:colOff>396240</xdr:colOff>
      <xdr:row>53</xdr:row>
      <xdr:rowOff>1943100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99060</xdr:colOff>
      <xdr:row>55</xdr:row>
      <xdr:rowOff>106680</xdr:rowOff>
    </xdr:from>
    <xdr:to>
      <xdr:col>15</xdr:col>
      <xdr:colOff>403860</xdr:colOff>
      <xdr:row>58</xdr:row>
      <xdr:rowOff>853440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68580</xdr:colOff>
      <xdr:row>60</xdr:row>
      <xdr:rowOff>57150</xdr:rowOff>
    </xdr:from>
    <xdr:to>
      <xdr:col>15</xdr:col>
      <xdr:colOff>373380</xdr:colOff>
      <xdr:row>61</xdr:row>
      <xdr:rowOff>1375410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60960</xdr:colOff>
      <xdr:row>65</xdr:row>
      <xdr:rowOff>76200</xdr:rowOff>
    </xdr:from>
    <xdr:to>
      <xdr:col>15</xdr:col>
      <xdr:colOff>365760</xdr:colOff>
      <xdr:row>65</xdr:row>
      <xdr:rowOff>2186940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0</xdr:row>
      <xdr:rowOff>11430</xdr:rowOff>
    </xdr:from>
    <xdr:to>
      <xdr:col>14</xdr:col>
      <xdr:colOff>335280</xdr:colOff>
      <xdr:row>14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0</xdr:row>
      <xdr:rowOff>68580</xdr:rowOff>
    </xdr:from>
    <xdr:to>
      <xdr:col>16</xdr:col>
      <xdr:colOff>480060</xdr:colOff>
      <xdr:row>10</xdr:row>
      <xdr:rowOff>350520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8"/>
  <sheetViews>
    <sheetView tabSelected="1" zoomScaleNormal="100" workbookViewId="0">
      <selection activeCell="F68" sqref="F68"/>
    </sheetView>
  </sheetViews>
  <sheetFormatPr defaultRowHeight="79.95" customHeight="1" outlineLevelRow="2" x14ac:dyDescent="0.3"/>
  <cols>
    <col min="2" max="2" width="11.21875" customWidth="1"/>
    <col min="3" max="4" width="10.33203125" customWidth="1"/>
    <col min="5" max="5" width="36.21875" style="1" customWidth="1"/>
    <col min="6" max="7" width="6.21875" customWidth="1"/>
    <col min="8" max="8" width="10.109375" style="66" customWidth="1"/>
  </cols>
  <sheetData>
    <row r="1" spans="2:8" s="84" customFormat="1" ht="36.6" customHeight="1" thickTop="1" thickBot="1" x14ac:dyDescent="0.45">
      <c r="B1" s="81" t="s">
        <v>126</v>
      </c>
      <c r="C1" s="81" t="s">
        <v>127</v>
      </c>
      <c r="D1" s="81" t="s">
        <v>128</v>
      </c>
      <c r="E1" s="82" t="s">
        <v>129</v>
      </c>
      <c r="F1" s="82" t="s">
        <v>130</v>
      </c>
      <c r="G1" s="82" t="s">
        <v>131</v>
      </c>
      <c r="H1" s="83" t="s">
        <v>125</v>
      </c>
    </row>
    <row r="2" spans="2:8" ht="85.8" customHeight="1" outlineLevel="2" thickTop="1" thickBot="1" x14ac:dyDescent="0.35">
      <c r="B2" s="77" t="s">
        <v>66</v>
      </c>
      <c r="C2" s="76">
        <v>23</v>
      </c>
      <c r="D2" s="76" t="s">
        <v>64</v>
      </c>
      <c r="E2" s="4" t="s">
        <v>98</v>
      </c>
      <c r="F2" s="5" t="s">
        <v>104</v>
      </c>
      <c r="G2" s="5">
        <v>5</v>
      </c>
      <c r="H2" s="56">
        <f>G2/23</f>
        <v>0.21739130434782608</v>
      </c>
    </row>
    <row r="3" spans="2:8" ht="100.2" customHeight="1" outlineLevel="2" thickTop="1" thickBot="1" x14ac:dyDescent="0.35">
      <c r="B3" s="77"/>
      <c r="C3" s="76"/>
      <c r="D3" s="76"/>
      <c r="E3" s="6" t="s">
        <v>7</v>
      </c>
      <c r="F3" s="5" t="s">
        <v>105</v>
      </c>
      <c r="G3" s="5">
        <v>2</v>
      </c>
      <c r="H3" s="56">
        <f>G3/23</f>
        <v>8.6956521739130432E-2</v>
      </c>
    </row>
    <row r="4" spans="2:8" ht="25.8" customHeight="1" outlineLevel="1" thickTop="1" thickBot="1" x14ac:dyDescent="0.35">
      <c r="B4" s="85" t="s">
        <v>132</v>
      </c>
      <c r="C4" s="50">
        <f>SUBTOTAL(9,C2:C3)</f>
        <v>23</v>
      </c>
      <c r="D4" s="50"/>
      <c r="E4" s="6"/>
      <c r="F4" s="5"/>
      <c r="G4" s="5">
        <f>SUBTOTAL(9,G2:G3)</f>
        <v>7</v>
      </c>
      <c r="H4" s="56">
        <f>SUBTOTAL(9,H2:H3)</f>
        <v>0.30434782608695654</v>
      </c>
    </row>
    <row r="5" spans="2:8" ht="95.4" customHeight="1" outlineLevel="2" thickTop="1" thickBot="1" x14ac:dyDescent="0.35">
      <c r="B5" s="70" t="s">
        <v>67</v>
      </c>
      <c r="C5" s="71">
        <v>51</v>
      </c>
      <c r="D5" s="71" t="s">
        <v>65</v>
      </c>
      <c r="E5" s="7" t="s">
        <v>19</v>
      </c>
      <c r="F5" s="8" t="s">
        <v>106</v>
      </c>
      <c r="G5" s="8">
        <v>2</v>
      </c>
      <c r="H5" s="57">
        <f>G5/51</f>
        <v>3.9215686274509803E-2</v>
      </c>
    </row>
    <row r="6" spans="2:8" ht="79.95" customHeight="1" outlineLevel="2" thickTop="1" thickBot="1" x14ac:dyDescent="0.35">
      <c r="B6" s="70"/>
      <c r="C6" s="71"/>
      <c r="D6" s="71"/>
      <c r="E6" s="7" t="s">
        <v>8</v>
      </c>
      <c r="F6" s="8" t="s">
        <v>105</v>
      </c>
      <c r="G6" s="8">
        <v>1</v>
      </c>
      <c r="H6" s="57">
        <f>G6/51</f>
        <v>1.9607843137254902E-2</v>
      </c>
    </row>
    <row r="7" spans="2:8" ht="31.2" customHeight="1" outlineLevel="1" thickTop="1" thickBot="1" x14ac:dyDescent="0.35">
      <c r="B7" s="86" t="s">
        <v>133</v>
      </c>
      <c r="C7" s="51">
        <f>SUBTOTAL(9,C5:C6)</f>
        <v>51</v>
      </c>
      <c r="D7" s="51"/>
      <c r="E7" s="7"/>
      <c r="F7" s="8"/>
      <c r="G7" s="8">
        <f>SUBTOTAL(9,G5:G6)</f>
        <v>3</v>
      </c>
      <c r="H7" s="57">
        <f>SUBTOTAL(9,H5:H6)</f>
        <v>5.8823529411764705E-2</v>
      </c>
    </row>
    <row r="8" spans="2:8" ht="184.8" customHeight="1" outlineLevel="2" thickTop="1" thickBot="1" x14ac:dyDescent="0.35">
      <c r="B8" s="9" t="s">
        <v>68</v>
      </c>
      <c r="C8" s="10">
        <v>4</v>
      </c>
      <c r="D8" s="10" t="s">
        <v>39</v>
      </c>
      <c r="E8" s="11" t="s">
        <v>94</v>
      </c>
      <c r="F8" s="12" t="s">
        <v>107</v>
      </c>
      <c r="G8" s="12">
        <v>1</v>
      </c>
      <c r="H8" s="58">
        <f>G8/C8</f>
        <v>0.25</v>
      </c>
    </row>
    <row r="9" spans="2:8" ht="25.2" customHeight="1" outlineLevel="1" thickTop="1" thickBot="1" x14ac:dyDescent="0.35">
      <c r="B9" s="87" t="s">
        <v>134</v>
      </c>
      <c r="C9" s="10">
        <f>SUBTOTAL(9,C8:C8)</f>
        <v>4</v>
      </c>
      <c r="D9" s="10"/>
      <c r="E9" s="11"/>
      <c r="F9" s="12"/>
      <c r="G9" s="12">
        <f>SUBTOTAL(9,G8:G8)</f>
        <v>1</v>
      </c>
      <c r="H9" s="58">
        <f>SUBTOTAL(9,H8:H8)</f>
        <v>0.25</v>
      </c>
    </row>
    <row r="10" spans="2:8" ht="200.4" customHeight="1" outlineLevel="2" thickTop="1" thickBot="1" x14ac:dyDescent="0.35">
      <c r="B10" s="13" t="s">
        <v>69</v>
      </c>
      <c r="C10" s="14">
        <v>6</v>
      </c>
      <c r="D10" s="14" t="s">
        <v>40</v>
      </c>
      <c r="E10" s="15" t="s">
        <v>16</v>
      </c>
      <c r="F10" s="16" t="s">
        <v>107</v>
      </c>
      <c r="G10" s="16">
        <v>2</v>
      </c>
      <c r="H10" s="59">
        <f>G10/C10</f>
        <v>0.33333333333333331</v>
      </c>
    </row>
    <row r="11" spans="2:8" ht="18" customHeight="1" outlineLevel="1" thickTop="1" thickBot="1" x14ac:dyDescent="0.35">
      <c r="B11" s="86" t="s">
        <v>135</v>
      </c>
      <c r="C11" s="51">
        <f>SUBTOTAL(9,C10:C10)</f>
        <v>6</v>
      </c>
      <c r="D11" s="51"/>
      <c r="E11" s="15"/>
      <c r="F11" s="16"/>
      <c r="G11" s="16">
        <f>SUBTOTAL(9,G10:G10)</f>
        <v>2</v>
      </c>
      <c r="H11" s="59">
        <f>SUBTOTAL(9,H10:H10)</f>
        <v>0.33333333333333331</v>
      </c>
    </row>
    <row r="12" spans="2:8" ht="17.399999999999999" customHeight="1" outlineLevel="2" thickTop="1" thickBot="1" x14ac:dyDescent="0.35">
      <c r="B12" s="17" t="s">
        <v>70</v>
      </c>
      <c r="C12" s="18">
        <v>11</v>
      </c>
      <c r="D12" s="18" t="s">
        <v>41</v>
      </c>
      <c r="E12" s="19" t="s">
        <v>11</v>
      </c>
      <c r="F12" s="20" t="s">
        <v>108</v>
      </c>
      <c r="G12" s="20">
        <v>0</v>
      </c>
      <c r="H12" s="60">
        <v>0</v>
      </c>
    </row>
    <row r="13" spans="2:8" ht="17.399999999999999" customHeight="1" outlineLevel="1" thickTop="1" thickBot="1" x14ac:dyDescent="0.35">
      <c r="B13" s="88" t="s">
        <v>136</v>
      </c>
      <c r="C13" s="52">
        <f>SUBTOTAL(9,C12:C12)</f>
        <v>11</v>
      </c>
      <c r="D13" s="52"/>
      <c r="E13" s="19"/>
      <c r="F13" s="20"/>
      <c r="G13" s="20">
        <f>SUBTOTAL(9,G12:G12)</f>
        <v>0</v>
      </c>
      <c r="H13" s="60">
        <f>SUBTOTAL(9,H12:H12)</f>
        <v>0</v>
      </c>
    </row>
    <row r="14" spans="2:8" ht="159.6" customHeight="1" outlineLevel="2" thickTop="1" thickBot="1" x14ac:dyDescent="0.35">
      <c r="B14" s="21" t="s">
        <v>71</v>
      </c>
      <c r="C14" s="22">
        <v>1</v>
      </c>
      <c r="D14" s="22" t="s">
        <v>42</v>
      </c>
      <c r="E14" s="4" t="s">
        <v>9</v>
      </c>
      <c r="F14" s="5" t="s">
        <v>109</v>
      </c>
      <c r="G14" s="5">
        <v>1</v>
      </c>
      <c r="H14" s="56">
        <f>G14/C14</f>
        <v>1</v>
      </c>
    </row>
    <row r="15" spans="2:8" ht="31.8" customHeight="1" outlineLevel="1" thickTop="1" thickBot="1" x14ac:dyDescent="0.35">
      <c r="B15" s="85" t="s">
        <v>137</v>
      </c>
      <c r="C15" s="50">
        <f>SUBTOTAL(9,C14:C14)</f>
        <v>1</v>
      </c>
      <c r="D15" s="50"/>
      <c r="E15" s="4"/>
      <c r="F15" s="5"/>
      <c r="G15" s="5">
        <f>SUBTOTAL(9,G14:G14)</f>
        <v>1</v>
      </c>
      <c r="H15" s="56">
        <f>SUBTOTAL(9,H14:H14)</f>
        <v>1</v>
      </c>
    </row>
    <row r="16" spans="2:8" ht="15.6" customHeight="1" outlineLevel="2" thickTop="1" thickBot="1" x14ac:dyDescent="0.35">
      <c r="B16" s="9" t="s">
        <v>72</v>
      </c>
      <c r="C16" s="9">
        <v>2</v>
      </c>
      <c r="D16" s="9" t="s">
        <v>43</v>
      </c>
      <c r="E16" s="11"/>
      <c r="F16" s="12">
        <v>0</v>
      </c>
      <c r="G16" s="12">
        <v>0</v>
      </c>
      <c r="H16" s="58"/>
    </row>
    <row r="17" spans="2:8" ht="15.6" customHeight="1" outlineLevel="1" thickTop="1" thickBot="1" x14ac:dyDescent="0.35">
      <c r="B17" s="87" t="s">
        <v>138</v>
      </c>
      <c r="C17" s="9">
        <f>SUBTOTAL(9,C16:C16)</f>
        <v>2</v>
      </c>
      <c r="D17" s="9"/>
      <c r="E17" s="11"/>
      <c r="F17" s="12"/>
      <c r="G17" s="12">
        <f>SUBTOTAL(9,G16:G16)</f>
        <v>0</v>
      </c>
      <c r="H17" s="58">
        <f>SUBTOTAL(9,H16:H16)</f>
        <v>0</v>
      </c>
    </row>
    <row r="18" spans="2:8" ht="122.4" customHeight="1" outlineLevel="2" thickTop="1" thickBot="1" x14ac:dyDescent="0.35">
      <c r="B18" s="70" t="s">
        <v>73</v>
      </c>
      <c r="C18" s="71">
        <v>9</v>
      </c>
      <c r="D18" s="71" t="s">
        <v>44</v>
      </c>
      <c r="E18" s="23" t="s">
        <v>14</v>
      </c>
      <c r="F18" s="8" t="s">
        <v>110</v>
      </c>
      <c r="G18" s="8">
        <v>4</v>
      </c>
      <c r="H18" s="57">
        <f>G18/9</f>
        <v>0.44444444444444442</v>
      </c>
    </row>
    <row r="19" spans="2:8" ht="86.4" customHeight="1" outlineLevel="2" thickTop="1" thickBot="1" x14ac:dyDescent="0.35">
      <c r="B19" s="70"/>
      <c r="C19" s="71"/>
      <c r="D19" s="71"/>
      <c r="E19" s="15" t="s">
        <v>99</v>
      </c>
      <c r="F19" s="16" t="s">
        <v>111</v>
      </c>
      <c r="G19" s="16">
        <v>1</v>
      </c>
      <c r="H19" s="57">
        <f>G19/9</f>
        <v>0.1111111111111111</v>
      </c>
    </row>
    <row r="20" spans="2:8" ht="21" customHeight="1" outlineLevel="1" thickTop="1" thickBot="1" x14ac:dyDescent="0.35">
      <c r="B20" s="86" t="s">
        <v>139</v>
      </c>
      <c r="C20" s="51">
        <f>SUBTOTAL(9,C18:C19)</f>
        <v>9</v>
      </c>
      <c r="D20" s="51"/>
      <c r="E20" s="15"/>
      <c r="F20" s="16"/>
      <c r="G20" s="16">
        <f>SUBTOTAL(9,G18:G19)</f>
        <v>5</v>
      </c>
      <c r="H20" s="57">
        <f>SUBTOTAL(9,H18:H19)</f>
        <v>0.55555555555555558</v>
      </c>
    </row>
    <row r="21" spans="2:8" ht="171.6" customHeight="1" outlineLevel="2" thickTop="1" thickBot="1" x14ac:dyDescent="0.35">
      <c r="B21" s="17" t="s">
        <v>74</v>
      </c>
      <c r="C21" s="18">
        <v>5</v>
      </c>
      <c r="D21" s="18" t="s">
        <v>45</v>
      </c>
      <c r="E21" s="24" t="s">
        <v>97</v>
      </c>
      <c r="F21" s="20" t="s">
        <v>112</v>
      </c>
      <c r="G21" s="20">
        <v>1</v>
      </c>
      <c r="H21" s="60">
        <f>G21/5</f>
        <v>0.2</v>
      </c>
    </row>
    <row r="22" spans="2:8" ht="22.8" customHeight="1" outlineLevel="1" thickTop="1" thickBot="1" x14ac:dyDescent="0.35">
      <c r="B22" s="88" t="s">
        <v>140</v>
      </c>
      <c r="C22" s="52">
        <f>SUBTOTAL(9,C21:C21)</f>
        <v>5</v>
      </c>
      <c r="D22" s="52"/>
      <c r="E22" s="24"/>
      <c r="F22" s="20"/>
      <c r="G22" s="20">
        <f>SUBTOTAL(9,G21:G21)</f>
        <v>1</v>
      </c>
      <c r="H22" s="60">
        <f>SUBTOTAL(9,H21:H21)</f>
        <v>0.2</v>
      </c>
    </row>
    <row r="23" spans="2:8" ht="157.19999999999999" customHeight="1" outlineLevel="2" thickTop="1" thickBot="1" x14ac:dyDescent="0.35">
      <c r="B23" s="21" t="s">
        <v>75</v>
      </c>
      <c r="C23" s="22">
        <v>3</v>
      </c>
      <c r="D23" s="22" t="s">
        <v>46</v>
      </c>
      <c r="E23" s="6" t="s">
        <v>10</v>
      </c>
      <c r="F23" s="5" t="s">
        <v>113</v>
      </c>
      <c r="G23" s="5">
        <v>1</v>
      </c>
      <c r="H23" s="56">
        <f>G23/C23</f>
        <v>0.33333333333333331</v>
      </c>
    </row>
    <row r="24" spans="2:8" ht="26.4" customHeight="1" outlineLevel="1" thickTop="1" thickBot="1" x14ac:dyDescent="0.35">
      <c r="B24" s="85" t="s">
        <v>141</v>
      </c>
      <c r="C24" s="50">
        <f>SUBTOTAL(9,C23:C23)</f>
        <v>3</v>
      </c>
      <c r="D24" s="50"/>
      <c r="E24" s="6"/>
      <c r="F24" s="5"/>
      <c r="G24" s="5">
        <f>SUBTOTAL(9,G23:G23)</f>
        <v>1</v>
      </c>
      <c r="H24" s="56">
        <f>SUBTOTAL(9,H23:H23)</f>
        <v>0.33333333333333331</v>
      </c>
    </row>
    <row r="25" spans="2:8" ht="13.2" customHeight="1" outlineLevel="2" thickTop="1" thickBot="1" x14ac:dyDescent="0.35">
      <c r="B25" s="25" t="s">
        <v>76</v>
      </c>
      <c r="C25" s="26">
        <v>5</v>
      </c>
      <c r="D25" s="26" t="s">
        <v>47</v>
      </c>
      <c r="E25" s="27"/>
      <c r="F25" s="28">
        <v>0</v>
      </c>
      <c r="G25" s="28">
        <v>0</v>
      </c>
      <c r="H25" s="61"/>
    </row>
    <row r="26" spans="2:8" ht="13.2" customHeight="1" outlineLevel="1" thickTop="1" thickBot="1" x14ac:dyDescent="0.35">
      <c r="B26" s="89" t="s">
        <v>142</v>
      </c>
      <c r="C26" s="53">
        <f>SUBTOTAL(9,C25:C25)</f>
        <v>5</v>
      </c>
      <c r="D26" s="53"/>
      <c r="E26" s="27"/>
      <c r="F26" s="28"/>
      <c r="G26" s="28">
        <f>SUBTOTAL(9,G25:G25)</f>
        <v>0</v>
      </c>
      <c r="H26" s="61">
        <f>SUBTOTAL(9,H25:H25)</f>
        <v>0</v>
      </c>
    </row>
    <row r="27" spans="2:8" ht="14.4" customHeight="1" outlineLevel="2" thickTop="1" thickBot="1" x14ac:dyDescent="0.35">
      <c r="B27" s="13" t="s">
        <v>77</v>
      </c>
      <c r="C27" s="14">
        <v>4</v>
      </c>
      <c r="D27" s="14" t="s">
        <v>48</v>
      </c>
      <c r="E27" s="7"/>
      <c r="F27" s="8">
        <v>0</v>
      </c>
      <c r="G27" s="8">
        <v>0</v>
      </c>
      <c r="H27" s="57"/>
    </row>
    <row r="28" spans="2:8" ht="14.4" customHeight="1" outlineLevel="1" thickTop="1" thickBot="1" x14ac:dyDescent="0.35">
      <c r="B28" s="86" t="s">
        <v>143</v>
      </c>
      <c r="C28" s="51">
        <f>SUBTOTAL(9,C27:C27)</f>
        <v>4</v>
      </c>
      <c r="D28" s="51"/>
      <c r="E28" s="7"/>
      <c r="F28" s="8"/>
      <c r="G28" s="8">
        <f>SUBTOTAL(9,G27:G27)</f>
        <v>0</v>
      </c>
      <c r="H28" s="57">
        <f>SUBTOTAL(9,H27:H27)</f>
        <v>0</v>
      </c>
    </row>
    <row r="29" spans="2:8" ht="153.6" customHeight="1" outlineLevel="2" thickTop="1" thickBot="1" x14ac:dyDescent="0.35">
      <c r="B29" s="29" t="s">
        <v>78</v>
      </c>
      <c r="C29" s="30">
        <v>6</v>
      </c>
      <c r="D29" s="30" t="s">
        <v>49</v>
      </c>
      <c r="E29" s="67" t="s">
        <v>4</v>
      </c>
      <c r="F29" s="31" t="s">
        <v>114</v>
      </c>
      <c r="G29" s="31">
        <v>3</v>
      </c>
      <c r="H29" s="62">
        <f>G29/6</f>
        <v>0.5</v>
      </c>
    </row>
    <row r="30" spans="2:8" ht="27" customHeight="1" outlineLevel="1" thickTop="1" thickBot="1" x14ac:dyDescent="0.35">
      <c r="B30" s="90" t="s">
        <v>144</v>
      </c>
      <c r="C30" s="30">
        <f>SUBTOTAL(9,C29:C29)</f>
        <v>6</v>
      </c>
      <c r="D30" s="30"/>
      <c r="E30" s="67"/>
      <c r="F30" s="31"/>
      <c r="G30" s="31">
        <f>SUBTOTAL(9,G29:G29)</f>
        <v>3</v>
      </c>
      <c r="H30" s="62">
        <f>SUBTOTAL(9,H29:H29)</f>
        <v>0.5</v>
      </c>
    </row>
    <row r="31" spans="2:8" ht="99.6" customHeight="1" outlineLevel="2" thickTop="1" thickBot="1" x14ac:dyDescent="0.35">
      <c r="B31" s="79" t="s">
        <v>79</v>
      </c>
      <c r="C31" s="78">
        <v>21</v>
      </c>
      <c r="D31" s="78" t="s">
        <v>50</v>
      </c>
      <c r="E31" s="32" t="s">
        <v>3</v>
      </c>
      <c r="F31" s="33" t="s">
        <v>114</v>
      </c>
      <c r="G31" s="33">
        <v>3</v>
      </c>
      <c r="H31" s="63">
        <f>G31/21</f>
        <v>0.14285714285714285</v>
      </c>
    </row>
    <row r="32" spans="2:8" ht="79.95" customHeight="1" outlineLevel="2" thickTop="1" thickBot="1" x14ac:dyDescent="0.35">
      <c r="B32" s="79"/>
      <c r="C32" s="78"/>
      <c r="D32" s="78"/>
      <c r="E32" s="34" t="s">
        <v>101</v>
      </c>
      <c r="F32" s="33" t="s">
        <v>115</v>
      </c>
      <c r="G32" s="33">
        <v>1</v>
      </c>
      <c r="H32" s="63">
        <f>G32/21</f>
        <v>4.7619047619047616E-2</v>
      </c>
    </row>
    <row r="33" spans="2:8" ht="28.2" customHeight="1" outlineLevel="1" thickTop="1" thickBot="1" x14ac:dyDescent="0.35">
      <c r="B33" s="91" t="s">
        <v>145</v>
      </c>
      <c r="C33" s="54">
        <f>SUBTOTAL(9,C31:C32)</f>
        <v>21</v>
      </c>
      <c r="D33" s="54"/>
      <c r="E33" s="34"/>
      <c r="F33" s="33"/>
      <c r="G33" s="33">
        <f>SUBTOTAL(9,G31:G32)</f>
        <v>4</v>
      </c>
      <c r="H33" s="63">
        <f>SUBTOTAL(9,H31:H32)</f>
        <v>0.19047619047619047</v>
      </c>
    </row>
    <row r="34" spans="2:8" ht="176.4" customHeight="1" outlineLevel="2" thickTop="1" thickBot="1" x14ac:dyDescent="0.35">
      <c r="B34" s="17" t="s">
        <v>80</v>
      </c>
      <c r="C34" s="18">
        <v>4</v>
      </c>
      <c r="D34" s="18" t="s">
        <v>51</v>
      </c>
      <c r="E34" s="19" t="s">
        <v>22</v>
      </c>
      <c r="F34" s="20" t="s">
        <v>116</v>
      </c>
      <c r="G34" s="20">
        <v>1</v>
      </c>
      <c r="H34" s="60">
        <f>G34/4</f>
        <v>0.25</v>
      </c>
    </row>
    <row r="35" spans="2:8" ht="16.8" customHeight="1" outlineLevel="1" thickTop="1" thickBot="1" x14ac:dyDescent="0.35">
      <c r="B35" s="88" t="s">
        <v>146</v>
      </c>
      <c r="C35" s="52">
        <f>SUBTOTAL(9,C34:C34)</f>
        <v>4</v>
      </c>
      <c r="D35" s="52"/>
      <c r="E35" s="19"/>
      <c r="F35" s="20"/>
      <c r="G35" s="20">
        <f>SUBTOTAL(9,G34:G34)</f>
        <v>1</v>
      </c>
      <c r="H35" s="60">
        <f>SUBTOTAL(9,H34:H34)</f>
        <v>0.25</v>
      </c>
    </row>
    <row r="36" spans="2:8" ht="162.6" customHeight="1" outlineLevel="2" thickTop="1" thickBot="1" x14ac:dyDescent="0.35">
      <c r="B36" s="35" t="s">
        <v>81</v>
      </c>
      <c r="C36" s="36">
        <v>4</v>
      </c>
      <c r="D36" s="36" t="s">
        <v>52</v>
      </c>
      <c r="E36" s="37" t="s">
        <v>23</v>
      </c>
      <c r="F36" s="38" t="s">
        <v>116</v>
      </c>
      <c r="G36" s="38">
        <v>1</v>
      </c>
      <c r="H36" s="64">
        <f>G36/4</f>
        <v>0.25</v>
      </c>
    </row>
    <row r="37" spans="2:8" ht="24" customHeight="1" outlineLevel="1" thickTop="1" thickBot="1" x14ac:dyDescent="0.35">
      <c r="B37" s="92" t="s">
        <v>147</v>
      </c>
      <c r="C37" s="36">
        <f>SUBTOTAL(9,C36:C36)</f>
        <v>4</v>
      </c>
      <c r="D37" s="36"/>
      <c r="E37" s="37"/>
      <c r="F37" s="38"/>
      <c r="G37" s="38">
        <f>SUBTOTAL(9,G36:G36)</f>
        <v>1</v>
      </c>
      <c r="H37" s="64">
        <f>SUBTOTAL(9,H36:H36)</f>
        <v>0.25</v>
      </c>
    </row>
    <row r="38" spans="2:8" ht="122.4" customHeight="1" outlineLevel="2" thickTop="1" thickBot="1" x14ac:dyDescent="0.35">
      <c r="B38" s="70" t="s">
        <v>82</v>
      </c>
      <c r="C38" s="71">
        <v>64</v>
      </c>
      <c r="D38" s="71" t="s">
        <v>53</v>
      </c>
      <c r="E38" s="7" t="s">
        <v>102</v>
      </c>
      <c r="F38" s="8" t="s">
        <v>115</v>
      </c>
      <c r="G38" s="8">
        <v>1</v>
      </c>
      <c r="H38" s="57">
        <f>G38/64</f>
        <v>1.5625E-2</v>
      </c>
    </row>
    <row r="39" spans="2:8" ht="79.95" customHeight="1" outlineLevel="2" thickTop="1" thickBot="1" x14ac:dyDescent="0.35">
      <c r="B39" s="70"/>
      <c r="C39" s="71"/>
      <c r="D39" s="71"/>
      <c r="E39" s="7" t="s">
        <v>6</v>
      </c>
      <c r="F39" s="8" t="s">
        <v>117</v>
      </c>
      <c r="G39" s="8">
        <v>1</v>
      </c>
      <c r="H39" s="57">
        <f>G39/64</f>
        <v>1.5625E-2</v>
      </c>
    </row>
    <row r="40" spans="2:8" ht="24.6" customHeight="1" outlineLevel="1" thickTop="1" thickBot="1" x14ac:dyDescent="0.35">
      <c r="B40" s="86" t="s">
        <v>148</v>
      </c>
      <c r="C40" s="51">
        <f>SUBTOTAL(9,C38:C39)</f>
        <v>64</v>
      </c>
      <c r="D40" s="51"/>
      <c r="E40" s="7"/>
      <c r="F40" s="8"/>
      <c r="G40" s="8">
        <f>SUBTOTAL(9,G38:G39)</f>
        <v>2</v>
      </c>
      <c r="H40" s="57">
        <f>SUBTOTAL(9,H38:H39)</f>
        <v>3.125E-2</v>
      </c>
    </row>
    <row r="41" spans="2:8" ht="19.2" customHeight="1" outlineLevel="2" thickTop="1" thickBot="1" x14ac:dyDescent="0.35">
      <c r="B41" s="21" t="s">
        <v>83</v>
      </c>
      <c r="C41" s="22">
        <v>9</v>
      </c>
      <c r="D41" s="22" t="s">
        <v>54</v>
      </c>
      <c r="E41" s="4"/>
      <c r="F41" s="5">
        <v>0</v>
      </c>
      <c r="G41" s="5">
        <v>0</v>
      </c>
      <c r="H41" s="56">
        <v>0</v>
      </c>
    </row>
    <row r="42" spans="2:8" ht="19.2" customHeight="1" outlineLevel="1" thickTop="1" thickBot="1" x14ac:dyDescent="0.35">
      <c r="B42" s="85" t="s">
        <v>149</v>
      </c>
      <c r="C42" s="50">
        <f>SUBTOTAL(9,C41:C41)</f>
        <v>9</v>
      </c>
      <c r="D42" s="50"/>
      <c r="E42" s="4"/>
      <c r="F42" s="5"/>
      <c r="G42" s="5">
        <f>SUBTOTAL(9,G41:G41)</f>
        <v>0</v>
      </c>
      <c r="H42" s="56">
        <f>SUBTOTAL(9,H41:H41)</f>
        <v>0</v>
      </c>
    </row>
    <row r="43" spans="2:8" ht="20.399999999999999" customHeight="1" outlineLevel="2" thickTop="1" thickBot="1" x14ac:dyDescent="0.35">
      <c r="B43" s="17" t="s">
        <v>96</v>
      </c>
      <c r="C43" s="18"/>
      <c r="D43" s="18" t="s">
        <v>96</v>
      </c>
      <c r="E43" s="19">
        <v>0</v>
      </c>
      <c r="F43" s="20">
        <v>0</v>
      </c>
      <c r="G43" s="20">
        <v>0</v>
      </c>
      <c r="H43" s="60">
        <v>0</v>
      </c>
    </row>
    <row r="44" spans="2:8" ht="20.399999999999999" customHeight="1" outlineLevel="1" thickTop="1" thickBot="1" x14ac:dyDescent="0.35">
      <c r="B44" s="88" t="s">
        <v>150</v>
      </c>
      <c r="C44" s="52">
        <f>SUBTOTAL(9,C43:C43)</f>
        <v>0</v>
      </c>
      <c r="D44" s="52"/>
      <c r="E44" s="19"/>
      <c r="F44" s="20"/>
      <c r="G44" s="20">
        <f>SUBTOTAL(9,G43:G43)</f>
        <v>0</v>
      </c>
      <c r="H44" s="60">
        <f>SUBTOTAL(9,H43:H43)</f>
        <v>0</v>
      </c>
    </row>
    <row r="45" spans="2:8" ht="20.399999999999999" customHeight="1" outlineLevel="2" thickTop="1" thickBot="1" x14ac:dyDescent="0.35">
      <c r="B45" s="25" t="s">
        <v>84</v>
      </c>
      <c r="C45" s="26">
        <v>22</v>
      </c>
      <c r="D45" s="26" t="s">
        <v>55</v>
      </c>
      <c r="E45" s="27">
        <v>0</v>
      </c>
      <c r="F45" s="28">
        <v>0</v>
      </c>
      <c r="G45" s="28">
        <v>0</v>
      </c>
      <c r="H45" s="61">
        <v>0</v>
      </c>
    </row>
    <row r="46" spans="2:8" ht="20.399999999999999" customHeight="1" outlineLevel="1" thickTop="1" thickBot="1" x14ac:dyDescent="0.35">
      <c r="B46" s="89" t="s">
        <v>151</v>
      </c>
      <c r="C46" s="53">
        <f>SUBTOTAL(9,C45:C45)</f>
        <v>22</v>
      </c>
      <c r="D46" s="53"/>
      <c r="E46" s="27"/>
      <c r="F46" s="28"/>
      <c r="G46" s="28">
        <f>SUBTOTAL(9,G45:G45)</f>
        <v>0</v>
      </c>
      <c r="H46" s="61">
        <f>SUBTOTAL(9,H45:H45)</f>
        <v>0</v>
      </c>
    </row>
    <row r="47" spans="2:8" ht="19.8" customHeight="1" outlineLevel="2" thickTop="1" thickBot="1" x14ac:dyDescent="0.35">
      <c r="B47" s="17" t="s">
        <v>85</v>
      </c>
      <c r="C47" s="18">
        <v>22</v>
      </c>
      <c r="D47" s="18" t="s">
        <v>56</v>
      </c>
      <c r="E47" s="19">
        <v>0</v>
      </c>
      <c r="F47" s="20">
        <v>0</v>
      </c>
      <c r="G47" s="20">
        <v>0</v>
      </c>
      <c r="H47" s="60">
        <v>0</v>
      </c>
    </row>
    <row r="48" spans="2:8" ht="19.8" customHeight="1" outlineLevel="1" thickTop="1" thickBot="1" x14ac:dyDescent="0.35">
      <c r="B48" s="88" t="s">
        <v>152</v>
      </c>
      <c r="C48" s="52">
        <f>SUBTOTAL(9,C47:C47)</f>
        <v>22</v>
      </c>
      <c r="D48" s="52"/>
      <c r="E48" s="19"/>
      <c r="F48" s="20"/>
      <c r="G48" s="20">
        <f>SUBTOTAL(9,G47:G47)</f>
        <v>0</v>
      </c>
      <c r="H48" s="60">
        <f>SUBTOTAL(9,H47:H47)</f>
        <v>0</v>
      </c>
    </row>
    <row r="49" spans="2:8" ht="100.8" customHeight="1" outlineLevel="2" thickTop="1" thickBot="1" x14ac:dyDescent="0.35">
      <c r="B49" s="77" t="s">
        <v>86</v>
      </c>
      <c r="C49" s="76">
        <v>28</v>
      </c>
      <c r="D49" s="76" t="s">
        <v>57</v>
      </c>
      <c r="E49" s="4" t="s">
        <v>26</v>
      </c>
      <c r="F49" s="5" t="s">
        <v>120</v>
      </c>
      <c r="G49" s="5">
        <v>3</v>
      </c>
      <c r="H49" s="56">
        <f>G49/28</f>
        <v>0.10714285714285714</v>
      </c>
    </row>
    <row r="50" spans="2:8" ht="79.95" customHeight="1" outlineLevel="2" thickTop="1" thickBot="1" x14ac:dyDescent="0.35">
      <c r="B50" s="77"/>
      <c r="C50" s="76"/>
      <c r="D50" s="76"/>
      <c r="E50" s="4" t="s">
        <v>27</v>
      </c>
      <c r="F50" s="5" t="s">
        <v>119</v>
      </c>
      <c r="G50" s="5">
        <v>1</v>
      </c>
      <c r="H50" s="56">
        <f>G50/28</f>
        <v>3.5714285714285712E-2</v>
      </c>
    </row>
    <row r="51" spans="2:8" ht="25.2" customHeight="1" outlineLevel="1" thickTop="1" thickBot="1" x14ac:dyDescent="0.35">
      <c r="B51" s="85" t="s">
        <v>153</v>
      </c>
      <c r="C51" s="50">
        <f>SUBTOTAL(9,C49:C50)</f>
        <v>28</v>
      </c>
      <c r="D51" s="50"/>
      <c r="E51" s="4"/>
      <c r="F51" s="5"/>
      <c r="G51" s="5">
        <f>SUBTOTAL(9,G49:G50)</f>
        <v>4</v>
      </c>
      <c r="H51" s="56">
        <f>SUBTOTAL(9,H49:H50)</f>
        <v>0.14285714285714285</v>
      </c>
    </row>
    <row r="52" spans="2:8" ht="162.6" customHeight="1" outlineLevel="2" thickTop="1" thickBot="1" x14ac:dyDescent="0.35">
      <c r="B52" s="13" t="s">
        <v>87</v>
      </c>
      <c r="C52" s="14">
        <v>4</v>
      </c>
      <c r="D52" s="14" t="s">
        <v>58</v>
      </c>
      <c r="E52" s="7" t="s">
        <v>17</v>
      </c>
      <c r="F52" s="8" t="s">
        <v>121</v>
      </c>
      <c r="G52" s="8">
        <v>1</v>
      </c>
      <c r="H52" s="57">
        <f>G52/C52</f>
        <v>0.25</v>
      </c>
    </row>
    <row r="53" spans="2:8" ht="24" customHeight="1" outlineLevel="1" thickTop="1" thickBot="1" x14ac:dyDescent="0.35">
      <c r="B53" s="86" t="s">
        <v>154</v>
      </c>
      <c r="C53" s="51">
        <f>SUBTOTAL(9,C52:C52)</f>
        <v>4</v>
      </c>
      <c r="D53" s="51"/>
      <c r="E53" s="7"/>
      <c r="F53" s="8"/>
      <c r="G53" s="8">
        <f>SUBTOTAL(9,G52:G52)</f>
        <v>1</v>
      </c>
      <c r="H53" s="57">
        <f>SUBTOTAL(9,H52:H52)</f>
        <v>0.25</v>
      </c>
    </row>
    <row r="54" spans="2:8" ht="157.19999999999999" customHeight="1" outlineLevel="2" thickTop="1" thickBot="1" x14ac:dyDescent="0.35">
      <c r="B54" s="21" t="s">
        <v>88</v>
      </c>
      <c r="C54" s="22">
        <v>23</v>
      </c>
      <c r="D54" s="22" t="s">
        <v>59</v>
      </c>
      <c r="E54" s="6" t="s">
        <v>15</v>
      </c>
      <c r="F54" s="5" t="s">
        <v>121</v>
      </c>
      <c r="G54" s="5">
        <v>13</v>
      </c>
      <c r="H54" s="56">
        <f>G54/C54</f>
        <v>0.56521739130434778</v>
      </c>
    </row>
    <row r="55" spans="2:8" ht="31.2" customHeight="1" outlineLevel="1" thickTop="1" thickBot="1" x14ac:dyDescent="0.35">
      <c r="B55" s="85" t="s">
        <v>155</v>
      </c>
      <c r="C55" s="50">
        <f>SUBTOTAL(9,C54:C54)</f>
        <v>23</v>
      </c>
      <c r="D55" s="50"/>
      <c r="E55" s="6"/>
      <c r="F55" s="5"/>
      <c r="G55" s="5">
        <f>SUBTOTAL(9,G54:G54)</f>
        <v>13</v>
      </c>
      <c r="H55" s="56">
        <f>SUBTOTAL(9,H54:H54)</f>
        <v>0.56521739130434778</v>
      </c>
    </row>
    <row r="56" spans="2:8" ht="79.95" customHeight="1" outlineLevel="2" thickTop="1" thickBot="1" x14ac:dyDescent="0.35">
      <c r="B56" s="72" t="s">
        <v>89</v>
      </c>
      <c r="C56" s="73">
        <v>12</v>
      </c>
      <c r="D56" s="73" t="s">
        <v>60</v>
      </c>
      <c r="E56" s="19" t="s">
        <v>25</v>
      </c>
      <c r="F56" s="20" t="s">
        <v>111</v>
      </c>
      <c r="G56" s="20">
        <v>4</v>
      </c>
      <c r="H56" s="60">
        <f>G56/12</f>
        <v>0.33333333333333331</v>
      </c>
    </row>
    <row r="57" spans="2:8" ht="79.95" customHeight="1" outlineLevel="2" thickTop="1" thickBot="1" x14ac:dyDescent="0.35">
      <c r="B57" s="72"/>
      <c r="C57" s="73"/>
      <c r="D57" s="73"/>
      <c r="E57" s="19" t="s">
        <v>28</v>
      </c>
      <c r="F57" s="20" t="s">
        <v>121</v>
      </c>
      <c r="G57" s="20">
        <v>2</v>
      </c>
      <c r="H57" s="60">
        <f t="shared" ref="H57:H59" si="0">G57/12</f>
        <v>0.16666666666666666</v>
      </c>
    </row>
    <row r="58" spans="2:8" ht="79.95" customHeight="1" outlineLevel="2" thickTop="1" thickBot="1" x14ac:dyDescent="0.35">
      <c r="B58" s="72"/>
      <c r="C58" s="73"/>
      <c r="D58" s="73"/>
      <c r="E58" s="24" t="s">
        <v>93</v>
      </c>
      <c r="F58" s="20" t="s">
        <v>122</v>
      </c>
      <c r="G58" s="20">
        <v>1</v>
      </c>
      <c r="H58" s="60">
        <f t="shared" si="0"/>
        <v>8.3333333333333329E-2</v>
      </c>
    </row>
    <row r="59" spans="2:8" ht="79.95" customHeight="1" outlineLevel="2" thickTop="1" thickBot="1" x14ac:dyDescent="0.35">
      <c r="B59" s="72"/>
      <c r="C59" s="73"/>
      <c r="D59" s="73"/>
      <c r="E59" s="19" t="s">
        <v>100</v>
      </c>
      <c r="F59" s="20" t="s">
        <v>124</v>
      </c>
      <c r="G59" s="20">
        <v>1</v>
      </c>
      <c r="H59" s="60">
        <f t="shared" si="0"/>
        <v>8.3333333333333329E-2</v>
      </c>
    </row>
    <row r="60" spans="2:8" ht="21.6" customHeight="1" outlineLevel="1" thickTop="1" thickBot="1" x14ac:dyDescent="0.35">
      <c r="B60" s="88" t="s">
        <v>156</v>
      </c>
      <c r="C60" s="52">
        <f>SUBTOTAL(9,C56:C59)</f>
        <v>12</v>
      </c>
      <c r="D60" s="52"/>
      <c r="E60" s="19"/>
      <c r="F60" s="20"/>
      <c r="G60" s="20">
        <f>SUBTOTAL(9,G56:G59)</f>
        <v>8</v>
      </c>
      <c r="H60" s="60">
        <f>SUBTOTAL(9,H56:H59)</f>
        <v>0.66666666666666674</v>
      </c>
    </row>
    <row r="61" spans="2:8" ht="112.2" customHeight="1" outlineLevel="2" thickTop="1" thickBot="1" x14ac:dyDescent="0.35">
      <c r="B61" s="74" t="s">
        <v>90</v>
      </c>
      <c r="C61" s="75">
        <v>2</v>
      </c>
      <c r="D61" s="75" t="s">
        <v>61</v>
      </c>
      <c r="E61" s="68" t="s">
        <v>95</v>
      </c>
      <c r="F61" s="28" t="s">
        <v>123</v>
      </c>
      <c r="G61" s="28">
        <v>1</v>
      </c>
      <c r="H61" s="61">
        <f>G61/2</f>
        <v>0.5</v>
      </c>
    </row>
    <row r="62" spans="2:8" ht="114" customHeight="1" outlineLevel="2" thickTop="1" thickBot="1" x14ac:dyDescent="0.35">
      <c r="B62" s="74"/>
      <c r="C62" s="75"/>
      <c r="D62" s="75"/>
      <c r="E62" s="27" t="s">
        <v>18</v>
      </c>
      <c r="F62" s="28" t="s">
        <v>111</v>
      </c>
      <c r="G62" s="28">
        <v>1</v>
      </c>
      <c r="H62" s="61">
        <f>G62/2</f>
        <v>0.5</v>
      </c>
    </row>
    <row r="63" spans="2:8" ht="27.6" customHeight="1" outlineLevel="1" thickTop="1" thickBot="1" x14ac:dyDescent="0.35">
      <c r="B63" s="89" t="s">
        <v>157</v>
      </c>
      <c r="C63" s="53">
        <f>SUBTOTAL(9,C61:C62)</f>
        <v>2</v>
      </c>
      <c r="D63" s="53"/>
      <c r="E63" s="27"/>
      <c r="F63" s="28"/>
      <c r="G63" s="28">
        <f>SUBTOTAL(9,G61:G62)</f>
        <v>2</v>
      </c>
      <c r="H63" s="61">
        <f>SUBTOTAL(9,H61:H62)</f>
        <v>1</v>
      </c>
    </row>
    <row r="64" spans="2:8" ht="15" customHeight="1" outlineLevel="2" thickTop="1" thickBot="1" x14ac:dyDescent="0.35">
      <c r="B64" s="21" t="s">
        <v>91</v>
      </c>
      <c r="C64" s="22">
        <v>34</v>
      </c>
      <c r="D64" s="22" t="s">
        <v>62</v>
      </c>
      <c r="E64" s="39" t="s">
        <v>24</v>
      </c>
      <c r="F64" s="40" t="s">
        <v>106</v>
      </c>
      <c r="G64" s="40">
        <v>0</v>
      </c>
      <c r="H64" s="65"/>
    </row>
    <row r="65" spans="2:8" ht="15" customHeight="1" outlineLevel="1" thickTop="1" thickBot="1" x14ac:dyDescent="0.35">
      <c r="B65" s="85" t="s">
        <v>158</v>
      </c>
      <c r="C65" s="50">
        <f>SUBTOTAL(9,C64:C64)</f>
        <v>34</v>
      </c>
      <c r="D65" s="50"/>
      <c r="E65" s="39"/>
      <c r="F65" s="40"/>
      <c r="G65" s="40">
        <f>SUBTOTAL(9,G64:G64)</f>
        <v>0</v>
      </c>
      <c r="H65" s="65">
        <f>SUBTOTAL(9,H64:H64)</f>
        <v>0</v>
      </c>
    </row>
    <row r="66" spans="2:8" ht="173.4" customHeight="1" outlineLevel="2" thickTop="1" thickBot="1" x14ac:dyDescent="0.35">
      <c r="B66" s="13" t="s">
        <v>92</v>
      </c>
      <c r="C66" s="14">
        <v>13</v>
      </c>
      <c r="D66" s="14" t="s">
        <v>63</v>
      </c>
      <c r="E66" s="15" t="s">
        <v>103</v>
      </c>
      <c r="F66" s="8" t="s">
        <v>118</v>
      </c>
      <c r="G66" s="8">
        <v>1</v>
      </c>
      <c r="H66" s="57">
        <f>G66/13</f>
        <v>7.6923076923076927E-2</v>
      </c>
    </row>
    <row r="67" spans="2:8" ht="27" customHeight="1" outlineLevel="1" thickTop="1" thickBot="1" x14ac:dyDescent="0.35">
      <c r="B67" s="86" t="s">
        <v>159</v>
      </c>
      <c r="C67" s="51">
        <f>SUBTOTAL(9,C66:C66)</f>
        <v>13</v>
      </c>
      <c r="D67" s="51"/>
      <c r="E67" s="15"/>
      <c r="F67" s="8"/>
      <c r="G67" s="8">
        <f>SUBTOTAL(9,G66:G66)</f>
        <v>1</v>
      </c>
      <c r="H67" s="57">
        <f>SUBTOTAL(9,H66:H66)</f>
        <v>7.6923076923076927E-2</v>
      </c>
    </row>
    <row r="68" spans="2:8" ht="79.95" customHeight="1" thickTop="1" x14ac:dyDescent="0.3"/>
  </sheetData>
  <sortState ref="E32:G35">
    <sortCondition descending="1" ref="G32:G35"/>
  </sortState>
  <mergeCells count="24">
    <mergeCell ref="C31:C32"/>
    <mergeCell ref="D18:D19"/>
    <mergeCell ref="D2:D3"/>
    <mergeCell ref="B2:B3"/>
    <mergeCell ref="D5:D6"/>
    <mergeCell ref="B5:B6"/>
    <mergeCell ref="C2:C3"/>
    <mergeCell ref="C5:C6"/>
    <mergeCell ref="B18:B19"/>
    <mergeCell ref="C18:C19"/>
    <mergeCell ref="B56:B59"/>
    <mergeCell ref="D56:D59"/>
    <mergeCell ref="B61:B62"/>
    <mergeCell ref="D61:D62"/>
    <mergeCell ref="C56:C59"/>
    <mergeCell ref="C61:C62"/>
    <mergeCell ref="C49:C50"/>
    <mergeCell ref="B49:B50"/>
    <mergeCell ref="D49:D50"/>
    <mergeCell ref="D38:D39"/>
    <mergeCell ref="B38:B39"/>
    <mergeCell ref="C38:C39"/>
    <mergeCell ref="D31:D32"/>
    <mergeCell ref="B31:B32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"/>
  <sheetViews>
    <sheetView workbookViewId="0">
      <selection activeCell="E16" sqref="E16"/>
    </sheetView>
  </sheetViews>
  <sheetFormatPr defaultRowHeight="14.4" x14ac:dyDescent="0.3"/>
  <cols>
    <col min="2" max="2" width="6.109375" style="1" customWidth="1"/>
    <col min="3" max="3" width="48.77734375" style="1" customWidth="1"/>
    <col min="5" max="5" width="8.88671875" style="66"/>
  </cols>
  <sheetData>
    <row r="1" spans="2:5" ht="15.6" thickTop="1" thickBot="1" x14ac:dyDescent="0.35">
      <c r="B1" s="3"/>
      <c r="C1" s="3"/>
      <c r="D1" s="2"/>
      <c r="E1" s="55" t="s">
        <v>125</v>
      </c>
    </row>
    <row r="2" spans="2:5" ht="32.4" thickTop="1" thickBot="1" x14ac:dyDescent="0.35">
      <c r="B2" s="47">
        <v>19</v>
      </c>
      <c r="C2" s="42" t="s">
        <v>20</v>
      </c>
      <c r="D2" s="2">
        <v>9</v>
      </c>
      <c r="E2" s="55">
        <f>D2/B2</f>
        <v>0.47368421052631576</v>
      </c>
    </row>
    <row r="3" spans="2:5" ht="31.2" thickTop="1" thickBot="1" x14ac:dyDescent="0.35">
      <c r="B3" s="80">
        <v>13</v>
      </c>
      <c r="C3" s="46" t="s">
        <v>13</v>
      </c>
      <c r="D3" s="2">
        <v>1</v>
      </c>
      <c r="E3" s="55">
        <f>D3/13</f>
        <v>7.6923076923076927E-2</v>
      </c>
    </row>
    <row r="4" spans="2:5" ht="31.2" thickTop="1" thickBot="1" x14ac:dyDescent="0.35">
      <c r="B4" s="80"/>
      <c r="C4" s="46" t="s">
        <v>12</v>
      </c>
      <c r="D4" s="2">
        <v>1</v>
      </c>
      <c r="E4" s="55">
        <f>D4/13</f>
        <v>7.6923076923076927E-2</v>
      </c>
    </row>
    <row r="5" spans="2:5" ht="16.2" thickTop="1" thickBot="1" x14ac:dyDescent="0.35">
      <c r="B5" s="48"/>
      <c r="C5" s="46" t="s">
        <v>5</v>
      </c>
      <c r="D5" s="2">
        <v>4</v>
      </c>
      <c r="E5" s="55"/>
    </row>
    <row r="6" spans="2:5" ht="16.2" thickTop="1" thickBot="1" x14ac:dyDescent="0.35">
      <c r="B6" s="46"/>
      <c r="C6" s="46" t="s">
        <v>0</v>
      </c>
      <c r="D6" s="2">
        <v>3</v>
      </c>
      <c r="E6" s="55"/>
    </row>
    <row r="7" spans="2:5" ht="16.8" thickTop="1" thickBot="1" x14ac:dyDescent="0.35">
      <c r="B7" s="42"/>
      <c r="C7" s="42" t="s">
        <v>21</v>
      </c>
      <c r="D7" s="2">
        <v>1</v>
      </c>
      <c r="E7" s="55"/>
    </row>
    <row r="8" spans="2:5" ht="16.2" thickTop="1" thickBot="1" x14ac:dyDescent="0.35">
      <c r="B8" s="46"/>
      <c r="C8" s="46" t="s">
        <v>1</v>
      </c>
      <c r="D8" s="2">
        <v>1</v>
      </c>
      <c r="E8" s="55"/>
    </row>
    <row r="9" spans="2:5" ht="16.2" thickTop="1" thickBot="1" x14ac:dyDescent="0.35">
      <c r="B9" s="49"/>
      <c r="C9" s="69" t="s">
        <v>2</v>
      </c>
      <c r="D9" s="2">
        <v>1</v>
      </c>
      <c r="E9" s="55"/>
    </row>
    <row r="10" spans="2:5" ht="15" thickTop="1" x14ac:dyDescent="0.3"/>
  </sheetData>
  <sortState ref="B5:E10">
    <sortCondition descending="1" ref="D5:D10"/>
  </sortState>
  <mergeCells count="1">
    <mergeCell ref="B3:B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workbookViewId="0">
      <selection activeCell="E2" sqref="E2"/>
    </sheetView>
  </sheetViews>
  <sheetFormatPr defaultRowHeight="14.4" x14ac:dyDescent="0.3"/>
  <cols>
    <col min="3" max="3" width="25.6640625" customWidth="1"/>
    <col min="5" max="5" width="8.88671875" style="66"/>
  </cols>
  <sheetData>
    <row r="1" spans="2:5" ht="30" customHeight="1" thickTop="1" thickBot="1" x14ac:dyDescent="0.35">
      <c r="B1" s="2"/>
      <c r="C1" s="2"/>
      <c r="D1" s="2"/>
      <c r="E1" s="55" t="s">
        <v>125</v>
      </c>
    </row>
    <row r="2" spans="2:5" ht="48" thickTop="1" thickBot="1" x14ac:dyDescent="0.35">
      <c r="B2" s="2"/>
      <c r="C2" s="42" t="s">
        <v>37</v>
      </c>
      <c r="D2" s="45">
        <v>8</v>
      </c>
      <c r="E2" s="55"/>
    </row>
    <row r="3" spans="2:5" ht="30" customHeight="1" thickTop="1" thickBot="1" x14ac:dyDescent="0.35">
      <c r="B3" s="2"/>
      <c r="C3" s="42" t="s">
        <v>36</v>
      </c>
      <c r="D3" s="44">
        <v>6</v>
      </c>
      <c r="E3" s="55"/>
    </row>
    <row r="4" spans="2:5" ht="30" customHeight="1" thickTop="1" thickBot="1" x14ac:dyDescent="0.35">
      <c r="B4" s="41">
        <v>21</v>
      </c>
      <c r="C4" s="42" t="s">
        <v>29</v>
      </c>
      <c r="D4" s="43">
        <v>5</v>
      </c>
      <c r="E4" s="55">
        <f>D4/B4</f>
        <v>0.23809523809523808</v>
      </c>
    </row>
    <row r="5" spans="2:5" ht="30" customHeight="1" thickTop="1" thickBot="1" x14ac:dyDescent="0.35">
      <c r="B5" s="2"/>
      <c r="C5" s="42" t="s">
        <v>33</v>
      </c>
      <c r="D5" s="44">
        <v>4</v>
      </c>
      <c r="E5" s="55"/>
    </row>
    <row r="6" spans="2:5" ht="30" customHeight="1" thickTop="1" thickBot="1" x14ac:dyDescent="0.35">
      <c r="B6" s="2"/>
      <c r="C6" s="46" t="s">
        <v>38</v>
      </c>
      <c r="D6" s="45">
        <v>2</v>
      </c>
      <c r="E6" s="55"/>
    </row>
    <row r="7" spans="2:5" ht="30" customHeight="1" thickTop="1" thickBot="1" x14ac:dyDescent="0.35">
      <c r="B7" s="2"/>
      <c r="C7" s="42" t="s">
        <v>30</v>
      </c>
      <c r="D7" s="44">
        <v>1</v>
      </c>
      <c r="E7" s="55"/>
    </row>
    <row r="8" spans="2:5" ht="30" customHeight="1" thickTop="1" thickBot="1" x14ac:dyDescent="0.35">
      <c r="B8" s="2"/>
      <c r="C8" s="42" t="s">
        <v>31</v>
      </c>
      <c r="D8" s="44">
        <v>1</v>
      </c>
      <c r="E8" s="55"/>
    </row>
    <row r="9" spans="2:5" ht="30" customHeight="1" thickTop="1" thickBot="1" x14ac:dyDescent="0.35">
      <c r="B9" s="41">
        <v>2</v>
      </c>
      <c r="C9" s="42" t="s">
        <v>32</v>
      </c>
      <c r="D9" s="45">
        <v>1</v>
      </c>
      <c r="E9" s="55">
        <f>D9/B9</f>
        <v>0.5</v>
      </c>
    </row>
    <row r="10" spans="2:5" ht="30" customHeight="1" thickTop="1" thickBot="1" x14ac:dyDescent="0.35">
      <c r="B10" s="2"/>
      <c r="C10" s="42" t="s">
        <v>34</v>
      </c>
      <c r="D10" s="44">
        <v>1</v>
      </c>
      <c r="E10" s="55"/>
    </row>
    <row r="11" spans="2:5" ht="30" customHeight="1" thickTop="1" thickBot="1" x14ac:dyDescent="0.35">
      <c r="B11" s="2"/>
      <c r="C11" s="42" t="s">
        <v>35</v>
      </c>
      <c r="D11" s="44">
        <v>1</v>
      </c>
      <c r="E11" s="55"/>
    </row>
    <row r="12" spans="2:5" ht="30" customHeight="1" thickTop="1" x14ac:dyDescent="0.3">
      <c r="C12" s="1"/>
    </row>
  </sheetData>
  <sortState ref="B1:E11">
    <sortCondition descending="1" ref="D1:D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2025-05-10T11:07:33Z</dcterms:modified>
</cp:coreProperties>
</file>