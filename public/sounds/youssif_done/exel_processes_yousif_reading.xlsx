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youssif_done\"/>
    </mc:Choice>
  </mc:AlternateContent>
  <bookViews>
    <workbookView xWindow="0" yWindow="0" windowWidth="13296" windowHeight="8220" activeTab="2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Sheet1!#REF!</definedName>
    <definedName name="_xlnm._FilterDatabase" localSheetId="0" hidden="1">Sheet1!$B$1:$B$213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H2" i="1"/>
  <c r="H3" i="1"/>
  <c r="G4" i="1"/>
  <c r="G107" i="1" s="1"/>
  <c r="H4" i="1"/>
  <c r="H5" i="1"/>
  <c r="H6" i="1"/>
  <c r="H7" i="1"/>
  <c r="H9" i="1" s="1"/>
  <c r="H8" i="1"/>
  <c r="C9" i="1"/>
  <c r="G9" i="1"/>
  <c r="H10" i="1"/>
  <c r="H13" i="1" s="1"/>
  <c r="H11" i="1"/>
  <c r="H12" i="1"/>
  <c r="C13" i="1"/>
  <c r="G13" i="1"/>
  <c r="H14" i="1"/>
  <c r="H15" i="1"/>
  <c r="H19" i="1" s="1"/>
  <c r="H16" i="1"/>
  <c r="H17" i="1"/>
  <c r="H18" i="1"/>
  <c r="C19" i="1"/>
  <c r="G19" i="1"/>
  <c r="H20" i="1"/>
  <c r="C21" i="1"/>
  <c r="G21" i="1"/>
  <c r="H21" i="1"/>
  <c r="H22" i="1"/>
  <c r="C23" i="1"/>
  <c r="G23" i="1"/>
  <c r="H23" i="1"/>
  <c r="H24" i="1"/>
  <c r="H25" i="1"/>
  <c r="H26" i="1" s="1"/>
  <c r="C26" i="1"/>
  <c r="G26" i="1"/>
  <c r="H27" i="1"/>
  <c r="H31" i="1" s="1"/>
  <c r="H28" i="1"/>
  <c r="H29" i="1"/>
  <c r="H30" i="1"/>
  <c r="C31" i="1"/>
  <c r="G31" i="1"/>
  <c r="H32" i="1"/>
  <c r="H33" i="1"/>
  <c r="H34" i="1" s="1"/>
  <c r="C34" i="1"/>
  <c r="G34" i="1"/>
  <c r="H35" i="1"/>
  <c r="H44" i="1" s="1"/>
  <c r="H36" i="1"/>
  <c r="H37" i="1"/>
  <c r="H38" i="1"/>
  <c r="H39" i="1"/>
  <c r="H40" i="1"/>
  <c r="H41" i="1"/>
  <c r="H42" i="1"/>
  <c r="H43" i="1"/>
  <c r="C44" i="1"/>
  <c r="G44" i="1"/>
  <c r="H45" i="1"/>
  <c r="H46" i="1" s="1"/>
  <c r="C46" i="1"/>
  <c r="G46" i="1"/>
  <c r="H47" i="1"/>
  <c r="H48" i="1" s="1"/>
  <c r="C48" i="1"/>
  <c r="G48" i="1"/>
  <c r="H49" i="1"/>
  <c r="H50" i="1" s="1"/>
  <c r="C50" i="1"/>
  <c r="G50" i="1"/>
  <c r="H51" i="1"/>
  <c r="H54" i="1" s="1"/>
  <c r="H52" i="1"/>
  <c r="H53" i="1"/>
  <c r="C54" i="1"/>
  <c r="G54" i="1"/>
  <c r="H55" i="1"/>
  <c r="H56" i="1"/>
  <c r="H57" i="1"/>
  <c r="H58" i="1"/>
  <c r="C59" i="1"/>
  <c r="G59" i="1"/>
  <c r="H59" i="1"/>
  <c r="H60" i="1"/>
  <c r="H61" i="1"/>
  <c r="H64" i="1" s="1"/>
  <c r="H62" i="1"/>
  <c r="H63" i="1"/>
  <c r="C64" i="1"/>
  <c r="G64" i="1"/>
  <c r="H65" i="1"/>
  <c r="H68" i="1" s="1"/>
  <c r="H66" i="1"/>
  <c r="H67" i="1"/>
  <c r="C68" i="1"/>
  <c r="G68" i="1"/>
  <c r="H69" i="1"/>
  <c r="H70" i="1"/>
  <c r="H71" i="1"/>
  <c r="H72" i="1"/>
  <c r="C73" i="1"/>
  <c r="G73" i="1"/>
  <c r="H73" i="1"/>
  <c r="H74" i="1"/>
  <c r="C75" i="1"/>
  <c r="G75" i="1"/>
  <c r="H75" i="1"/>
  <c r="H76" i="1"/>
  <c r="H77" i="1"/>
  <c r="H78" i="1" s="1"/>
  <c r="C78" i="1"/>
  <c r="G78" i="1"/>
  <c r="H79" i="1"/>
  <c r="H80" i="1" s="1"/>
  <c r="C80" i="1"/>
  <c r="G80" i="1"/>
  <c r="H81" i="1"/>
  <c r="H82" i="1"/>
  <c r="C83" i="1"/>
  <c r="G83" i="1"/>
  <c r="H83" i="1"/>
  <c r="H84" i="1"/>
  <c r="H85" i="1"/>
  <c r="H86" i="1" s="1"/>
  <c r="C86" i="1"/>
  <c r="G86" i="1"/>
  <c r="H87" i="1"/>
  <c r="H91" i="1" s="1"/>
  <c r="H88" i="1"/>
  <c r="H89" i="1"/>
  <c r="H90" i="1"/>
  <c r="C91" i="1"/>
  <c r="G91" i="1"/>
  <c r="H92" i="1"/>
  <c r="H93" i="1"/>
  <c r="H96" i="1" s="1"/>
  <c r="H94" i="1"/>
  <c r="H95" i="1"/>
  <c r="C96" i="1"/>
  <c r="G96" i="1"/>
  <c r="H97" i="1"/>
  <c r="H100" i="1" s="1"/>
  <c r="H98" i="1"/>
  <c r="H99" i="1"/>
  <c r="C100" i="1"/>
  <c r="G100" i="1"/>
  <c r="H101" i="1"/>
  <c r="H102" i="1" s="1"/>
  <c r="C102" i="1"/>
  <c r="G102" i="1"/>
  <c r="H103" i="1"/>
  <c r="H106" i="1" s="1"/>
  <c r="H104" i="1"/>
  <c r="H105" i="1"/>
  <c r="C106" i="1"/>
  <c r="G106" i="1"/>
  <c r="E17" i="3" l="1"/>
  <c r="E16" i="3"/>
  <c r="E12" i="3"/>
  <c r="E4" i="3"/>
  <c r="E2" i="3"/>
  <c r="E10" i="2"/>
  <c r="E4" i="2"/>
  <c r="E5" i="2"/>
  <c r="E6" i="2"/>
  <c r="E7" i="2"/>
  <c r="E3" i="2"/>
  <c r="E2" i="2"/>
  <c r="D21" i="2" l="1"/>
</calcChain>
</file>

<file path=xl/sharedStrings.xml><?xml version="1.0" encoding="utf-8"?>
<sst xmlns="http://schemas.openxmlformats.org/spreadsheetml/2006/main" count="289" uniqueCount="247">
  <si>
    <t>Metathesis</t>
  </si>
  <si>
    <t>Diphthongization</t>
  </si>
  <si>
    <t xml:space="preserve">Glottalization(substitution of [ʕ] with [ʔ]), </t>
  </si>
  <si>
    <t>Glottalization(substitution of [ɣ] with [ʔ])</t>
  </si>
  <si>
    <t>Glottalization(substitution of [j] with [ʔ]),</t>
  </si>
  <si>
    <t>Glottalization(insertion of  [ʔ] phone)</t>
  </si>
  <si>
    <t>substitution of [l] with [ɻ]</t>
  </si>
  <si>
    <t>substitution of [l] with [r]</t>
  </si>
  <si>
    <t>substitution of [ʔ]with [n]</t>
  </si>
  <si>
    <t>substitution of [q] with [g]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</si>
  <si>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</si>
  <si>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</si>
  <si>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</si>
  <si>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>substitution of [ɣ] with [ʕ]</t>
  </si>
  <si>
    <t>substitution of [χ] with [ħ]</t>
  </si>
  <si>
    <t xml:space="preserve">Aspiration ( substitution of [k]with [kʰ]) , </t>
  </si>
  <si>
    <t xml:space="preserve">Aspiration ( substitution of [t]with [tʰ]) </t>
  </si>
  <si>
    <t>substitution of [ħ]with [n]</t>
  </si>
  <si>
    <t>substitution of [z]with [t͡s ]</t>
  </si>
  <si>
    <t xml:space="preserve">depharyngealization(substitution of [sˤ] with [s]), </t>
  </si>
  <si>
    <t>substitution of [ʃ] with [s]</t>
  </si>
  <si>
    <t>devoicing, depharyngealization and deinterdentalization substitution of[ðˤ] with [ s],</t>
  </si>
  <si>
    <t>depharyngealization and voicing (substitution of [tˤ] with [d]),</t>
  </si>
  <si>
    <t>pharyngealization(substitution of [t] with [tˤ]),</t>
  </si>
  <si>
    <t>depharyngealization(substitution of [dˤ] with [d]),</t>
  </si>
  <si>
    <t>Devoicing(substitution of [d͡ʒ] with [t͡ʃ])</t>
  </si>
  <si>
    <t>devoicing and deinterdentalization substitution of[ð] with [ s],</t>
  </si>
  <si>
    <t>degemination(reduce consonant cluster to one single consonant)</t>
  </si>
  <si>
    <t>substitution of [ɣ]with [q]</t>
  </si>
  <si>
    <t>substitution of [n] with [d]</t>
  </si>
  <si>
    <t>deaffrication(substitution of [d͡ʒ]with [ʒ])</t>
  </si>
  <si>
    <t>substitution of [z]with[d͡z]</t>
  </si>
  <si>
    <t>stopping and devoicing (substitution of [d͡ʒ]with [t])</t>
  </si>
  <si>
    <t>stopping  (substitution of [d͡ʒ]with [d])</t>
  </si>
  <si>
    <t>substitution of [ħ]with [χ]</t>
  </si>
  <si>
    <t>substitution of [h]with [χ]</t>
  </si>
  <si>
    <t>substitution of [ħ]with [h]</t>
  </si>
  <si>
    <t>substitution of [h]with [ħ]</t>
  </si>
  <si>
    <t>Epenthesis(insert vowel [ʊ] between  consnant cluster)</t>
  </si>
  <si>
    <t>Epenthesis(insert diphthong [i:] between  consnant cluster)</t>
  </si>
  <si>
    <t>substitution of [ð]with[d͡z]</t>
  </si>
  <si>
    <t>fronting(substitution of [d] with [b])</t>
  </si>
  <si>
    <t>deaffrication and devoicing(substitution of [d͡ʒ]with [ʃ])</t>
  </si>
  <si>
    <t>stopping and devoicing (substitution of [d͡ʒ]with [tʰ])</t>
  </si>
  <si>
    <t>devoicing(substitution of [d]with [t])</t>
  </si>
  <si>
    <t>substitution of [j] with [w]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</si>
  <si>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</si>
  <si>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</si>
  <si>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</si>
  <si>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[n] phone)</t>
  </si>
  <si>
    <t>substitution of [ð] with [t͡s]</t>
  </si>
  <si>
    <t>substitution of [θ] with [t͡s]</t>
  </si>
  <si>
    <t>substitution of [ðˤ]with[d͡z]</t>
  </si>
  <si>
    <t>substitution of [h]with [m]</t>
  </si>
  <si>
    <t>final consonant deletion</t>
  </si>
  <si>
    <t>interdentalization(substitution of [z] with [ð])</t>
  </si>
  <si>
    <t>interdentalization(substitution of [s] with [θ])</t>
  </si>
  <si>
    <t>Definite Article deletion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</si>
  <si>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</si>
  <si>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</si>
  <si>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</si>
  <si>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[ɑw]with the colloquial arabic vowel[o:]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</si>
  <si>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</si>
  <si>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</si>
  <si>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</si>
  <si>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</si>
  <si>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</si>
  <si>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 [ʔ]with  [j] affected by colloquial arabic</t>
  </si>
  <si>
    <t>replace  [j]with  [i:] affected by colloquial Arabic</t>
  </si>
  <si>
    <t>consonant deletion  of [ʔ]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</si>
  <si>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</si>
  <si>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</si>
  <si>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</si>
  <si>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</si>
  <si>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</si>
  <si>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</si>
  <si>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</si>
  <si>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</si>
  <si>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</si>
  <si>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</si>
  <si>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</si>
  <si>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</si>
  <si>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</si>
  <si>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</si>
  <si>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</si>
  <si>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</si>
  <si>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</si>
  <si>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</si>
  <si>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</si>
  <si>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</si>
  <si>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</si>
  <si>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</si>
  <si>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</si>
  <si>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</si>
  <si>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</si>
  <si>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</si>
  <si>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</si>
  <si>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</si>
  <si>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</si>
  <si>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</si>
  <si>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</si>
  <si>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</si>
  <si>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</si>
  <si>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</si>
  <si>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</si>
  <si>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</si>
  <si>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</si>
  <si>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</si>
  <si>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</si>
  <si>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</si>
  <si>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</si>
  <si>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</si>
  <si>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</si>
  <si>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</si>
  <si>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</si>
  <si>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</si>
  <si>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</si>
  <si>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</si>
  <si>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</si>
  <si>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</si>
  <si>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</si>
  <si>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</si>
  <si>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</si>
  <si>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</si>
  <si>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</si>
  <si>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</si>
  <si>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</si>
  <si>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</si>
  <si>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</si>
  <si>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</si>
  <si>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</si>
  <si>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</si>
  <si>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</si>
  <si>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 xml:space="preserve">devoicing(substitution of [d]with [d̥])  </t>
  </si>
  <si>
    <t>devoicing(substitution of [z]with [s]),</t>
  </si>
  <si>
    <t>devoicing(substitution of [dˤ]with [tˤ])</t>
  </si>
  <si>
    <t xml:space="preserve">syllable structure process (first syllable deletion)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</si>
  <si>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</si>
  <si>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</si>
  <si>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syllable structure process (consonant insertion of  [ɻ] phone)</t>
  </si>
  <si>
    <r>
      <rPr>
        <sz val="11"/>
        <color rgb="FF7030A0"/>
        <rFont val="Calibri"/>
        <family val="2"/>
        <scheme val="minor"/>
      </rPr>
      <t xml:space="preserve">devoicing(substitution of [z]with [z̥])      </t>
    </r>
    <r>
      <rPr>
        <sz val="11"/>
        <color theme="1"/>
        <rFont val="Calibri"/>
        <family val="2"/>
        <scheme val="minor"/>
      </rPr>
      <t xml:space="preserve">              </t>
    </r>
  </si>
  <si>
    <t>substitution of [g] with [ χ]</t>
  </si>
  <si>
    <t>substitution of [d͡ʒ]with [ħ]</t>
  </si>
  <si>
    <t>substitution of [k]with [q] ,</t>
  </si>
  <si>
    <t xml:space="preserve">Monophthongization </t>
  </si>
  <si>
    <r>
      <rPr>
        <sz val="12"/>
        <color rgb="FF7030A0"/>
        <rFont val="Arial"/>
        <family val="2"/>
      </rPr>
      <t>syllable structure process(final syllable deletion</t>
    </r>
    <r>
      <rPr>
        <sz val="12"/>
        <color theme="1"/>
        <rFont val="Arial"/>
        <family val="2"/>
      </rPr>
      <t>)</t>
    </r>
  </si>
  <si>
    <t>substitution of [s]with [ʃ]</t>
  </si>
  <si>
    <t>syllable structure process (consonant deletion of  [l] phone)</t>
  </si>
  <si>
    <t>substitution of [ʔ]with [l]</t>
  </si>
  <si>
    <t>syllable structure process (consonant insertion of  [w] phone)</t>
  </si>
  <si>
    <t>assimilation (the  [dˤ] phone changes to  [sˤ]  phone to become  similar to the nearby  phone[sˤ])</t>
  </si>
  <si>
    <t>assimilation (the  [m] phone changes to  [b] to become  similar to the nearby  phone[b])</t>
  </si>
  <si>
    <t>syllable structure process (consonant insertion of  [j] phone)</t>
  </si>
  <si>
    <t>assimilation (the  [t] phone changes to  [s]  phone to become  similar to the nearby  phone[sˤ])</t>
  </si>
  <si>
    <t>syllable structure process (consonant insertion of  [b] phone)</t>
  </si>
  <si>
    <t>misreading</t>
  </si>
  <si>
    <t>gemination</t>
  </si>
  <si>
    <t>gliding(substitution of [ʔ] with [w])</t>
  </si>
  <si>
    <t>gliding(substitution of [ʔ] with [j])</t>
  </si>
  <si>
    <t>gliding(substitution of [ʕ] with [j])</t>
  </si>
  <si>
    <t>gliding(substitution of [l] with [j])</t>
  </si>
  <si>
    <t>stopping(substitution of[ð] with [d]),</t>
  </si>
  <si>
    <t>stopping(substitution of[f] with [b]),</t>
  </si>
  <si>
    <t>stopping(substitution of[ħ] with [d]),</t>
  </si>
  <si>
    <t>syllable structure process (consonant deletion of  [r] phone)</t>
  </si>
  <si>
    <t>Vowelization(substitution of [w] with [u:]),</t>
  </si>
  <si>
    <t>Vowelization(substitution of [j] with [i:]),</t>
  </si>
  <si>
    <t>Vowelization(substitution of [ʕ] with [u:]),</t>
  </si>
  <si>
    <t>Vowelization(substitution of [ʕ] with [æ]),</t>
  </si>
  <si>
    <t>TOTAL</t>
  </si>
  <si>
    <t>NOTES</t>
  </si>
  <si>
    <t>NUMBUR OF ERROR</t>
  </si>
  <si>
    <t>SYLLABLE STRUCTURE ERROR</t>
  </si>
  <si>
    <t>[l]</t>
  </si>
  <si>
    <t>[r]</t>
  </si>
  <si>
    <t>[ɻ]</t>
  </si>
  <si>
    <t>[j]</t>
  </si>
  <si>
    <t>[sˤ]</t>
  </si>
  <si>
    <t>[ʃ]</t>
  </si>
  <si>
    <t>[θ]</t>
  </si>
  <si>
    <t>[t͡s]</t>
  </si>
  <si>
    <t>[d͡z]</t>
  </si>
  <si>
    <t>[s]</t>
  </si>
  <si>
    <t>[z̥]</t>
  </si>
  <si>
    <t>[ð]</t>
  </si>
  <si>
    <t>[d]</t>
  </si>
  <si>
    <t>[kʰ]</t>
  </si>
  <si>
    <t>[q]</t>
  </si>
  <si>
    <t>[ħ]</t>
  </si>
  <si>
    <t>[d͡ʒ̥]</t>
  </si>
  <si>
    <t>[tʰ]</t>
  </si>
  <si>
    <t>[ʒ]</t>
  </si>
  <si>
    <t>[t]</t>
  </si>
  <si>
    <t>[χ]</t>
  </si>
  <si>
    <t>[t͡ʃ]</t>
  </si>
  <si>
    <t>[g]</t>
  </si>
  <si>
    <t>[ʔ]</t>
  </si>
  <si>
    <t>[ʕ]</t>
  </si>
  <si>
    <t>[u:]</t>
  </si>
  <si>
    <t>[æ]</t>
  </si>
  <si>
    <t>[n]</t>
  </si>
  <si>
    <t>[h]</t>
  </si>
  <si>
    <t>[m]</t>
  </si>
  <si>
    <t>[w]</t>
  </si>
  <si>
    <t>[b]</t>
  </si>
  <si>
    <t>[p]</t>
  </si>
  <si>
    <t>[pʰ]</t>
  </si>
  <si>
    <t>[tˤ]</t>
  </si>
  <si>
    <t>[d̥]</t>
  </si>
  <si>
    <t>[i:]</t>
  </si>
  <si>
    <t>[-]</t>
  </si>
  <si>
    <t>percentage</t>
  </si>
  <si>
    <t>PERCENTAGE</t>
  </si>
  <si>
    <t>letter</t>
  </si>
  <si>
    <t>total</t>
  </si>
  <si>
    <t>arabic letter</t>
  </si>
  <si>
    <t>phonological_processes</t>
  </si>
  <si>
    <t>allpohone</t>
  </si>
  <si>
    <t>number of error</t>
  </si>
  <si>
    <t>r Total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</si>
  <si>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</si>
  <si>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</si>
  <si>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</si>
  <si>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</si>
  <si>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</si>
  <si>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</si>
  <si>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</si>
  <si>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</si>
  <si>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g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</si>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</sst>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sz val="15"/>
      <color rgb="FF000000"/>
      <name val="Segoe UI"/>
      <family val="2"/>
    </font>
    <font>
      <b/>
      <sz val="16"/>
      <color rgb="FFCE181E"/>
      <name val="Arial"/>
      <family val="2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i/>
      <sz val="11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187">
    <xf numFmtId="0" fontId="0" fillId="0" borderId="0" xfId="0"/>
    <xf numFmtId="0" fontId="0" fillId="0" borderId="0" xfId="0" applyAlignment="1">
      <alignment wrapText="1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12" fillId="3" borderId="1" xfId="2" applyFont="1" applyBorder="1" applyAlignment="1">
      <alignment vertical="center" wrapText="1"/>
    </xf>
    <xf numFmtId="0" fontId="3" fillId="3" borderId="1" xfId="2" applyBorder="1" applyAlignment="1">
      <alignment vertical="center"/>
    </xf>
    <xf numFmtId="0" fontId="3" fillId="3" borderId="1" xfId="2" applyBorder="1" applyAlignment="1">
      <alignment vertical="center" wrapText="1"/>
    </xf>
    <xf numFmtId="0" fontId="12" fillId="2" borderId="1" xfId="1" applyFont="1" applyBorder="1" applyAlignment="1">
      <alignment wrapText="1"/>
    </xf>
    <xf numFmtId="0" fontId="2" fillId="2" borderId="1" xfId="1" applyBorder="1"/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/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0" fillId="9" borderId="1" xfId="8" applyFont="1" applyBorder="1" applyAlignment="1">
      <alignment vertical="center" wrapText="1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2" fillId="3" borderId="1" xfId="2" applyFont="1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12" fillId="4" borderId="1" xfId="3" applyFont="1" applyBorder="1" applyAlignment="1">
      <alignment vertical="center" wrapText="1"/>
    </xf>
    <xf numFmtId="0" fontId="14" fillId="3" borderId="1" xfId="2" applyFont="1" applyBorder="1" applyAlignment="1">
      <alignment wrapText="1"/>
    </xf>
    <xf numFmtId="0" fontId="12" fillId="2" borderId="1" xfId="1" applyFont="1" applyBorder="1" applyAlignment="1">
      <alignment vertical="center" wrapText="1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1" fillId="7" borderId="1" xfId="6" applyBorder="1" applyAlignment="1">
      <alignment vertical="center" wrapText="1"/>
    </xf>
    <xf numFmtId="0" fontId="1" fillId="7" borderId="1" xfId="6" applyBorder="1" applyAlignment="1">
      <alignment vertical="center"/>
    </xf>
    <xf numFmtId="0" fontId="12" fillId="3" borderId="1" xfId="2" applyFont="1" applyBorder="1" applyAlignment="1">
      <alignment horizontal="center" vertical="center" wrapText="1" readingOrder="2"/>
    </xf>
    <xf numFmtId="0" fontId="12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12" fillId="6" borderId="1" xfId="5" applyFont="1" applyBorder="1" applyAlignment="1">
      <alignment vertical="center" wrapText="1"/>
    </xf>
    <xf numFmtId="0" fontId="1" fillId="6" borderId="1" xfId="5" applyBorder="1" applyAlignment="1">
      <alignment vertical="center"/>
    </xf>
    <xf numFmtId="0" fontId="0" fillId="6" borderId="1" xfId="5" applyFont="1" applyBorder="1" applyAlignment="1">
      <alignment vertical="center" wrapText="1"/>
    </xf>
    <xf numFmtId="0" fontId="12" fillId="8" borderId="1" xfId="7" applyFont="1" applyBorder="1" applyAlignment="1">
      <alignment vertical="center" wrapText="1"/>
    </xf>
    <xf numFmtId="0" fontId="1" fillId="8" borderId="1" xfId="7" applyBorder="1" applyAlignment="1">
      <alignment vertical="center"/>
    </xf>
    <xf numFmtId="0" fontId="0" fillId="7" borderId="1" xfId="6" applyFont="1" applyBorder="1" applyAlignment="1">
      <alignment vertical="center" wrapText="1"/>
    </xf>
    <xf numFmtId="0" fontId="5" fillId="4" borderId="1" xfId="3" applyFont="1" applyBorder="1" applyAlignment="1">
      <alignment vertical="center"/>
    </xf>
    <xf numFmtId="0" fontId="12" fillId="7" borderId="1" xfId="6" applyFont="1" applyBorder="1" applyAlignment="1">
      <alignment vertical="center" wrapText="1"/>
    </xf>
    <xf numFmtId="0" fontId="3" fillId="3" borderId="1" xfId="2" applyBorder="1" applyAlignment="1">
      <alignment wrapText="1"/>
    </xf>
    <xf numFmtId="0" fontId="0" fillId="0" borderId="1" xfId="0" applyBorder="1"/>
    <xf numFmtId="0" fontId="8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5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10" fontId="0" fillId="0" borderId="0" xfId="0" applyNumberFormat="1" applyBorder="1"/>
    <xf numFmtId="10" fontId="0" fillId="0" borderId="1" xfId="0" applyNumberFormat="1" applyBorder="1"/>
    <xf numFmtId="10" fontId="4" fillId="4" borderId="1" xfId="3" applyNumberFormat="1" applyBorder="1" applyAlignment="1">
      <alignment vertical="center"/>
    </xf>
    <xf numFmtId="10" fontId="3" fillId="3" borderId="1" xfId="2" applyNumberFormat="1" applyBorder="1" applyAlignment="1">
      <alignment vertical="center"/>
    </xf>
    <xf numFmtId="10" fontId="2" fillId="2" borderId="1" xfId="1" applyNumberFormat="1" applyBorder="1"/>
    <xf numFmtId="10" fontId="1" fillId="9" borderId="1" xfId="8" applyNumberFormat="1" applyBorder="1"/>
    <xf numFmtId="10" fontId="1" fillId="9" borderId="1" xfId="8" applyNumberFormat="1" applyBorder="1" applyAlignment="1">
      <alignment vertical="center"/>
    </xf>
    <xf numFmtId="10" fontId="3" fillId="3" borderId="1" xfId="2" applyNumberFormat="1" applyBorder="1"/>
    <xf numFmtId="10" fontId="2" fillId="2" borderId="1" xfId="1" applyNumberForma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5" borderId="1" xfId="4" applyNumberFormat="1" applyBorder="1" applyAlignment="1">
      <alignment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5" fillId="4" borderId="1" xfId="3" applyNumberFormat="1" applyFont="1" applyBorder="1" applyAlignment="1">
      <alignment vertical="center"/>
    </xf>
    <xf numFmtId="10" fontId="0" fillId="0" borderId="2" xfId="0" applyNumberFormat="1" applyBorder="1"/>
    <xf numFmtId="10" fontId="0" fillId="0" borderId="4" xfId="0" applyNumberFormat="1" applyBorder="1"/>
    <xf numFmtId="0" fontId="4" fillId="4" borderId="2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1" fillId="9" borderId="4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1" fillId="7" borderId="4" xfId="6" applyBorder="1" applyAlignment="1">
      <alignment horizontal="center" vertical="center"/>
    </xf>
    <xf numFmtId="0" fontId="1" fillId="5" borderId="3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/>
    </xf>
    <xf numFmtId="0" fontId="1" fillId="6" borderId="3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7" borderId="4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10" fontId="15" fillId="10" borderId="1" xfId="0" applyNumberFormat="1" applyFont="1" applyFill="1" applyBorder="1" applyAlignment="1">
      <alignment horizontal="center" vertical="center" wrapText="1"/>
    </xf>
    <xf numFmtId="10" fontId="10" fillId="0" borderId="1" xfId="0" applyNumberFormat="1" applyFont="1" applyBorder="1" applyAlignment="1">
      <alignment vertical="center"/>
    </xf>
    <xf numFmtId="10" fontId="8" fillId="0" borderId="1" xfId="0" applyNumberFormat="1" applyFont="1" applyBorder="1" applyAlignment="1">
      <alignment vertical="center"/>
    </xf>
    <xf numFmtId="10" fontId="6" fillId="0" borderId="1" xfId="0" applyNumberFormat="1" applyFont="1" applyBorder="1" applyAlignment="1">
      <alignment vertical="center"/>
    </xf>
    <xf numFmtId="10" fontId="0" fillId="0" borderId="0" xfId="0" applyNumberFormat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0" fontId="17" fillId="0" borderId="1" xfId="0" applyNumberFormat="1" applyFont="1" applyBorder="1" applyAlignment="1">
      <alignment horizontal="center" vertical="center" wrapText="1"/>
    </xf>
    <xf numFmtId="0" fontId="17" fillId="0" borderId="0" xfId="0" applyFont="1"/>
    <xf numFmtId="0" fontId="18" fillId="4" borderId="3" xfId="3" applyFont="1" applyBorder="1" applyAlignment="1">
      <alignment horizontal="center" vertical="center"/>
    </xf>
    <xf numFmtId="0" fontId="19" fillId="3" borderId="3" xfId="2" applyFont="1" applyBorder="1" applyAlignment="1">
      <alignment horizontal="center" vertical="center"/>
    </xf>
    <xf numFmtId="0" fontId="20" fillId="2" borderId="3" xfId="1" applyFont="1" applyBorder="1" applyAlignment="1">
      <alignment horizontal="center" vertical="center"/>
    </xf>
    <xf numFmtId="0" fontId="16" fillId="9" borderId="4" xfId="8" applyFont="1" applyBorder="1" applyAlignment="1">
      <alignment horizontal="center" vertical="center"/>
    </xf>
    <xf numFmtId="0" fontId="19" fillId="3" borderId="1" xfId="2" applyFont="1" applyBorder="1" applyAlignment="1">
      <alignment horizontal="center" vertical="center"/>
    </xf>
    <xf numFmtId="0" fontId="20" fillId="2" borderId="2" xfId="1" applyFont="1" applyBorder="1" applyAlignment="1">
      <alignment horizontal="center" vertical="center"/>
    </xf>
    <xf numFmtId="0" fontId="16" fillId="9" borderId="3" xfId="8" applyFont="1" applyBorder="1" applyAlignment="1">
      <alignment horizontal="center" vertical="center"/>
    </xf>
    <xf numFmtId="0" fontId="21" fillId="2" borderId="4" xfId="1" applyFont="1" applyBorder="1" applyAlignment="1">
      <alignment horizontal="center" vertical="center"/>
    </xf>
    <xf numFmtId="0" fontId="18" fillId="4" borderId="1" xfId="3" applyFont="1" applyBorder="1" applyAlignment="1">
      <alignment horizontal="center" vertical="center"/>
    </xf>
    <xf numFmtId="0" fontId="16" fillId="7" borderId="1" xfId="6" applyFont="1" applyBorder="1" applyAlignment="1">
      <alignment horizontal="center" vertical="center"/>
    </xf>
    <xf numFmtId="0" fontId="12" fillId="3" borderId="2" xfId="2" applyFont="1" applyBorder="1" applyAlignment="1">
      <alignment horizontal="center" vertical="center" wrapText="1" readingOrder="2"/>
    </xf>
    <xf numFmtId="0" fontId="19" fillId="3" borderId="2" xfId="2" applyFont="1" applyBorder="1" applyAlignment="1">
      <alignment horizontal="center" vertical="center"/>
    </xf>
    <xf numFmtId="0" fontId="16" fillId="5" borderId="3" xfId="4" applyFont="1" applyBorder="1" applyAlignment="1">
      <alignment horizontal="center" vertical="center"/>
    </xf>
    <xf numFmtId="0" fontId="16" fillId="6" borderId="3" xfId="5" applyFont="1" applyBorder="1" applyAlignment="1">
      <alignment horizontal="center" vertical="center"/>
    </xf>
    <xf numFmtId="0" fontId="16" fillId="8" borderId="3" xfId="7" applyFont="1" applyBorder="1" applyAlignment="1">
      <alignment horizontal="center" vertical="center"/>
    </xf>
    <xf numFmtId="0" fontId="19" fillId="3" borderId="4" xfId="2" applyFont="1" applyBorder="1" applyAlignment="1">
      <alignment horizontal="center" vertical="center"/>
    </xf>
    <xf numFmtId="0" fontId="18" fillId="4" borderId="2" xfId="3" applyFont="1" applyBorder="1" applyAlignment="1">
      <alignment horizontal="center" vertical="center"/>
    </xf>
    <xf numFmtId="0" fontId="16" fillId="7" borderId="4" xfId="6" applyFont="1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4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7" borderId="4" xfId="6" applyBorder="1" applyAlignment="1">
      <alignment horizontal="center" vertical="center" wrapText="1" readingOrder="2"/>
    </xf>
    <xf numFmtId="0" fontId="0" fillId="7" borderId="2" xfId="6" applyFont="1" applyBorder="1" applyAlignment="1">
      <alignment horizontal="center" vertical="center"/>
    </xf>
    <xf numFmtId="0" fontId="0" fillId="7" borderId="3" xfId="6" applyFont="1" applyBorder="1" applyAlignment="1">
      <alignment horizontal="center" vertical="center"/>
    </xf>
    <xf numFmtId="0" fontId="0" fillId="7" borderId="4" xfId="6" applyFont="1" applyBorder="1" applyAlignment="1">
      <alignment horizontal="center" vertical="center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2" fillId="2" borderId="2" xfId="1" applyFont="1" applyBorder="1" applyAlignment="1">
      <alignment horizontal="center" vertical="center"/>
    </xf>
    <xf numFmtId="0" fontId="12" fillId="2" borderId="3" xfId="1" applyFont="1" applyBorder="1" applyAlignment="1">
      <alignment horizontal="center" vertical="center"/>
    </xf>
    <xf numFmtId="0" fontId="12" fillId="2" borderId="4" xfId="1" applyFont="1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4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8" borderId="4" xfId="7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/>
    </xf>
  </cellXfs>
  <cellStyles count="9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Sheet1!$F$2:$F$3</c:f>
              <c:strCache>
                <c:ptCount val="2"/>
                <c:pt idx="0">
                  <c:v>[l]</c:v>
                </c:pt>
                <c:pt idx="1">
                  <c:v>[-]</c:v>
                </c:pt>
              </c:strCache>
            </c:strRef>
          </c:cat>
          <c:val>
            <c:numRef>
              <c:f>Sheet1!$G$2:$G$3</c:f>
              <c:numCache>
                <c:formatCode>General</c:formatCode>
                <c:ptCount val="2"/>
                <c:pt idx="0">
                  <c:v>48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0-434C-A43A-4DE0C0E70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227759"/>
        <c:axId val="37422817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Sheet1!$F$2:$F$3</c:f>
              <c:strCache>
                <c:ptCount val="2"/>
                <c:pt idx="0">
                  <c:v>[l]</c:v>
                </c:pt>
                <c:pt idx="1">
                  <c:v>[-]</c:v>
                </c:pt>
              </c:strCache>
            </c:strRef>
          </c:cat>
          <c:val>
            <c:numRef>
              <c:f>Sheet1!$H$2:$H$3</c:f>
              <c:numCache>
                <c:formatCode>0.00%</c:formatCode>
                <c:ptCount val="2"/>
                <c:pt idx="0">
                  <c:v>0.19834710743801653</c:v>
                </c:pt>
                <c:pt idx="1">
                  <c:v>1.2396694214876033E-2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0-434C-A43A-4DE0C0E70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230255"/>
        <c:axId val="374231503"/>
      </c:lineChart>
      <c:catAx>
        <c:axId val="37422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28175"/>
        <c:crosses val="autoZero"/>
        <c:auto val="1"/>
        <c:lblAlgn val="ctr"/>
        <c:lblOffset val="100"/>
        <c:noMultiLvlLbl val="0"/>
      </c:catAx>
      <c:valAx>
        <c:axId val="37422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27759"/>
        <c:crosses val="autoZero"/>
        <c:crossBetween val="between"/>
      </c:valAx>
      <c:valAx>
        <c:axId val="3742315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30255"/>
        <c:crosses val="max"/>
        <c:crossBetween val="between"/>
      </c:valAx>
      <c:catAx>
        <c:axId val="3742302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42315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Sheet1!$F$5:$F$8</c:f>
              <c:strCache>
                <c:ptCount val="4"/>
                <c:pt idx="0">
                  <c:v>[r]</c:v>
                </c:pt>
                <c:pt idx="1">
                  <c:v>[ɻ]</c:v>
                </c:pt>
                <c:pt idx="2">
                  <c:v>[-]</c:v>
                </c:pt>
                <c:pt idx="3">
                  <c:v>[j]</c:v>
                </c:pt>
              </c:strCache>
            </c:strRef>
          </c:cat>
          <c:val>
            <c:numRef>
              <c:f>Sheet1!$G$5:$G$8</c:f>
              <c:numCache>
                <c:formatCode>General</c:formatCode>
                <c:ptCount val="4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8-4C7D-B2C8-350E0602E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021647"/>
        <c:axId val="37402206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Sheet1!$F$5:$F$8</c:f>
              <c:strCache>
                <c:ptCount val="4"/>
                <c:pt idx="0">
                  <c:v>[r]</c:v>
                </c:pt>
                <c:pt idx="1">
                  <c:v>[ɻ]</c:v>
                </c:pt>
                <c:pt idx="2">
                  <c:v>[-]</c:v>
                </c:pt>
                <c:pt idx="3">
                  <c:v>[j]</c:v>
                </c:pt>
              </c:strCache>
            </c:strRef>
          </c:cat>
          <c:val>
            <c:numRef>
              <c:f>Sheet1!$H$5:$H$8</c:f>
              <c:numCache>
                <c:formatCode>0.00%</c:formatCode>
                <c:ptCount val="4"/>
                <c:pt idx="0">
                  <c:v>2.1806853582554516E-2</c:v>
                </c:pt>
                <c:pt idx="1">
                  <c:v>6.2305295950155761E-3</c:v>
                </c:pt>
                <c:pt idx="2">
                  <c:v>6.2305295950155761E-3</c:v>
                </c:pt>
                <c:pt idx="3">
                  <c:v>3.1152647975077881E-3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B8-4C7D-B2C8-350E0602E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022895"/>
        <c:axId val="374019567"/>
      </c:lineChart>
      <c:catAx>
        <c:axId val="37402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022063"/>
        <c:crosses val="autoZero"/>
        <c:auto val="1"/>
        <c:lblAlgn val="ctr"/>
        <c:lblOffset val="100"/>
        <c:noMultiLvlLbl val="0"/>
      </c:catAx>
      <c:valAx>
        <c:axId val="3740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021647"/>
        <c:crosses val="autoZero"/>
        <c:crossBetween val="between"/>
      </c:valAx>
      <c:valAx>
        <c:axId val="37401956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022895"/>
        <c:crosses val="max"/>
        <c:crossBetween val="between"/>
      </c:valAx>
      <c:catAx>
        <c:axId val="3740228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401956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Sheet1!$F$10:$F$12</c:f>
              <c:strCache>
                <c:ptCount val="3"/>
                <c:pt idx="0">
                  <c:v>[ʃ]</c:v>
                </c:pt>
                <c:pt idx="1">
                  <c:v>[sˤ]</c:v>
                </c:pt>
                <c:pt idx="2">
                  <c:v>[θ]</c:v>
                </c:pt>
              </c:strCache>
            </c:strRef>
          </c:cat>
          <c:val>
            <c:numRef>
              <c:f>Sheet1!$G$10:$G$12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A-4D7D-B1CE-C2835B9C1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248239"/>
        <c:axId val="37824865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Sheet1!$F$10:$F$12</c:f>
              <c:strCache>
                <c:ptCount val="3"/>
                <c:pt idx="0">
                  <c:v>[ʃ]</c:v>
                </c:pt>
                <c:pt idx="1">
                  <c:v>[sˤ]</c:v>
                </c:pt>
                <c:pt idx="2">
                  <c:v>[θ]</c:v>
                </c:pt>
              </c:strCache>
            </c:strRef>
          </c:cat>
          <c:val>
            <c:numRef>
              <c:f>Sheet1!$H$10:$H$12</c:f>
              <c:numCache>
                <c:formatCode>0.00%</c:formatCode>
                <c:ptCount val="3"/>
                <c:pt idx="0">
                  <c:v>1.5267175572519083E-2</c:v>
                </c:pt>
                <c:pt idx="1">
                  <c:v>7.6335877862595417E-3</c:v>
                </c:pt>
                <c:pt idx="2">
                  <c:v>7.6335877862595417E-3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A-4D7D-B1CE-C2835B9C1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251151"/>
        <c:axId val="378252399"/>
      </c:lineChart>
      <c:catAx>
        <c:axId val="37824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48655"/>
        <c:crosses val="autoZero"/>
        <c:auto val="1"/>
        <c:lblAlgn val="ctr"/>
        <c:lblOffset val="100"/>
        <c:noMultiLvlLbl val="0"/>
      </c:catAx>
      <c:valAx>
        <c:axId val="37824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48239"/>
        <c:crosses val="autoZero"/>
        <c:crossBetween val="between"/>
      </c:valAx>
      <c:valAx>
        <c:axId val="3782523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51151"/>
        <c:crosses val="max"/>
        <c:crossBetween val="between"/>
      </c:valAx>
      <c:catAx>
        <c:axId val="378251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82523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Sheet1!$E$14:$F$18</c15:sqref>
                  </c15:fullRef>
                  <c15:levelRef>
                    <c15:sqref>Sheet1!$E$14:$E$18</c15:sqref>
                  </c15:levelRef>
                </c:ext>
              </c:extLst>
              <c:f>Sheet1!$E$14:$E$18</c:f>
              <c:strCache>
                <c:ptCount val="5"/>
                <c:pt idx="0">
                  <c:v>substitution of [z]with[d͡z]</c:v>
                </c:pt>
                <c:pt idx="1">
                  <c:v>substitution of [z]with [t͡s ]</c:v>
                </c:pt>
                <c:pt idx="2">
                  <c:v>interdentalization(substitution of [z] with [ð])</c:v>
                </c:pt>
                <c:pt idx="3">
                  <c:v>devoicing(substitution of [z]with [s]),</c:v>
                </c:pt>
                <c:pt idx="4">
                  <c:v>devoicing(substitution of [z]with [z̥])                    </c:v>
                </c:pt>
              </c:strCache>
            </c:strRef>
          </c:cat>
          <c:val>
            <c:numRef>
              <c:f>Sheet1!$G$14:$G$18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8-4FD2-B3E5-2917B633F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320335"/>
        <c:axId val="22031492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Sheet1!$E$14:$F$18</c15:sqref>
                  </c15:fullRef>
                  <c15:levelRef>
                    <c15:sqref>Sheet1!$E$14:$E$18</c15:sqref>
                  </c15:levelRef>
                </c:ext>
              </c:extLst>
              <c:f>Sheet1!$E$14:$E$18</c:f>
              <c:strCache>
                <c:ptCount val="5"/>
                <c:pt idx="0">
                  <c:v>substitution of [z]with[d͡z]</c:v>
                </c:pt>
                <c:pt idx="1">
                  <c:v>substitution of [z]with [t͡s ]</c:v>
                </c:pt>
                <c:pt idx="2">
                  <c:v>interdentalization(substitution of [z] with [ð])</c:v>
                </c:pt>
                <c:pt idx="3">
                  <c:v>devoicing(substitution of [z]with [s]),</c:v>
                </c:pt>
                <c:pt idx="4">
                  <c:v>devoicing(substitution of [z]with [z̥])                    </c:v>
                </c:pt>
              </c:strCache>
            </c:strRef>
          </c:cat>
          <c:val>
            <c:numRef>
              <c:f>Sheet1!$H$14:$H$18</c:f>
              <c:numCache>
                <c:formatCode>0.00%</c:formatCode>
                <c:ptCount val="5"/>
                <c:pt idx="0">
                  <c:v>0.2608695652173913</c:v>
                </c:pt>
                <c:pt idx="1">
                  <c:v>0.21739130434782608</c:v>
                </c:pt>
                <c:pt idx="2">
                  <c:v>0.13043478260869565</c:v>
                </c:pt>
                <c:pt idx="3">
                  <c:v>8.6956521739130432E-2</c:v>
                </c:pt>
                <c:pt idx="4">
                  <c:v>8.6956521739130432E-2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88-4FD2-B3E5-2917B633F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317423"/>
        <c:axId val="220317007"/>
      </c:lineChart>
      <c:catAx>
        <c:axId val="22032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14927"/>
        <c:crosses val="autoZero"/>
        <c:auto val="1"/>
        <c:lblAlgn val="ctr"/>
        <c:lblOffset val="100"/>
        <c:noMultiLvlLbl val="0"/>
      </c:catAx>
      <c:valAx>
        <c:axId val="22031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20335"/>
        <c:crosses val="autoZero"/>
        <c:crossBetween val="between"/>
      </c:valAx>
      <c:valAx>
        <c:axId val="22031700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17423"/>
        <c:crosses val="max"/>
        <c:crossBetween val="between"/>
      </c:valAx>
      <c:catAx>
        <c:axId val="220317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031700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Sheet1!$F$20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Sheet1!$G$20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B-4729-A6AD-9A040DACD2E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Sheet1!$F$20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Sheet1!$H$20</c:f>
              <c:numCache>
                <c:formatCode>0.00%</c:formatCode>
                <c:ptCount val="1"/>
                <c:pt idx="0">
                  <c:v>3.5087719298245612E-2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EB-4729-A6AD-9A040DACD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349327"/>
        <c:axId val="383346415"/>
      </c:barChart>
      <c:catAx>
        <c:axId val="38334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46415"/>
        <c:crosses val="autoZero"/>
        <c:auto val="1"/>
        <c:lblAlgn val="ctr"/>
        <c:lblOffset val="100"/>
        <c:noMultiLvlLbl val="0"/>
      </c:catAx>
      <c:valAx>
        <c:axId val="38334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493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[θ]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Sheet1!$F$22</c:f>
              <c:strCache>
                <c:ptCount val="1"/>
                <c:pt idx="0">
                  <c:v>[t͡s]</c:v>
                </c:pt>
              </c:strCache>
            </c:strRef>
          </c:cat>
          <c:val>
            <c:numRef>
              <c:f>Sheet1!$G$22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2-49AB-9B85-4972F0034B8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Sheet1!$F$22</c:f>
              <c:strCache>
                <c:ptCount val="1"/>
                <c:pt idx="0">
                  <c:v>[t͡s]</c:v>
                </c:pt>
              </c:strCache>
            </c:strRef>
          </c:cat>
          <c:val>
            <c:numRef>
              <c:f>Sheet1!$H$22</c:f>
              <c:numCache>
                <c:formatCode>0.00%</c:formatCode>
                <c:ptCount val="1"/>
                <c:pt idx="0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2-49AB-9B85-4972F0034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229839"/>
        <c:axId val="374227343"/>
      </c:barChart>
      <c:catAx>
        <c:axId val="37422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27343"/>
        <c:crosses val="autoZero"/>
        <c:auto val="1"/>
        <c:lblAlgn val="ctr"/>
        <c:lblOffset val="100"/>
        <c:noMultiLvlLbl val="0"/>
      </c:catAx>
      <c:valAx>
        <c:axId val="37422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29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Sheet1!$F$24:$F$25</c:f>
              <c:strCache>
                <c:ptCount val="2"/>
                <c:pt idx="0">
                  <c:v>[s]</c:v>
                </c:pt>
                <c:pt idx="1">
                  <c:v>[d͡z]</c:v>
                </c:pt>
              </c:strCache>
            </c:strRef>
          </c:cat>
          <c:val>
            <c:numRef>
              <c:f>Sheet1!$G$24:$G$25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F-4612-8BDE-95C183806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251983"/>
        <c:axId val="37824782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Sheet1!$F$24:$F$25</c:f>
              <c:strCache>
                <c:ptCount val="2"/>
                <c:pt idx="0">
                  <c:v>[s]</c:v>
                </c:pt>
                <c:pt idx="1">
                  <c:v>[d͡z]</c:v>
                </c:pt>
              </c:strCache>
            </c:strRef>
          </c:cat>
          <c:val>
            <c:numRef>
              <c:f>Sheet1!$H$24:$H$25</c:f>
              <c:numCache>
                <c:formatCode>0.00%</c:formatCode>
                <c:ptCount val="2"/>
                <c:pt idx="0">
                  <c:v>0.05</c:v>
                </c:pt>
                <c:pt idx="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F-4612-8BDE-95C183806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509055"/>
        <c:axId val="378241583"/>
      </c:lineChart>
      <c:catAx>
        <c:axId val="37825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47823"/>
        <c:crosses val="autoZero"/>
        <c:auto val="1"/>
        <c:lblAlgn val="ctr"/>
        <c:lblOffset val="100"/>
        <c:noMultiLvlLbl val="0"/>
      </c:catAx>
      <c:valAx>
        <c:axId val="37824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51983"/>
        <c:crosses val="autoZero"/>
        <c:crossBetween val="between"/>
      </c:valAx>
      <c:valAx>
        <c:axId val="37824158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09055"/>
        <c:crosses val="max"/>
        <c:crossBetween val="between"/>
      </c:valAx>
      <c:catAx>
        <c:axId val="3935090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82415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Sheet1!$F$27:$F$30</c:f>
              <c:strCache>
                <c:ptCount val="4"/>
                <c:pt idx="0">
                  <c:v>[s]</c:v>
                </c:pt>
                <c:pt idx="1">
                  <c:v>[d͡z]</c:v>
                </c:pt>
                <c:pt idx="2">
                  <c:v>[d]</c:v>
                </c:pt>
                <c:pt idx="3">
                  <c:v>[t͡s]</c:v>
                </c:pt>
              </c:strCache>
            </c:strRef>
          </c:cat>
          <c:val>
            <c:numRef>
              <c:f>Sheet1!$G$27:$G$30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7-41DD-8C78-80C458EDA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317839"/>
        <c:axId val="22031575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Sheet1!$F$27:$F$30</c:f>
              <c:strCache>
                <c:ptCount val="4"/>
                <c:pt idx="0">
                  <c:v>[s]</c:v>
                </c:pt>
                <c:pt idx="1">
                  <c:v>[d͡z]</c:v>
                </c:pt>
                <c:pt idx="2">
                  <c:v>[d]</c:v>
                </c:pt>
                <c:pt idx="3">
                  <c:v>[t͡s]</c:v>
                </c:pt>
              </c:strCache>
            </c:strRef>
          </c:cat>
          <c:val>
            <c:numRef>
              <c:f>Sheet1!$H$27:$H$30</c:f>
              <c:numCache>
                <c:formatCode>0.00%</c:formatCode>
                <c:ptCount val="4"/>
                <c:pt idx="0">
                  <c:v>0.10810810810810811</c:v>
                </c:pt>
                <c:pt idx="1">
                  <c:v>8.1081081081081086E-2</c:v>
                </c:pt>
                <c:pt idx="2">
                  <c:v>2.7027027027027029E-2</c:v>
                </c:pt>
                <c:pt idx="3">
                  <c:v>2.7027027027027029E-2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D7-41DD-8C78-80C458EDA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318255"/>
        <c:axId val="220316591"/>
      </c:lineChart>
      <c:catAx>
        <c:axId val="22031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15759"/>
        <c:crosses val="autoZero"/>
        <c:auto val="1"/>
        <c:lblAlgn val="ctr"/>
        <c:lblOffset val="100"/>
        <c:noMultiLvlLbl val="0"/>
      </c:catAx>
      <c:valAx>
        <c:axId val="22031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17839"/>
        <c:crosses val="autoZero"/>
        <c:crossBetween val="between"/>
      </c:valAx>
      <c:valAx>
        <c:axId val="22031659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18255"/>
        <c:crosses val="max"/>
        <c:crossBetween val="between"/>
      </c:valAx>
      <c:catAx>
        <c:axId val="2203182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03165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Sheet1!$F$32:$F$33</c:f>
              <c:strCache>
                <c:ptCount val="2"/>
                <c:pt idx="0">
                  <c:v>[kʰ]</c:v>
                </c:pt>
                <c:pt idx="1">
                  <c:v>[q]</c:v>
                </c:pt>
              </c:strCache>
            </c:strRef>
          </c:cat>
          <c:val>
            <c:numRef>
              <c:f>Sheet1!$G$32:$G$33</c:f>
              <c:numCache>
                <c:formatCode>General</c:formatCode>
                <c:ptCount val="2"/>
                <c:pt idx="0">
                  <c:v>28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8-4754-BC94-D0C555EE2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350159"/>
        <c:axId val="38334558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Sheet1!$F$32:$F$33</c:f>
              <c:strCache>
                <c:ptCount val="2"/>
                <c:pt idx="0">
                  <c:v>[kʰ]</c:v>
                </c:pt>
                <c:pt idx="1">
                  <c:v>[q]</c:v>
                </c:pt>
              </c:strCache>
            </c:strRef>
          </c:cat>
          <c:val>
            <c:numRef>
              <c:f>Sheet1!$H$32:$H$33</c:f>
              <c:numCache>
                <c:formatCode>0.00%</c:formatCode>
                <c:ptCount val="2"/>
                <c:pt idx="0">
                  <c:v>0.32183908045977011</c:v>
                </c:pt>
                <c:pt idx="1">
                  <c:v>1.1494252873563218E-2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8-4754-BC94-D0C555EE2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351407"/>
        <c:axId val="383348079"/>
      </c:lineChart>
      <c:catAx>
        <c:axId val="38335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45583"/>
        <c:crosses val="autoZero"/>
        <c:auto val="1"/>
        <c:lblAlgn val="ctr"/>
        <c:lblOffset val="100"/>
        <c:noMultiLvlLbl val="0"/>
      </c:catAx>
      <c:valAx>
        <c:axId val="38334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50159"/>
        <c:crosses val="autoZero"/>
        <c:crossBetween val="between"/>
      </c:valAx>
      <c:valAx>
        <c:axId val="38334807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51407"/>
        <c:crosses val="max"/>
        <c:crossBetween val="between"/>
      </c:valAx>
      <c:catAx>
        <c:axId val="3833514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334807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Sheet1!$F$35:$F$43</c:f>
              <c:strCache>
                <c:ptCount val="9"/>
                <c:pt idx="0">
                  <c:v>[d͡ʒ̥]</c:v>
                </c:pt>
                <c:pt idx="1">
                  <c:v>[ʒ]</c:v>
                </c:pt>
                <c:pt idx="2">
                  <c:v>[d]</c:v>
                </c:pt>
                <c:pt idx="3">
                  <c:v>[t͡ʃ]</c:v>
                </c:pt>
                <c:pt idx="4">
                  <c:v>[t]</c:v>
                </c:pt>
                <c:pt idx="5">
                  <c:v>[ʃ]</c:v>
                </c:pt>
                <c:pt idx="6">
                  <c:v>[tʰ]</c:v>
                </c:pt>
                <c:pt idx="7">
                  <c:v>[ħ]</c:v>
                </c:pt>
                <c:pt idx="8">
                  <c:v>[χ]</c:v>
                </c:pt>
              </c:strCache>
            </c:strRef>
          </c:cat>
          <c:val>
            <c:numRef>
              <c:f>Sheet1!$G$35:$G$43</c:f>
              <c:numCache>
                <c:formatCode>General</c:formatCode>
                <c:ptCount val="9"/>
                <c:pt idx="0">
                  <c:v>7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E-439F-B634-3A92EF528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349743"/>
        <c:axId val="38334724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Sheet1!$F$35:$F$43</c:f>
              <c:strCache>
                <c:ptCount val="9"/>
                <c:pt idx="0">
                  <c:v>[d͡ʒ̥]</c:v>
                </c:pt>
                <c:pt idx="1">
                  <c:v>[ʒ]</c:v>
                </c:pt>
                <c:pt idx="2">
                  <c:v>[d]</c:v>
                </c:pt>
                <c:pt idx="3">
                  <c:v>[t͡ʃ]</c:v>
                </c:pt>
                <c:pt idx="4">
                  <c:v>[t]</c:v>
                </c:pt>
                <c:pt idx="5">
                  <c:v>[ʃ]</c:v>
                </c:pt>
                <c:pt idx="6">
                  <c:v>[tʰ]</c:v>
                </c:pt>
                <c:pt idx="7">
                  <c:v>[ħ]</c:v>
                </c:pt>
                <c:pt idx="8">
                  <c:v>[χ]</c:v>
                </c:pt>
              </c:strCache>
            </c:strRef>
          </c:cat>
          <c:val>
            <c:numRef>
              <c:f>Sheet1!$H$35:$H$43</c:f>
              <c:numCache>
                <c:formatCode>0.00%</c:formatCode>
                <c:ptCount val="9"/>
                <c:pt idx="0">
                  <c:v>9.0909090909090912E-2</c:v>
                </c:pt>
                <c:pt idx="1">
                  <c:v>9.0909090909090912E-2</c:v>
                </c:pt>
                <c:pt idx="2">
                  <c:v>5.1948051948051951E-2</c:v>
                </c:pt>
                <c:pt idx="3">
                  <c:v>5.1948051948051951E-2</c:v>
                </c:pt>
                <c:pt idx="4">
                  <c:v>3.896103896103896E-2</c:v>
                </c:pt>
                <c:pt idx="5">
                  <c:v>2.5974025974025976E-2</c:v>
                </c:pt>
                <c:pt idx="6">
                  <c:v>2.5974025974025976E-2</c:v>
                </c:pt>
                <c:pt idx="7">
                  <c:v>1.2987012987012988E-2</c:v>
                </c:pt>
                <c:pt idx="8">
                  <c:v>1.2987012987012988E-2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E-439F-B634-3A92EF528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350991"/>
        <c:axId val="383348911"/>
      </c:lineChart>
      <c:catAx>
        <c:axId val="38334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47247"/>
        <c:crosses val="autoZero"/>
        <c:auto val="1"/>
        <c:lblAlgn val="ctr"/>
        <c:lblOffset val="100"/>
        <c:noMultiLvlLbl val="0"/>
      </c:catAx>
      <c:valAx>
        <c:axId val="38334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49743"/>
        <c:crosses val="autoZero"/>
        <c:crossBetween val="between"/>
      </c:valAx>
      <c:valAx>
        <c:axId val="38334891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50991"/>
        <c:crosses val="max"/>
        <c:crossBetween val="between"/>
      </c:valAx>
      <c:catAx>
        <c:axId val="383350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334891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Sheet1!$F$45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Sheet1!$G$45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4-432F-896C-F221CCABD82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Sheet1!$F$45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Sheet1!$H$45</c:f>
              <c:numCache>
                <c:formatCode>0.00%</c:formatCode>
                <c:ptCount val="1"/>
                <c:pt idx="0">
                  <c:v>0.32786885245901637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14-432F-896C-F221CCABD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246575"/>
        <c:axId val="378247407"/>
      </c:barChart>
      <c:catAx>
        <c:axId val="37824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47407"/>
        <c:crosses val="autoZero"/>
        <c:auto val="1"/>
        <c:lblAlgn val="ctr"/>
        <c:lblOffset val="100"/>
        <c:noMultiLvlLbl val="0"/>
      </c:catAx>
      <c:valAx>
        <c:axId val="37824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465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[ʃ]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Sheet1!$F$47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Sheet1!$G$47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0-463A-93A3-30147808E08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Sheet1!$F$47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Sheet1!$H$47</c:f>
              <c:numCache>
                <c:formatCode>0.00%</c:formatCode>
                <c:ptCount val="1"/>
                <c:pt idx="0">
                  <c:v>2.0408163265306121E-2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0-463A-93A3-30147808E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586783"/>
        <c:axId val="376587615"/>
      </c:barChart>
      <c:catAx>
        <c:axId val="37658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587615"/>
        <c:crosses val="autoZero"/>
        <c:auto val="1"/>
        <c:lblAlgn val="ctr"/>
        <c:lblOffset val="100"/>
        <c:noMultiLvlLbl val="0"/>
      </c:catAx>
      <c:valAx>
        <c:axId val="37658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5867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[χ]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Sheet1!$F$49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Sheet1!$G$49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F-4657-952F-13FA7DF0D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Sheet1!$F$49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Sheet1!$H$49</c:f>
              <c:numCache>
                <c:formatCode>0.00%</c:formatCode>
                <c:ptCount val="1"/>
                <c:pt idx="0">
                  <c:v>9.3023255813953487E-2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F-4657-952F-13FA7DF0D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237423"/>
        <c:axId val="378240335"/>
      </c:barChart>
      <c:catAx>
        <c:axId val="37823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40335"/>
        <c:crosses val="autoZero"/>
        <c:auto val="1"/>
        <c:lblAlgn val="ctr"/>
        <c:lblOffset val="100"/>
        <c:noMultiLvlLbl val="0"/>
      </c:catAx>
      <c:valAx>
        <c:axId val="37824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37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[ɣ]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Sheet1!$F$51:$F$53</c:f>
              <c:strCache>
                <c:ptCount val="3"/>
                <c:pt idx="0">
                  <c:v>[ʔ]</c:v>
                </c:pt>
                <c:pt idx="1">
                  <c:v>[ʕ]</c:v>
                </c:pt>
                <c:pt idx="2">
                  <c:v>[q]</c:v>
                </c:pt>
              </c:strCache>
            </c:strRef>
          </c:cat>
          <c:val>
            <c:numRef>
              <c:f>Sheet1!$G$51:$G$53</c:f>
              <c:numCache>
                <c:formatCode>General</c:formatCode>
                <c:ptCount val="3"/>
                <c:pt idx="0">
                  <c:v>6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3-4276-ADED-52E9B4164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521119"/>
        <c:axId val="39350988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Sheet1!$F$51:$F$53</c:f>
              <c:strCache>
                <c:ptCount val="3"/>
                <c:pt idx="0">
                  <c:v>[ʔ]</c:v>
                </c:pt>
                <c:pt idx="1">
                  <c:v>[ʕ]</c:v>
                </c:pt>
                <c:pt idx="2">
                  <c:v>[q]</c:v>
                </c:pt>
              </c:strCache>
            </c:strRef>
          </c:cat>
          <c:val>
            <c:numRef>
              <c:f>Sheet1!$H$51:$H$53</c:f>
              <c:numCache>
                <c:formatCode>0.00%</c:formatCode>
                <c:ptCount val="3"/>
                <c:pt idx="0">
                  <c:v>0.13953488372093023</c:v>
                </c:pt>
                <c:pt idx="1">
                  <c:v>4.6511627906976744E-2</c:v>
                </c:pt>
                <c:pt idx="2">
                  <c:v>2.3255813953488372E-2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3-4276-ADED-52E9B4164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515295"/>
        <c:axId val="393514463"/>
      </c:lineChart>
      <c:catAx>
        <c:axId val="39352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09887"/>
        <c:crosses val="autoZero"/>
        <c:auto val="1"/>
        <c:lblAlgn val="ctr"/>
        <c:lblOffset val="100"/>
        <c:noMultiLvlLbl val="0"/>
      </c:catAx>
      <c:valAx>
        <c:axId val="39350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21119"/>
        <c:crosses val="autoZero"/>
        <c:crossBetween val="between"/>
      </c:valAx>
      <c:valAx>
        <c:axId val="39351446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15295"/>
        <c:crosses val="max"/>
        <c:crossBetween val="between"/>
      </c:valAx>
      <c:catAx>
        <c:axId val="393515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351446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Sheet1!$F$55:$F$58</c:f>
              <c:strCache>
                <c:ptCount val="4"/>
                <c:pt idx="0">
                  <c:v>[ʔ]</c:v>
                </c:pt>
                <c:pt idx="1">
                  <c:v>[j]</c:v>
                </c:pt>
                <c:pt idx="2">
                  <c:v>[u:]</c:v>
                </c:pt>
                <c:pt idx="3">
                  <c:v>[æ]</c:v>
                </c:pt>
              </c:strCache>
            </c:strRef>
          </c:cat>
          <c:val>
            <c:numRef>
              <c:f>Sheet1!$G$55:$G$58</c:f>
              <c:numCache>
                <c:formatCode>General</c:formatCode>
                <c:ptCount val="4"/>
                <c:pt idx="0">
                  <c:v>37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C-4604-8B54-AC3065E1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860479"/>
        <c:axId val="21486089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Sheet1!$F$55:$F$58</c:f>
              <c:strCache>
                <c:ptCount val="4"/>
                <c:pt idx="0">
                  <c:v>[ʔ]</c:v>
                </c:pt>
                <c:pt idx="1">
                  <c:v>[j]</c:v>
                </c:pt>
                <c:pt idx="2">
                  <c:v>[u:]</c:v>
                </c:pt>
                <c:pt idx="3">
                  <c:v>[æ]</c:v>
                </c:pt>
              </c:strCache>
            </c:strRef>
          </c:cat>
          <c:val>
            <c:numRef>
              <c:f>Sheet1!$H$55:$H$58</c:f>
              <c:numCache>
                <c:formatCode>0.00%</c:formatCode>
                <c:ptCount val="4"/>
                <c:pt idx="0">
                  <c:v>0.33944954128440369</c:v>
                </c:pt>
                <c:pt idx="1">
                  <c:v>9.1743119266055051E-3</c:v>
                </c:pt>
                <c:pt idx="2">
                  <c:v>9.1743119266055051E-3</c:v>
                </c:pt>
                <c:pt idx="3">
                  <c:v>9.1743119266055051E-3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3C-4604-8B54-AC3065E1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023727"/>
        <c:axId val="214862559"/>
      </c:lineChart>
      <c:catAx>
        <c:axId val="21486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860895"/>
        <c:crosses val="autoZero"/>
        <c:auto val="1"/>
        <c:lblAlgn val="ctr"/>
        <c:lblOffset val="100"/>
        <c:noMultiLvlLbl val="0"/>
      </c:catAx>
      <c:valAx>
        <c:axId val="21486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860479"/>
        <c:crosses val="autoZero"/>
        <c:crossBetween val="between"/>
      </c:valAx>
      <c:valAx>
        <c:axId val="21486255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023727"/>
        <c:crosses val="max"/>
        <c:crossBetween val="between"/>
      </c:valAx>
      <c:catAx>
        <c:axId val="374023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486255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layout>
        <c:manualLayout>
          <c:xMode val="edge"/>
          <c:yMode val="edge"/>
          <c:x val="0.40949300087489071"/>
          <c:y val="3.9215686274509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Sheet1!$F$60:$F$63</c:f>
              <c:strCache>
                <c:ptCount val="4"/>
                <c:pt idx="0">
                  <c:v>[χ]</c:v>
                </c:pt>
                <c:pt idx="1">
                  <c:v>[h]</c:v>
                </c:pt>
                <c:pt idx="2">
                  <c:v>[n]</c:v>
                </c:pt>
                <c:pt idx="3">
                  <c:v>[d]</c:v>
                </c:pt>
              </c:strCache>
            </c:strRef>
          </c:cat>
          <c:val>
            <c:numRef>
              <c:f>Sheet1!$G$60:$G$63</c:f>
              <c:numCache>
                <c:formatCode>General</c:formatCode>
                <c:ptCount val="4"/>
                <c:pt idx="0">
                  <c:v>43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E-43AD-A5A6-E435EDB66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553135"/>
        <c:axId val="39156187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Sheet1!$F$60:$F$63</c:f>
              <c:strCache>
                <c:ptCount val="4"/>
                <c:pt idx="0">
                  <c:v>[χ]</c:v>
                </c:pt>
                <c:pt idx="1">
                  <c:v>[h]</c:v>
                </c:pt>
                <c:pt idx="2">
                  <c:v>[n]</c:v>
                </c:pt>
                <c:pt idx="3">
                  <c:v>[d]</c:v>
                </c:pt>
              </c:strCache>
            </c:strRef>
          </c:cat>
          <c:val>
            <c:numRef>
              <c:f>Sheet1!$H$60:$H$63</c:f>
              <c:numCache>
                <c:formatCode>0.00%</c:formatCode>
                <c:ptCount val="4"/>
                <c:pt idx="0">
                  <c:v>0.50588235294117645</c:v>
                </c:pt>
                <c:pt idx="1">
                  <c:v>0.12941176470588237</c:v>
                </c:pt>
                <c:pt idx="2">
                  <c:v>3.5294117647058823E-2</c:v>
                </c:pt>
                <c:pt idx="3">
                  <c:v>1.1764705882352941E-2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E-43AD-A5A6-E435EDB66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556879"/>
        <c:axId val="391549391"/>
      </c:lineChart>
      <c:catAx>
        <c:axId val="39155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561871"/>
        <c:crosses val="autoZero"/>
        <c:auto val="1"/>
        <c:lblAlgn val="ctr"/>
        <c:lblOffset val="100"/>
        <c:noMultiLvlLbl val="0"/>
      </c:catAx>
      <c:valAx>
        <c:axId val="3915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553135"/>
        <c:crosses val="autoZero"/>
        <c:crossBetween val="between"/>
      </c:valAx>
      <c:valAx>
        <c:axId val="39154939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556879"/>
        <c:crosses val="max"/>
        <c:crossBetween val="between"/>
      </c:valAx>
      <c:catAx>
        <c:axId val="3915568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15493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Sheet1!$F$65:$F$67</c:f>
              <c:strCache>
                <c:ptCount val="3"/>
                <c:pt idx="0">
                  <c:v>[χ]</c:v>
                </c:pt>
                <c:pt idx="1">
                  <c:v>[ħ]</c:v>
                </c:pt>
                <c:pt idx="2">
                  <c:v>[m]</c:v>
                </c:pt>
              </c:strCache>
            </c:strRef>
          </c:cat>
          <c:val>
            <c:numRef>
              <c:f>Sheet1!$G$65:$G$67</c:f>
              <c:numCache>
                <c:formatCode>General</c:formatCode>
                <c:ptCount val="3"/>
                <c:pt idx="0">
                  <c:v>25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F-4232-A487-048E32427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516127"/>
        <c:axId val="39351030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Sheet1!$F$65:$F$67</c:f>
              <c:strCache>
                <c:ptCount val="3"/>
                <c:pt idx="0">
                  <c:v>[χ]</c:v>
                </c:pt>
                <c:pt idx="1">
                  <c:v>[ħ]</c:v>
                </c:pt>
                <c:pt idx="2">
                  <c:v>[m]</c:v>
                </c:pt>
              </c:strCache>
            </c:strRef>
          </c:cat>
          <c:val>
            <c:numRef>
              <c:f>Sheet1!$H$65:$H$67</c:f>
              <c:numCache>
                <c:formatCode>0.00%</c:formatCode>
                <c:ptCount val="3"/>
                <c:pt idx="0">
                  <c:v>0.29761904761904762</c:v>
                </c:pt>
                <c:pt idx="1">
                  <c:v>8.3333333333333329E-2</c:v>
                </c:pt>
                <c:pt idx="2">
                  <c:v>1.1904761904761904E-2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8F-4232-A487-048E32427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508223"/>
        <c:axId val="393510719"/>
      </c:lineChart>
      <c:catAx>
        <c:axId val="39351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10303"/>
        <c:crosses val="autoZero"/>
        <c:auto val="1"/>
        <c:lblAlgn val="ctr"/>
        <c:lblOffset val="100"/>
        <c:noMultiLvlLbl val="0"/>
      </c:catAx>
      <c:valAx>
        <c:axId val="39351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16127"/>
        <c:crosses val="autoZero"/>
        <c:crossBetween val="between"/>
      </c:valAx>
      <c:valAx>
        <c:axId val="39351071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08223"/>
        <c:crosses val="max"/>
        <c:crossBetween val="between"/>
      </c:valAx>
      <c:catAx>
        <c:axId val="3935082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351071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[ʔ]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Sheet1!$F$69:$F$72</c:f>
              <c:strCache>
                <c:ptCount val="4"/>
                <c:pt idx="0">
                  <c:v>[j]</c:v>
                </c:pt>
                <c:pt idx="1">
                  <c:v>[l]</c:v>
                </c:pt>
                <c:pt idx="2">
                  <c:v>[w]</c:v>
                </c:pt>
                <c:pt idx="3">
                  <c:v>[n]</c:v>
                </c:pt>
              </c:strCache>
            </c:strRef>
          </c:cat>
          <c:val>
            <c:numRef>
              <c:f>Sheet1!$G$69:$G$72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4-4333-A3C8-D119DB545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519039"/>
        <c:axId val="39351113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Sheet1!$F$69:$F$72</c:f>
              <c:strCache>
                <c:ptCount val="4"/>
                <c:pt idx="0">
                  <c:v>[j]</c:v>
                </c:pt>
                <c:pt idx="1">
                  <c:v>[l]</c:v>
                </c:pt>
                <c:pt idx="2">
                  <c:v>[w]</c:v>
                </c:pt>
                <c:pt idx="3">
                  <c:v>[n]</c:v>
                </c:pt>
              </c:strCache>
            </c:strRef>
          </c:cat>
          <c:val>
            <c:numRef>
              <c:f>Sheet1!$H$69:$H$72</c:f>
              <c:numCache>
                <c:formatCode>0.00%</c:formatCode>
                <c:ptCount val="4"/>
                <c:pt idx="0">
                  <c:v>2.2421524663677129E-2</c:v>
                </c:pt>
                <c:pt idx="1">
                  <c:v>8.9686098654708519E-3</c:v>
                </c:pt>
                <c:pt idx="2">
                  <c:v>4.4843049327354259E-3</c:v>
                </c:pt>
                <c:pt idx="3">
                  <c:v>4.4843049327354259E-3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E4-4333-A3C8-D119DB545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514879"/>
        <c:axId val="393519455"/>
      </c:lineChart>
      <c:catAx>
        <c:axId val="39351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11135"/>
        <c:crosses val="autoZero"/>
        <c:auto val="1"/>
        <c:lblAlgn val="ctr"/>
        <c:lblOffset val="100"/>
        <c:noMultiLvlLbl val="0"/>
      </c:catAx>
      <c:valAx>
        <c:axId val="39351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19039"/>
        <c:crosses val="autoZero"/>
        <c:crossBetween val="between"/>
      </c:valAx>
      <c:valAx>
        <c:axId val="39351945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14879"/>
        <c:crosses val="max"/>
        <c:crossBetween val="between"/>
      </c:valAx>
      <c:catAx>
        <c:axId val="3935148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351945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[f]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Sheet1!$F$74</c:f>
              <c:strCache>
                <c:ptCount val="1"/>
                <c:pt idx="0">
                  <c:v>[b]</c:v>
                </c:pt>
              </c:strCache>
            </c:strRef>
          </c:cat>
          <c:val>
            <c:numRef>
              <c:f>Sheet1!$G$74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1-465A-8D47-CAA46C0A248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Sheet1!$F$74</c:f>
              <c:strCache>
                <c:ptCount val="1"/>
                <c:pt idx="0">
                  <c:v>[b]</c:v>
                </c:pt>
              </c:strCache>
            </c:strRef>
          </c:cat>
          <c:val>
            <c:numRef>
              <c:f>Sheet1!$H$74</c:f>
              <c:numCache>
                <c:formatCode>0.00%</c:formatCode>
                <c:ptCount val="1"/>
                <c:pt idx="0">
                  <c:v>7.0921985815602835E-3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1-465A-8D47-CAA46C0A2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546895"/>
        <c:axId val="391549807"/>
      </c:barChart>
      <c:catAx>
        <c:axId val="39154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549807"/>
        <c:crosses val="autoZero"/>
        <c:auto val="1"/>
        <c:lblAlgn val="ctr"/>
        <c:lblOffset val="100"/>
        <c:noMultiLvlLbl val="0"/>
      </c:catAx>
      <c:valAx>
        <c:axId val="39154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5468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Sheet1!$F$76:$F$77</c:f>
              <c:strCache>
                <c:ptCount val="2"/>
                <c:pt idx="0">
                  <c:v>[d]</c:v>
                </c:pt>
                <c:pt idx="1">
                  <c:v>[-]</c:v>
                </c:pt>
              </c:strCache>
            </c:strRef>
          </c:cat>
          <c:val>
            <c:numRef>
              <c:f>Sheet1!$G$76:$G$77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4-430A-9969-86877BD3A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944943"/>
        <c:axId val="104994369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Sheet1!$F$76:$F$77</c:f>
              <c:strCache>
                <c:ptCount val="2"/>
                <c:pt idx="0">
                  <c:v>[d]</c:v>
                </c:pt>
                <c:pt idx="1">
                  <c:v>[-]</c:v>
                </c:pt>
              </c:strCache>
            </c:strRef>
          </c:cat>
          <c:val>
            <c:numRef>
              <c:f>Sheet1!$H$76:$H$77</c:f>
              <c:numCache>
                <c:formatCode>0.00%</c:formatCode>
                <c:ptCount val="2"/>
                <c:pt idx="0">
                  <c:v>6.1349693251533744E-3</c:v>
                </c:pt>
                <c:pt idx="1">
                  <c:v>6.1349693251533744E-3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4-430A-9969-86877BD3A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930799"/>
        <c:axId val="1049932047"/>
      </c:lineChart>
      <c:catAx>
        <c:axId val="104994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943695"/>
        <c:crosses val="autoZero"/>
        <c:auto val="1"/>
        <c:lblAlgn val="ctr"/>
        <c:lblOffset val="100"/>
        <c:noMultiLvlLbl val="0"/>
      </c:catAx>
      <c:valAx>
        <c:axId val="104994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944943"/>
        <c:crosses val="autoZero"/>
        <c:crossBetween val="between"/>
      </c:valAx>
      <c:valAx>
        <c:axId val="104993204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930799"/>
        <c:crosses val="max"/>
        <c:crossBetween val="between"/>
      </c:valAx>
      <c:catAx>
        <c:axId val="1049930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993204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Sheet1!$F$79</c:f>
              <c:strCache>
                <c:ptCount val="1"/>
                <c:pt idx="0">
                  <c:v>[b]</c:v>
                </c:pt>
              </c:strCache>
            </c:strRef>
          </c:cat>
          <c:val>
            <c:numRef>
              <c:f>Sheet1!$G$79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1-40EB-B7BC-0958A3D7F17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Sheet1!$F$79</c:f>
              <c:strCache>
                <c:ptCount val="1"/>
                <c:pt idx="0">
                  <c:v>[b]</c:v>
                </c:pt>
              </c:strCache>
            </c:strRef>
          </c:cat>
          <c:val>
            <c:numRef>
              <c:f>Sheet1!$H$79</c:f>
              <c:numCache>
                <c:formatCode>0.00%</c:formatCode>
                <c:ptCount val="1"/>
                <c:pt idx="0">
                  <c:v>4.5871559633027525E-3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1-40EB-B7BC-0958A3D7F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67631"/>
        <c:axId val="1048869295"/>
      </c:barChart>
      <c:catAx>
        <c:axId val="104886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69295"/>
        <c:crosses val="autoZero"/>
        <c:auto val="1"/>
        <c:lblAlgn val="ctr"/>
        <c:lblOffset val="100"/>
        <c:noMultiLvlLbl val="0"/>
      </c:catAx>
      <c:valAx>
        <c:axId val="104886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67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Sheet1!$F$81:$F$82</c:f>
              <c:strCache>
                <c:ptCount val="2"/>
                <c:pt idx="0">
                  <c:v>[p]</c:v>
                </c:pt>
                <c:pt idx="1">
                  <c:v>[pʰ]</c:v>
                </c:pt>
              </c:strCache>
            </c:strRef>
          </c:cat>
          <c:val>
            <c:numRef>
              <c:f>Sheet1!$G$81:$G$82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D-4514-B010-D5EE09A1C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818799"/>
        <c:axId val="104982711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Sheet1!$F$81:$F$82</c:f>
              <c:strCache>
                <c:ptCount val="2"/>
                <c:pt idx="0">
                  <c:v>[p]</c:v>
                </c:pt>
                <c:pt idx="1">
                  <c:v>[pʰ]</c:v>
                </c:pt>
              </c:strCache>
            </c:strRef>
          </c:cat>
          <c:val>
            <c:numRef>
              <c:f>Sheet1!$H$81:$H$82</c:f>
              <c:numCache>
                <c:formatCode>0.00%</c:formatCode>
                <c:ptCount val="2"/>
                <c:pt idx="0">
                  <c:v>2.2988505747126436E-2</c:v>
                </c:pt>
                <c:pt idx="1">
                  <c:v>1.7241379310344827E-2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8D-4514-B010-D5EE09A1C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815471"/>
        <c:axId val="1049826287"/>
      </c:lineChart>
      <c:catAx>
        <c:axId val="104981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27119"/>
        <c:crosses val="autoZero"/>
        <c:auto val="1"/>
        <c:lblAlgn val="ctr"/>
        <c:lblOffset val="100"/>
        <c:noMultiLvlLbl val="0"/>
      </c:catAx>
      <c:valAx>
        <c:axId val="104982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18799"/>
        <c:crosses val="autoZero"/>
        <c:crossBetween val="between"/>
      </c:valAx>
      <c:valAx>
        <c:axId val="104982628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15471"/>
        <c:crosses val="max"/>
        <c:crossBetween val="between"/>
      </c:valAx>
      <c:catAx>
        <c:axId val="10498154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982628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Sheet1!$F$84:$F$85</c:f>
              <c:strCache>
                <c:ptCount val="2"/>
                <c:pt idx="0">
                  <c:v>[t]</c:v>
                </c:pt>
                <c:pt idx="1">
                  <c:v>[d]</c:v>
                </c:pt>
              </c:strCache>
            </c:strRef>
          </c:cat>
          <c:val>
            <c:numRef>
              <c:f>Sheet1!$G$84:$G$85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E-4F2C-A382-686CDFEC7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822127"/>
        <c:axId val="104982836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Sheet1!$F$84:$F$85</c:f>
              <c:strCache>
                <c:ptCount val="2"/>
                <c:pt idx="0">
                  <c:v>[t]</c:v>
                </c:pt>
                <c:pt idx="1">
                  <c:v>[d]</c:v>
                </c:pt>
              </c:strCache>
            </c:strRef>
          </c:cat>
          <c:val>
            <c:numRef>
              <c:f>Sheet1!$H$84:$H$85</c:f>
              <c:numCache>
                <c:formatCode>0.00%</c:formatCode>
                <c:ptCount val="2"/>
                <c:pt idx="0">
                  <c:v>3.5087719298245612E-2</c:v>
                </c:pt>
                <c:pt idx="1">
                  <c:v>1.7543859649122806E-2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E-4F2C-A382-686CDFEC7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819631"/>
        <c:axId val="1049831279"/>
      </c:lineChart>
      <c:catAx>
        <c:axId val="104982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28367"/>
        <c:crosses val="autoZero"/>
        <c:auto val="1"/>
        <c:lblAlgn val="ctr"/>
        <c:lblOffset val="100"/>
        <c:noMultiLvlLbl val="0"/>
      </c:catAx>
      <c:valAx>
        <c:axId val="104982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22127"/>
        <c:crosses val="autoZero"/>
        <c:crossBetween val="between"/>
      </c:valAx>
      <c:valAx>
        <c:axId val="104983127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19631"/>
        <c:crosses val="max"/>
        <c:crossBetween val="between"/>
      </c:valAx>
      <c:catAx>
        <c:axId val="1049819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983127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Sheet1!$F$87:$F$90</c:f>
              <c:strCache>
                <c:ptCount val="4"/>
                <c:pt idx="0">
                  <c:v>[tʰ]</c:v>
                </c:pt>
                <c:pt idx="1">
                  <c:v>[t͡s]</c:v>
                </c:pt>
                <c:pt idx="2">
                  <c:v>[tˤ]</c:v>
                </c:pt>
                <c:pt idx="3">
                  <c:v>[s]</c:v>
                </c:pt>
              </c:strCache>
            </c:strRef>
          </c:cat>
          <c:val>
            <c:numRef>
              <c:f>Sheet1!$G$87:$G$90</c:f>
              <c:numCache>
                <c:formatCode>General</c:formatCode>
                <c:ptCount val="4"/>
                <c:pt idx="0">
                  <c:v>37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6-49EF-A0E9-B081DBA64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61807"/>
        <c:axId val="104885764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Sheet1!$F$87:$F$90</c:f>
              <c:strCache>
                <c:ptCount val="4"/>
                <c:pt idx="0">
                  <c:v>[tʰ]</c:v>
                </c:pt>
                <c:pt idx="1">
                  <c:v>[t͡s]</c:v>
                </c:pt>
                <c:pt idx="2">
                  <c:v>[tˤ]</c:v>
                </c:pt>
                <c:pt idx="3">
                  <c:v>[s]</c:v>
                </c:pt>
              </c:strCache>
            </c:strRef>
          </c:cat>
          <c:val>
            <c:numRef>
              <c:f>Sheet1!$H$87:$H$90</c:f>
              <c:numCache>
                <c:formatCode>0.00%</c:formatCode>
                <c:ptCount val="4"/>
                <c:pt idx="0">
                  <c:v>0.26241134751773049</c:v>
                </c:pt>
                <c:pt idx="1">
                  <c:v>2.1276595744680851E-2</c:v>
                </c:pt>
                <c:pt idx="2">
                  <c:v>7.0921985815602835E-3</c:v>
                </c:pt>
                <c:pt idx="3">
                  <c:v>7.0921985815602835E-3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6-49EF-A0E9-B081DBA64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8862223"/>
        <c:axId val="1048855567"/>
      </c:lineChart>
      <c:catAx>
        <c:axId val="104886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57647"/>
        <c:crosses val="autoZero"/>
        <c:auto val="1"/>
        <c:lblAlgn val="ctr"/>
        <c:lblOffset val="100"/>
        <c:noMultiLvlLbl val="0"/>
      </c:catAx>
      <c:valAx>
        <c:axId val="104885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61807"/>
        <c:crosses val="autoZero"/>
        <c:crossBetween val="between"/>
      </c:valAx>
      <c:valAx>
        <c:axId val="104885556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62223"/>
        <c:crosses val="max"/>
        <c:crossBetween val="between"/>
      </c:valAx>
      <c:catAx>
        <c:axId val="10488622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885556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Sheet1!$F$92:$F$95</c:f>
              <c:strCache>
                <c:ptCount val="4"/>
                <c:pt idx="0">
                  <c:v>[t]</c:v>
                </c:pt>
                <c:pt idx="1">
                  <c:v>[d̥]</c:v>
                </c:pt>
                <c:pt idx="2">
                  <c:v>[tʰ]</c:v>
                </c:pt>
                <c:pt idx="3">
                  <c:v>[b]</c:v>
                </c:pt>
              </c:strCache>
            </c:strRef>
          </c:cat>
          <c:val>
            <c:numRef>
              <c:f>Sheet1!$G$92:$G$95</c:f>
              <c:numCache>
                <c:formatCode>General</c:formatCode>
                <c:ptCount val="4"/>
                <c:pt idx="0">
                  <c:v>18</c:v>
                </c:pt>
                <c:pt idx="1">
                  <c:v>16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9-47AE-AEC2-7BDC9633F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815887"/>
        <c:axId val="104981838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Sheet1!$F$92:$F$95</c:f>
              <c:strCache>
                <c:ptCount val="4"/>
                <c:pt idx="0">
                  <c:v>[t]</c:v>
                </c:pt>
                <c:pt idx="1">
                  <c:v>[d̥]</c:v>
                </c:pt>
                <c:pt idx="2">
                  <c:v>[tʰ]</c:v>
                </c:pt>
                <c:pt idx="3">
                  <c:v>[b]</c:v>
                </c:pt>
              </c:strCache>
            </c:strRef>
          </c:cat>
          <c:val>
            <c:numRef>
              <c:f>Sheet1!$H$92:$H$95</c:f>
              <c:numCache>
                <c:formatCode>0.00%</c:formatCode>
                <c:ptCount val="4"/>
                <c:pt idx="0">
                  <c:v>0.1276595744680851</c:v>
                </c:pt>
                <c:pt idx="1">
                  <c:v>0.11347517730496454</c:v>
                </c:pt>
                <c:pt idx="2">
                  <c:v>7.0921985815602835E-3</c:v>
                </c:pt>
                <c:pt idx="3">
                  <c:v>7.0921985815602835E-3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49-47AE-AEC2-7BDC9633F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8863055"/>
        <c:axId val="1049822543"/>
      </c:lineChart>
      <c:catAx>
        <c:axId val="104981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18383"/>
        <c:crosses val="autoZero"/>
        <c:auto val="1"/>
        <c:lblAlgn val="ctr"/>
        <c:lblOffset val="100"/>
        <c:noMultiLvlLbl val="0"/>
      </c:catAx>
      <c:valAx>
        <c:axId val="104981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15887"/>
        <c:crosses val="autoZero"/>
        <c:crossBetween val="between"/>
      </c:valAx>
      <c:valAx>
        <c:axId val="104982254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63055"/>
        <c:crosses val="max"/>
        <c:crossBetween val="between"/>
      </c:valAx>
      <c:catAx>
        <c:axId val="10488630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98225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[dˤ]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Sheet1!$F$97:$F$99</c:f>
              <c:strCache>
                <c:ptCount val="3"/>
                <c:pt idx="0">
                  <c:v>[tˤ]</c:v>
                </c:pt>
                <c:pt idx="1">
                  <c:v>[d]</c:v>
                </c:pt>
                <c:pt idx="2">
                  <c:v>[sˤ]</c:v>
                </c:pt>
              </c:strCache>
            </c:strRef>
          </c:cat>
          <c:val>
            <c:numRef>
              <c:f>Sheet1!$G$97:$G$99</c:f>
              <c:numCache>
                <c:formatCode>General</c:formatCode>
                <c:ptCount val="3"/>
                <c:pt idx="0">
                  <c:v>6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8-4AAA-81EE-B10910C5D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63887"/>
        <c:axId val="104886679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Sheet1!$F$97:$F$99</c:f>
              <c:strCache>
                <c:ptCount val="3"/>
                <c:pt idx="0">
                  <c:v>[tˤ]</c:v>
                </c:pt>
                <c:pt idx="1">
                  <c:v>[d]</c:v>
                </c:pt>
                <c:pt idx="2">
                  <c:v>[sˤ]</c:v>
                </c:pt>
              </c:strCache>
            </c:strRef>
          </c:cat>
          <c:val>
            <c:numRef>
              <c:f>Sheet1!$H$97:$H$99</c:f>
              <c:numCache>
                <c:formatCode>0.00%</c:formatCode>
                <c:ptCount val="3"/>
                <c:pt idx="0">
                  <c:v>0.2</c:v>
                </c:pt>
                <c:pt idx="1">
                  <c:v>6.6666666666666666E-2</c:v>
                </c:pt>
                <c:pt idx="2">
                  <c:v>3.3333333333333333E-2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8-4AAA-81EE-B10910C5D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738047"/>
        <c:axId val="993736383"/>
      </c:lineChart>
      <c:catAx>
        <c:axId val="104886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66799"/>
        <c:crosses val="autoZero"/>
        <c:auto val="1"/>
        <c:lblAlgn val="ctr"/>
        <c:lblOffset val="100"/>
        <c:noMultiLvlLbl val="0"/>
      </c:catAx>
      <c:valAx>
        <c:axId val="104886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63887"/>
        <c:crosses val="autoZero"/>
        <c:crossBetween val="between"/>
      </c:valAx>
      <c:valAx>
        <c:axId val="99373638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38047"/>
        <c:crosses val="max"/>
        <c:crossBetween val="between"/>
      </c:valAx>
      <c:catAx>
        <c:axId val="993738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37363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Sheet1!$F$101</c:f>
              <c:strCache>
                <c:ptCount val="1"/>
                <c:pt idx="0">
                  <c:v>[u:]</c:v>
                </c:pt>
              </c:strCache>
            </c:strRef>
          </c:cat>
          <c:val>
            <c:numRef>
              <c:f>Sheet1!$G$101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F-497A-BA97-143988F0664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Sheet1!$F$101</c:f>
              <c:strCache>
                <c:ptCount val="1"/>
                <c:pt idx="0">
                  <c:v>[u:]</c:v>
                </c:pt>
              </c:strCache>
            </c:strRef>
          </c:cat>
          <c:val>
            <c:numRef>
              <c:f>Sheet1!$H$101</c:f>
              <c:numCache>
                <c:formatCode>0.00%</c:formatCode>
                <c:ptCount val="1"/>
                <c:pt idx="0">
                  <c:v>4.0404040404040407E-2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7F-497A-BA97-143988F06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937455"/>
        <c:axId val="1049939119"/>
      </c:barChart>
      <c:catAx>
        <c:axId val="104993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939119"/>
        <c:crosses val="autoZero"/>
        <c:auto val="1"/>
        <c:lblAlgn val="ctr"/>
        <c:lblOffset val="100"/>
        <c:noMultiLvlLbl val="0"/>
      </c:catAx>
      <c:valAx>
        <c:axId val="104993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93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[j]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Sheet1!$F$103:$F$105</c:f>
              <c:strCache>
                <c:ptCount val="3"/>
                <c:pt idx="0">
                  <c:v>[ʔ]</c:v>
                </c:pt>
                <c:pt idx="1">
                  <c:v>[w]</c:v>
                </c:pt>
                <c:pt idx="2">
                  <c:v>[i:]</c:v>
                </c:pt>
              </c:strCache>
            </c:strRef>
          </c:cat>
          <c:val>
            <c:numRef>
              <c:f>Sheet1!$G$103:$G$105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F-4857-A059-E9C891C5B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056335"/>
        <c:axId val="111005716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Sheet1!$F$103:$F$105</c:f>
              <c:strCache>
                <c:ptCount val="3"/>
                <c:pt idx="0">
                  <c:v>[ʔ]</c:v>
                </c:pt>
                <c:pt idx="1">
                  <c:v>[w]</c:v>
                </c:pt>
                <c:pt idx="2">
                  <c:v>[i:]</c:v>
                </c:pt>
              </c:strCache>
            </c:strRef>
          </c:cat>
          <c:val>
            <c:numRef>
              <c:f>Sheet1!$H$103:$H$105</c:f>
              <c:numCache>
                <c:formatCode>0.00%</c:formatCode>
                <c:ptCount val="3"/>
                <c:pt idx="0">
                  <c:v>1.0416666666666666E-2</c:v>
                </c:pt>
                <c:pt idx="1">
                  <c:v>1.0416666666666666E-2</c:v>
                </c:pt>
                <c:pt idx="2">
                  <c:v>1.0416666666666666E-2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FF-4857-A059-E9C891C5B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58415"/>
        <c:axId val="1110051759"/>
      </c:lineChart>
      <c:catAx>
        <c:axId val="111005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57167"/>
        <c:crosses val="autoZero"/>
        <c:auto val="1"/>
        <c:lblAlgn val="ctr"/>
        <c:lblOffset val="100"/>
        <c:noMultiLvlLbl val="0"/>
      </c:catAx>
      <c:valAx>
        <c:axId val="11100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56335"/>
        <c:crosses val="autoZero"/>
        <c:crossBetween val="between"/>
      </c:valAx>
      <c:valAx>
        <c:axId val="111005175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58415"/>
        <c:crosses val="max"/>
        <c:crossBetween val="between"/>
      </c:valAx>
      <c:catAx>
        <c:axId val="11100584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005175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 STRUCTURE  PROCESESSES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Sheet2!$C$2:$C$19</c:f>
              <c:strCache>
                <c:ptCount val="18"/>
                <c:pt idx="0">
                  <c:v>degemination(reduce consonant cluster to one single consonant)</c:v>
                </c:pt>
                <c:pt idx="1">
                  <c:v>Epenthesis(insert diphthong [i:] between  consnant cluster)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Epenthesis(insertion of [ɪ] phone between consonant cluster)</c:v>
                </c:pt>
                <c:pt idx="6">
                  <c:v>gemination</c:v>
                </c:pt>
                <c:pt idx="7">
                  <c:v>Monophthongization </c:v>
                </c:pt>
                <c:pt idx="8">
                  <c:v>final consonant deletion</c:v>
                </c:pt>
                <c:pt idx="9">
                  <c:v>Glottalization(insertion of  [ʔ] phone)</c:v>
                </c:pt>
                <c:pt idx="10">
                  <c:v>syllable structure process (first syllable deletion) </c:v>
                </c:pt>
                <c:pt idx="11">
                  <c:v>syllable structure process(final syllable deletion)</c:v>
                </c:pt>
                <c:pt idx="12">
                  <c:v>Diphthongization</c:v>
                </c:pt>
                <c:pt idx="13">
                  <c:v>Metathesis</c:v>
                </c:pt>
                <c:pt idx="14">
                  <c:v>syllable structure process (consonant insertion of  [j] phone)</c:v>
                </c:pt>
                <c:pt idx="15">
                  <c:v>syllable structure process (consonant insertion of  [b] phone)</c:v>
                </c:pt>
                <c:pt idx="16">
                  <c:v>syllable structure process (consonant insertion of  [w] phone)</c:v>
                </c:pt>
                <c:pt idx="17">
                  <c:v>syllable structure process (consonant insertion of  [ɻ] phone)</c:v>
                </c:pt>
              </c:strCache>
            </c:strRef>
          </c:cat>
          <c:val>
            <c:numRef>
              <c:f>Sheet2!$D$2:$D$19</c:f>
              <c:numCache>
                <c:formatCode>General</c:formatCode>
                <c:ptCount val="18"/>
                <c:pt idx="0">
                  <c:v>28</c:v>
                </c:pt>
                <c:pt idx="1">
                  <c:v>1</c:v>
                </c:pt>
                <c:pt idx="2">
                  <c:v>2</c:v>
                </c:pt>
                <c:pt idx="3">
                  <c:v>10</c:v>
                </c:pt>
                <c:pt idx="4">
                  <c:v>28</c:v>
                </c:pt>
                <c:pt idx="5">
                  <c:v>3</c:v>
                </c:pt>
                <c:pt idx="6">
                  <c:v>11</c:v>
                </c:pt>
                <c:pt idx="7">
                  <c:v>11</c:v>
                </c:pt>
                <c:pt idx="8">
                  <c:v>8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1-49A7-8218-AA43294E0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715151"/>
        <c:axId val="117571182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FD1-49A7-8218-AA43294E0873}"/>
              </c:ext>
            </c:extLst>
          </c:dPt>
          <c:cat>
            <c:strRef>
              <c:f>Sheet2!$C$2:$C$19</c:f>
              <c:strCache>
                <c:ptCount val="18"/>
                <c:pt idx="0">
                  <c:v>degemination(reduce consonant cluster to one single consonant)</c:v>
                </c:pt>
                <c:pt idx="1">
                  <c:v>Epenthesis(insert diphthong [i:] between  consnant cluster)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Epenthesis(insertion of [ɪ] phone between consonant cluster)</c:v>
                </c:pt>
                <c:pt idx="6">
                  <c:v>gemination</c:v>
                </c:pt>
                <c:pt idx="7">
                  <c:v>Monophthongization </c:v>
                </c:pt>
                <c:pt idx="8">
                  <c:v>final consonant deletion</c:v>
                </c:pt>
                <c:pt idx="9">
                  <c:v>Glottalization(insertion of  [ʔ] phone)</c:v>
                </c:pt>
                <c:pt idx="10">
                  <c:v>syllable structure process (first syllable deletion) </c:v>
                </c:pt>
                <c:pt idx="11">
                  <c:v>syllable structure process(final syllable deletion)</c:v>
                </c:pt>
                <c:pt idx="12">
                  <c:v>Diphthongization</c:v>
                </c:pt>
                <c:pt idx="13">
                  <c:v>Metathesis</c:v>
                </c:pt>
                <c:pt idx="14">
                  <c:v>syllable structure process (consonant insertion of  [j] phone)</c:v>
                </c:pt>
                <c:pt idx="15">
                  <c:v>syllable structure process (consonant insertion of  [b] phone)</c:v>
                </c:pt>
                <c:pt idx="16">
                  <c:v>syllable structure process (consonant insertion of  [w] phone)</c:v>
                </c:pt>
                <c:pt idx="17">
                  <c:v>syllable structure process (consonant insertion of  [ɻ] phone)</c:v>
                </c:pt>
              </c:strCache>
            </c:strRef>
          </c:cat>
          <c:val>
            <c:numRef>
              <c:f>Sheet2!$E$2:$E$19</c:f>
              <c:numCache>
                <c:formatCode>0.00%</c:formatCode>
                <c:ptCount val="18"/>
                <c:pt idx="0">
                  <c:v>0.32183908045977011</c:v>
                </c:pt>
                <c:pt idx="1">
                  <c:v>3.8910505836575876E-3</c:v>
                </c:pt>
                <c:pt idx="2">
                  <c:v>7.7821011673151752E-3</c:v>
                </c:pt>
                <c:pt idx="3">
                  <c:v>3.8910505836575876E-2</c:v>
                </c:pt>
                <c:pt idx="4">
                  <c:v>0.10894941634241245</c:v>
                </c:pt>
                <c:pt idx="5">
                  <c:v>1.1673151750972763E-2</c:v>
                </c:pt>
                <c:pt idx="8">
                  <c:v>1.8912529550827423E-2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D1-49A7-8218-AA43294E0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5713903"/>
        <c:axId val="1175715983"/>
      </c:lineChart>
      <c:catAx>
        <c:axId val="117571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11823"/>
        <c:crosses val="autoZero"/>
        <c:auto val="1"/>
        <c:lblAlgn val="ctr"/>
        <c:lblOffset val="100"/>
        <c:noMultiLvlLbl val="0"/>
      </c:catAx>
      <c:valAx>
        <c:axId val="11757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15151"/>
        <c:crosses val="autoZero"/>
        <c:crossBetween val="between"/>
      </c:valAx>
      <c:valAx>
        <c:axId val="1175715983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175713903"/>
        <c:crosses val="max"/>
        <c:crossBetween val="between"/>
      </c:valAx>
      <c:catAx>
        <c:axId val="11757139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57159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Sheet3!$C$2:$C$19</c:f>
              <c:strCache>
                <c:ptCount val="18"/>
                <c:pt idx="0">
                  <c:v>Definite Article deletion</c:v>
                </c:pt>
                <c:pt idx="1">
                  <c:v>replace the Modern Standard Arabic consonant [ð]with the colloquial arabic consonant [z]</c:v>
                </c:pt>
                <c:pt idx="2">
                  <c:v>replace the Modern Standard Arabic diphthong [æj]with the colloquial arabic vowel[e:]</c:v>
                </c:pt>
                <c:pt idx="3">
                  <c:v>replace the Modern Standard Arabic consonant [ðˤ]with the colloquial arabic consonant [zˤ]</c:v>
                </c:pt>
                <c:pt idx="4">
                  <c:v>Deletion of feminine marker</c:v>
                </c:pt>
                <c:pt idx="5">
                  <c:v>consonant insertion of  [h] phone in final position</c:v>
                </c:pt>
                <c:pt idx="6">
                  <c:v>replace the Modern Standard Arabic consonant [θ]with the colloquial arabic consonant [s]</c:v>
                </c:pt>
                <c:pt idx="7">
                  <c:v>misreading</c:v>
                </c:pt>
                <c:pt idx="8">
                  <c:v>replace  [ʔ]with  [j] affected by colloquial arabic</c:v>
                </c:pt>
                <c:pt idx="9">
                  <c:v>replace  [j]with  [i:] affected by colloquial Arabic</c:v>
                </c:pt>
                <c:pt idx="10">
                  <c:v>replace the Modern Standard Arabic diphthong [ ɑj]with the colloquial arabic vowel[e:]</c:v>
                </c:pt>
                <c:pt idx="11">
                  <c:v>replace the Modern Standard Arabic consonant [d͡ʒ]with the colloquial arabic consonant [g]</c:v>
                </c:pt>
                <c:pt idx="12">
                  <c:v>consonant deletion  of [ʔ] phone affected by colloquial Arabic</c:v>
                </c:pt>
                <c:pt idx="13">
                  <c:v>replace plural noun with singular noun</c:v>
                </c:pt>
                <c:pt idx="14">
                  <c:v>replace the Modern Standard Arabic diphthong [æw]with the colloquial arabic vowel[o:]</c:v>
                </c:pt>
                <c:pt idx="15">
                  <c:v>replace the Modern Standard Arabic diphthong [ɑw]with the colloquial arabic vowel[o:]</c:v>
                </c:pt>
                <c:pt idx="16">
                  <c:v>replace the Modern Standard Arabic consonant [ð]with the colloquial arabic consonant [d]</c:v>
                </c:pt>
                <c:pt idx="17">
                  <c:v>replace feminine with masculine</c:v>
                </c:pt>
              </c:strCache>
            </c:strRef>
          </c:cat>
          <c:val>
            <c:numRef>
              <c:f>Sheet3!$D$2:$D$19</c:f>
              <c:numCache>
                <c:formatCode>General</c:formatCode>
                <c:ptCount val="18"/>
                <c:pt idx="0">
                  <c:v>29</c:v>
                </c:pt>
                <c:pt idx="1">
                  <c:v>13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A-49F9-9E91-505DE2C54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720975"/>
        <c:axId val="117571556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Sheet3!$C$2:$C$19</c:f>
              <c:strCache>
                <c:ptCount val="18"/>
                <c:pt idx="0">
                  <c:v>Definite Article deletion</c:v>
                </c:pt>
                <c:pt idx="1">
                  <c:v>replace the Modern Standard Arabic consonant [ð]with the colloquial arabic consonant [z]</c:v>
                </c:pt>
                <c:pt idx="2">
                  <c:v>replace the Modern Standard Arabic diphthong [æj]with the colloquial arabic vowel[e:]</c:v>
                </c:pt>
                <c:pt idx="3">
                  <c:v>replace the Modern Standard Arabic consonant [ðˤ]with the colloquial arabic consonant [zˤ]</c:v>
                </c:pt>
                <c:pt idx="4">
                  <c:v>Deletion of feminine marker</c:v>
                </c:pt>
                <c:pt idx="5">
                  <c:v>consonant insertion of  [h] phone in final position</c:v>
                </c:pt>
                <c:pt idx="6">
                  <c:v>replace the Modern Standard Arabic consonant [θ]with the colloquial arabic consonant [s]</c:v>
                </c:pt>
                <c:pt idx="7">
                  <c:v>misreading</c:v>
                </c:pt>
                <c:pt idx="8">
                  <c:v>replace  [ʔ]with  [j] affected by colloquial arabic</c:v>
                </c:pt>
                <c:pt idx="9">
                  <c:v>replace  [j]with  [i:] affected by colloquial Arabic</c:v>
                </c:pt>
                <c:pt idx="10">
                  <c:v>replace the Modern Standard Arabic diphthong [ ɑj]with the colloquial arabic vowel[e:]</c:v>
                </c:pt>
                <c:pt idx="11">
                  <c:v>replace the Modern Standard Arabic consonant [d͡ʒ]with the colloquial arabic consonant [g]</c:v>
                </c:pt>
                <c:pt idx="12">
                  <c:v>consonant deletion  of [ʔ] phone affected by colloquial Arabic</c:v>
                </c:pt>
                <c:pt idx="13">
                  <c:v>replace plural noun with singular noun</c:v>
                </c:pt>
                <c:pt idx="14">
                  <c:v>replace the Modern Standard Arabic diphthong [æw]with the colloquial arabic vowel[o:]</c:v>
                </c:pt>
                <c:pt idx="15">
                  <c:v>replace the Modern Standard Arabic diphthong [ɑw]with the colloquial arabic vowel[o:]</c:v>
                </c:pt>
                <c:pt idx="16">
                  <c:v>replace the Modern Standard Arabic consonant [ð]with the colloquial arabic consonant [d]</c:v>
                </c:pt>
                <c:pt idx="17">
                  <c:v>replace feminine with masculine</c:v>
                </c:pt>
              </c:strCache>
            </c:strRef>
          </c:cat>
          <c:val>
            <c:numRef>
              <c:f>Sheet3!$E$2:$E$19</c:f>
              <c:numCache>
                <c:formatCode>0.00%</c:formatCode>
                <c:ptCount val="18"/>
                <c:pt idx="0">
                  <c:v>0.20714285714285716</c:v>
                </c:pt>
                <c:pt idx="2">
                  <c:v>0.30434782608695654</c:v>
                </c:pt>
                <c:pt idx="10">
                  <c:v>0.2857142857142857</c:v>
                </c:pt>
                <c:pt idx="14">
                  <c:v>2.9411764705882353E-2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9F9-9E91-505DE2C54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5707663"/>
        <c:axId val="1175718479"/>
      </c:lineChart>
      <c:catAx>
        <c:axId val="117572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15567"/>
        <c:crosses val="autoZero"/>
        <c:auto val="1"/>
        <c:lblAlgn val="ctr"/>
        <c:lblOffset val="100"/>
        <c:noMultiLvlLbl val="0"/>
      </c:catAx>
      <c:valAx>
        <c:axId val="117571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20975"/>
        <c:crosses val="autoZero"/>
        <c:crossBetween val="between"/>
      </c:valAx>
      <c:valAx>
        <c:axId val="117571847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07663"/>
        <c:crosses val="max"/>
        <c:crossBetween val="between"/>
      </c:valAx>
      <c:catAx>
        <c:axId val="1175707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571847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0</xdr:row>
      <xdr:rowOff>270510</xdr:rowOff>
    </xdr:from>
    <xdr:to>
      <xdr:col>15</xdr:col>
      <xdr:colOff>571500</xdr:colOff>
      <xdr:row>2</xdr:row>
      <xdr:rowOff>1737360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4</xdr:row>
      <xdr:rowOff>34290</xdr:rowOff>
    </xdr:from>
    <xdr:to>
      <xdr:col>15</xdr:col>
      <xdr:colOff>495300</xdr:colOff>
      <xdr:row>7</xdr:row>
      <xdr:rowOff>647700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175260</xdr:colOff>
      <xdr:row>9</xdr:row>
      <xdr:rowOff>49530</xdr:rowOff>
    </xdr:from>
    <xdr:to>
      <xdr:col>15</xdr:col>
      <xdr:colOff>480060</xdr:colOff>
      <xdr:row>11</xdr:row>
      <xdr:rowOff>723900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114300</xdr:colOff>
      <xdr:row>13</xdr:row>
      <xdr:rowOff>64770</xdr:rowOff>
    </xdr:from>
    <xdr:to>
      <xdr:col>15</xdr:col>
      <xdr:colOff>563880</xdr:colOff>
      <xdr:row>17</xdr:row>
      <xdr:rowOff>571500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114300</xdr:colOff>
      <xdr:row>19</xdr:row>
      <xdr:rowOff>11430</xdr:rowOff>
    </xdr:from>
    <xdr:to>
      <xdr:col>15</xdr:col>
      <xdr:colOff>419100</xdr:colOff>
      <xdr:row>19</xdr:row>
      <xdr:rowOff>1958340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106680</xdr:colOff>
      <xdr:row>21</xdr:row>
      <xdr:rowOff>26670</xdr:rowOff>
    </xdr:from>
    <xdr:to>
      <xdr:col>15</xdr:col>
      <xdr:colOff>411480</xdr:colOff>
      <xdr:row>21</xdr:row>
      <xdr:rowOff>2407920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76200</xdr:colOff>
      <xdr:row>23</xdr:row>
      <xdr:rowOff>19050</xdr:rowOff>
    </xdr:from>
    <xdr:to>
      <xdr:col>15</xdr:col>
      <xdr:colOff>381000</xdr:colOff>
      <xdr:row>24</xdr:row>
      <xdr:rowOff>1005840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83820</xdr:colOff>
      <xdr:row>26</xdr:row>
      <xdr:rowOff>26670</xdr:rowOff>
    </xdr:from>
    <xdr:to>
      <xdr:col>15</xdr:col>
      <xdr:colOff>388620</xdr:colOff>
      <xdr:row>29</xdr:row>
      <xdr:rowOff>716280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60960</xdr:colOff>
      <xdr:row>31</xdr:row>
      <xdr:rowOff>41910</xdr:rowOff>
    </xdr:from>
    <xdr:to>
      <xdr:col>15</xdr:col>
      <xdr:colOff>365760</xdr:colOff>
      <xdr:row>32</xdr:row>
      <xdr:rowOff>1394460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413657</xdr:colOff>
      <xdr:row>34</xdr:row>
      <xdr:rowOff>174171</xdr:rowOff>
    </xdr:from>
    <xdr:to>
      <xdr:col>16</xdr:col>
      <xdr:colOff>283028</xdr:colOff>
      <xdr:row>42</xdr:row>
      <xdr:rowOff>620485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293914</xdr:colOff>
      <xdr:row>44</xdr:row>
      <xdr:rowOff>38100</xdr:rowOff>
    </xdr:from>
    <xdr:to>
      <xdr:col>15</xdr:col>
      <xdr:colOff>598714</xdr:colOff>
      <xdr:row>44</xdr:row>
      <xdr:rowOff>2536372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250372</xdr:colOff>
      <xdr:row>46</xdr:row>
      <xdr:rowOff>16329</xdr:rowOff>
    </xdr:from>
    <xdr:to>
      <xdr:col>15</xdr:col>
      <xdr:colOff>555172</xdr:colOff>
      <xdr:row>46</xdr:row>
      <xdr:rowOff>2133600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152400</xdr:colOff>
      <xdr:row>48</xdr:row>
      <xdr:rowOff>70757</xdr:rowOff>
    </xdr:from>
    <xdr:to>
      <xdr:col>15</xdr:col>
      <xdr:colOff>457200</xdr:colOff>
      <xdr:row>48</xdr:row>
      <xdr:rowOff>1821180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160020</xdr:colOff>
      <xdr:row>50</xdr:row>
      <xdr:rowOff>26670</xdr:rowOff>
    </xdr:from>
    <xdr:to>
      <xdr:col>15</xdr:col>
      <xdr:colOff>464820</xdr:colOff>
      <xdr:row>52</xdr:row>
      <xdr:rowOff>678180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121920</xdr:colOff>
      <xdr:row>54</xdr:row>
      <xdr:rowOff>57150</xdr:rowOff>
    </xdr:from>
    <xdr:to>
      <xdr:col>15</xdr:col>
      <xdr:colOff>426720</xdr:colOff>
      <xdr:row>57</xdr:row>
      <xdr:rowOff>701040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76200</xdr:colOff>
      <xdr:row>59</xdr:row>
      <xdr:rowOff>19050</xdr:rowOff>
    </xdr:from>
    <xdr:to>
      <xdr:col>15</xdr:col>
      <xdr:colOff>381000</xdr:colOff>
      <xdr:row>62</xdr:row>
      <xdr:rowOff>647700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76200</xdr:colOff>
      <xdr:row>64</xdr:row>
      <xdr:rowOff>11430</xdr:rowOff>
    </xdr:from>
    <xdr:to>
      <xdr:col>15</xdr:col>
      <xdr:colOff>381000</xdr:colOff>
      <xdr:row>66</xdr:row>
      <xdr:rowOff>670560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106680</xdr:colOff>
      <xdr:row>68</xdr:row>
      <xdr:rowOff>110490</xdr:rowOff>
    </xdr:from>
    <xdr:to>
      <xdr:col>15</xdr:col>
      <xdr:colOff>411480</xdr:colOff>
      <xdr:row>71</xdr:row>
      <xdr:rowOff>662940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114300</xdr:colOff>
      <xdr:row>73</xdr:row>
      <xdr:rowOff>26670</xdr:rowOff>
    </xdr:from>
    <xdr:to>
      <xdr:col>15</xdr:col>
      <xdr:colOff>419100</xdr:colOff>
      <xdr:row>73</xdr:row>
      <xdr:rowOff>1775460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144780</xdr:colOff>
      <xdr:row>75</xdr:row>
      <xdr:rowOff>57150</xdr:rowOff>
    </xdr:from>
    <xdr:to>
      <xdr:col>15</xdr:col>
      <xdr:colOff>449580</xdr:colOff>
      <xdr:row>76</xdr:row>
      <xdr:rowOff>1524000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121920</xdr:colOff>
      <xdr:row>78</xdr:row>
      <xdr:rowOff>57150</xdr:rowOff>
    </xdr:from>
    <xdr:to>
      <xdr:col>15</xdr:col>
      <xdr:colOff>426720</xdr:colOff>
      <xdr:row>78</xdr:row>
      <xdr:rowOff>1798320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175260</xdr:colOff>
      <xdr:row>80</xdr:row>
      <xdr:rowOff>64770</xdr:rowOff>
    </xdr:from>
    <xdr:to>
      <xdr:col>15</xdr:col>
      <xdr:colOff>480060</xdr:colOff>
      <xdr:row>81</xdr:row>
      <xdr:rowOff>1158240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137160</xdr:colOff>
      <xdr:row>83</xdr:row>
      <xdr:rowOff>41910</xdr:rowOff>
    </xdr:from>
    <xdr:to>
      <xdr:col>15</xdr:col>
      <xdr:colOff>441960</xdr:colOff>
      <xdr:row>84</xdr:row>
      <xdr:rowOff>1341120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152400</xdr:colOff>
      <xdr:row>86</xdr:row>
      <xdr:rowOff>57150</xdr:rowOff>
    </xdr:from>
    <xdr:to>
      <xdr:col>15</xdr:col>
      <xdr:colOff>457200</xdr:colOff>
      <xdr:row>89</xdr:row>
      <xdr:rowOff>655320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160020</xdr:colOff>
      <xdr:row>91</xdr:row>
      <xdr:rowOff>57150</xdr:rowOff>
    </xdr:from>
    <xdr:to>
      <xdr:col>15</xdr:col>
      <xdr:colOff>464820</xdr:colOff>
      <xdr:row>94</xdr:row>
      <xdr:rowOff>647700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8</xdr:col>
      <xdr:colOff>121920</xdr:colOff>
      <xdr:row>96</xdr:row>
      <xdr:rowOff>34290</xdr:rowOff>
    </xdr:from>
    <xdr:to>
      <xdr:col>15</xdr:col>
      <xdr:colOff>426720</xdr:colOff>
      <xdr:row>98</xdr:row>
      <xdr:rowOff>723900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152400</xdr:colOff>
      <xdr:row>100</xdr:row>
      <xdr:rowOff>49530</xdr:rowOff>
    </xdr:from>
    <xdr:to>
      <xdr:col>15</xdr:col>
      <xdr:colOff>457200</xdr:colOff>
      <xdr:row>100</xdr:row>
      <xdr:rowOff>1676400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</xdr:col>
      <xdr:colOff>106680</xdr:colOff>
      <xdr:row>102</xdr:row>
      <xdr:rowOff>57150</xdr:rowOff>
    </xdr:from>
    <xdr:to>
      <xdr:col>15</xdr:col>
      <xdr:colOff>411480</xdr:colOff>
      <xdr:row>104</xdr:row>
      <xdr:rowOff>678180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0</xdr:row>
      <xdr:rowOff>38100</xdr:rowOff>
    </xdr:from>
    <xdr:to>
      <xdr:col>23</xdr:col>
      <xdr:colOff>441960</xdr:colOff>
      <xdr:row>16</xdr:row>
      <xdr:rowOff>316230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2</xdr:row>
      <xdr:rowOff>7620</xdr:rowOff>
    </xdr:from>
    <xdr:to>
      <xdr:col>17</xdr:col>
      <xdr:colOff>441960</xdr:colOff>
      <xdr:row>18</xdr:row>
      <xdr:rowOff>312420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12"/>
  <sheetViews>
    <sheetView topLeftCell="A7" zoomScaleNormal="100" workbookViewId="0">
      <selection activeCell="E3" sqref="E3"/>
    </sheetView>
  </sheetViews>
  <sheetFormatPr defaultRowHeight="60" customHeight="1" thickTop="1" thickBottom="1" outlineLevelRow="2" x14ac:dyDescent="0.35"/>
  <cols>
    <col min="2" max="3" width="11.21875" style="44" customWidth="1"/>
    <col min="4" max="4" width="10.33203125" style="44" customWidth="1"/>
    <col min="5" max="5" width="36.21875" style="50" customWidth="1"/>
    <col min="6" max="6" width="4.21875" style="44" customWidth="1"/>
    <col min="7" max="7" width="6.21875" style="44" customWidth="1"/>
    <col min="8" max="8" width="10" style="64" customWidth="1"/>
  </cols>
  <sheetData>
    <row r="1" spans="2:8" s="113" customFormat="1" ht="36.6" customHeight="1" thickTop="1" thickBot="1" x14ac:dyDescent="0.45">
      <c r="B1" s="110" t="s">
        <v>213</v>
      </c>
      <c r="C1" s="110" t="s">
        <v>214</v>
      </c>
      <c r="D1" s="110" t="s">
        <v>215</v>
      </c>
      <c r="E1" s="111" t="s">
        <v>216</v>
      </c>
      <c r="F1" s="111" t="s">
        <v>217</v>
      </c>
      <c r="G1" s="111" t="s">
        <v>218</v>
      </c>
      <c r="H1" s="112" t="s">
        <v>211</v>
      </c>
    </row>
    <row r="2" spans="2:8" ht="60" customHeight="1" outlineLevel="2" thickTop="1" thickBot="1" x14ac:dyDescent="0.35">
      <c r="B2" s="134" t="s">
        <v>102</v>
      </c>
      <c r="C2" s="134">
        <v>242</v>
      </c>
      <c r="D2" s="132" t="s">
        <v>100</v>
      </c>
      <c r="E2" s="2" t="s">
        <v>138</v>
      </c>
      <c r="F2" s="3" t="s">
        <v>173</v>
      </c>
      <c r="G2" s="3">
        <v>48</v>
      </c>
      <c r="H2" s="65">
        <f>G2/242</f>
        <v>0.19834710743801653</v>
      </c>
    </row>
    <row r="3" spans="2:8" ht="139.19999999999999" customHeight="1" outlineLevel="2" thickTop="1" thickBot="1" x14ac:dyDescent="0.35">
      <c r="B3" s="135"/>
      <c r="C3" s="135"/>
      <c r="D3" s="133"/>
      <c r="E3" s="2" t="s">
        <v>164</v>
      </c>
      <c r="F3" s="3" t="s">
        <v>210</v>
      </c>
      <c r="G3" s="3">
        <v>3</v>
      </c>
      <c r="H3" s="65">
        <f>G3/242</f>
        <v>1.2396694214876033E-2</v>
      </c>
    </row>
    <row r="4" spans="2:8" ht="36" customHeight="1" outlineLevel="1" thickTop="1" thickBot="1" x14ac:dyDescent="0.35">
      <c r="B4" s="114" t="s">
        <v>219</v>
      </c>
      <c r="C4" s="103">
        <f>SUBTOTAL(9,C2:C3)</f>
        <v>242</v>
      </c>
      <c r="D4" s="104"/>
      <c r="E4" s="2"/>
      <c r="F4" s="3"/>
      <c r="G4" s="3">
        <f>SUBTOTAL(9,G2:G3)</f>
        <v>51</v>
      </c>
      <c r="H4" s="65">
        <f>SUBTOTAL(9,H2:H3)</f>
        <v>0.21074380165289258</v>
      </c>
    </row>
    <row r="5" spans="2:8" ht="60" customHeight="1" outlineLevel="2" thickTop="1" thickBot="1" x14ac:dyDescent="0.35">
      <c r="B5" s="139" t="s">
        <v>103</v>
      </c>
      <c r="C5" s="139">
        <v>321</v>
      </c>
      <c r="D5" s="136" t="s">
        <v>101</v>
      </c>
      <c r="E5" s="6" t="s">
        <v>7</v>
      </c>
      <c r="F5" s="5" t="s">
        <v>174</v>
      </c>
      <c r="G5" s="5">
        <v>7</v>
      </c>
      <c r="H5" s="66">
        <f>G5/321</f>
        <v>2.1806853582554516E-2</v>
      </c>
    </row>
    <row r="6" spans="2:8" ht="60" customHeight="1" outlineLevel="2" thickTop="1" thickBot="1" x14ac:dyDescent="0.35">
      <c r="B6" s="140"/>
      <c r="C6" s="140"/>
      <c r="D6" s="137"/>
      <c r="E6" s="4" t="s">
        <v>6</v>
      </c>
      <c r="F6" s="5" t="s">
        <v>175</v>
      </c>
      <c r="G6" s="5">
        <v>2</v>
      </c>
      <c r="H6" s="66">
        <f>G6/321</f>
        <v>6.2305295950155761E-3</v>
      </c>
    </row>
    <row r="7" spans="2:8" ht="60" customHeight="1" outlineLevel="2" thickTop="1" thickBot="1" x14ac:dyDescent="0.35">
      <c r="B7" s="140"/>
      <c r="C7" s="140"/>
      <c r="D7" s="137"/>
      <c r="E7" s="6" t="s">
        <v>147</v>
      </c>
      <c r="F7" s="5" t="s">
        <v>210</v>
      </c>
      <c r="G7" s="5">
        <v>2</v>
      </c>
      <c r="H7" s="66">
        <f>G7/321</f>
        <v>6.2305295950155761E-3</v>
      </c>
    </row>
    <row r="8" spans="2:8" ht="60" customHeight="1" outlineLevel="2" thickTop="1" thickBot="1" x14ac:dyDescent="0.35">
      <c r="B8" s="141"/>
      <c r="C8" s="141"/>
      <c r="D8" s="138"/>
      <c r="E8" s="6" t="s">
        <v>160</v>
      </c>
      <c r="F8" s="5" t="s">
        <v>176</v>
      </c>
      <c r="G8" s="5">
        <v>1</v>
      </c>
      <c r="H8" s="66">
        <f>G8/321</f>
        <v>3.1152647975077881E-3</v>
      </c>
    </row>
    <row r="9" spans="2:8" ht="25.8" customHeight="1" outlineLevel="1" thickTop="1" thickBot="1" x14ac:dyDescent="0.35">
      <c r="B9" s="115" t="s">
        <v>220</v>
      </c>
      <c r="C9" s="84">
        <f>SUBTOTAL(9,C5:C8)</f>
        <v>321</v>
      </c>
      <c r="D9" s="81"/>
      <c r="E9" s="6"/>
      <c r="F9" s="5"/>
      <c r="G9" s="5">
        <f>SUBTOTAL(9,G5:G8)</f>
        <v>12</v>
      </c>
      <c r="H9" s="66">
        <f>SUBTOTAL(9,H5:H8)</f>
        <v>3.7383177570093455E-2</v>
      </c>
    </row>
    <row r="10" spans="2:8" ht="60" customHeight="1" outlineLevel="2" thickTop="1" thickBot="1" x14ac:dyDescent="0.35">
      <c r="B10" s="151" t="s">
        <v>104</v>
      </c>
      <c r="C10" s="151">
        <v>131</v>
      </c>
      <c r="D10" s="148" t="s">
        <v>74</v>
      </c>
      <c r="E10" s="9" t="s">
        <v>146</v>
      </c>
      <c r="F10" s="8" t="s">
        <v>178</v>
      </c>
      <c r="G10" s="8">
        <v>2</v>
      </c>
      <c r="H10" s="67">
        <f>G10/131</f>
        <v>1.5267175572519083E-2</v>
      </c>
    </row>
    <row r="11" spans="2:8" ht="60" customHeight="1" outlineLevel="2" thickTop="1" thickBot="1" x14ac:dyDescent="0.35">
      <c r="B11" s="152"/>
      <c r="C11" s="152"/>
      <c r="D11" s="149"/>
      <c r="E11" s="7" t="s">
        <v>131</v>
      </c>
      <c r="F11" s="8" t="s">
        <v>177</v>
      </c>
      <c r="G11" s="8">
        <v>1</v>
      </c>
      <c r="H11" s="67">
        <f>G11/131</f>
        <v>7.6335877862595417E-3</v>
      </c>
    </row>
    <row r="12" spans="2:8" ht="60" customHeight="1" outlineLevel="2" thickTop="1" thickBot="1" x14ac:dyDescent="0.35">
      <c r="B12" s="153"/>
      <c r="C12" s="153"/>
      <c r="D12" s="150"/>
      <c r="E12" s="9" t="s">
        <v>56</v>
      </c>
      <c r="F12" s="8" t="s">
        <v>179</v>
      </c>
      <c r="G12" s="8">
        <v>1</v>
      </c>
      <c r="H12" s="67">
        <f>G12/131</f>
        <v>7.6335877862595417E-3</v>
      </c>
    </row>
    <row r="13" spans="2:8" ht="24" customHeight="1" outlineLevel="1" thickTop="1" thickBot="1" x14ac:dyDescent="0.35">
      <c r="B13" s="116" t="s">
        <v>221</v>
      </c>
      <c r="C13" s="90">
        <f>SUBTOTAL(9,C10:C12)</f>
        <v>131</v>
      </c>
      <c r="D13" s="93"/>
      <c r="E13" s="9"/>
      <c r="F13" s="8"/>
      <c r="G13" s="8">
        <f>SUBTOTAL(9,G10:G12)</f>
        <v>4</v>
      </c>
      <c r="H13" s="67">
        <f>SUBTOTAL(9,H10:H12)</f>
        <v>3.0534351145038167E-2</v>
      </c>
    </row>
    <row r="14" spans="2:8" ht="60" customHeight="1" outlineLevel="2" thickTop="1" thickBot="1" x14ac:dyDescent="0.35">
      <c r="B14" s="145" t="s">
        <v>105</v>
      </c>
      <c r="C14" s="145">
        <v>23</v>
      </c>
      <c r="D14" s="142" t="s">
        <v>75</v>
      </c>
      <c r="E14" s="10" t="s">
        <v>31</v>
      </c>
      <c r="F14" s="11" t="s">
        <v>181</v>
      </c>
      <c r="G14" s="11">
        <v>6</v>
      </c>
      <c r="H14" s="68">
        <f>G14/23</f>
        <v>0.2608695652173913</v>
      </c>
    </row>
    <row r="15" spans="2:8" ht="60" customHeight="1" outlineLevel="2" thickTop="1" thickBot="1" x14ac:dyDescent="0.35">
      <c r="B15" s="146"/>
      <c r="C15" s="146"/>
      <c r="D15" s="143"/>
      <c r="E15" s="10" t="s">
        <v>18</v>
      </c>
      <c r="F15" s="11" t="s">
        <v>180</v>
      </c>
      <c r="G15" s="11">
        <v>5</v>
      </c>
      <c r="H15" s="68">
        <f>G15/23</f>
        <v>0.21739130434782608</v>
      </c>
    </row>
    <row r="16" spans="2:8" ht="60" customHeight="1" outlineLevel="2" thickTop="1" thickBot="1" x14ac:dyDescent="0.35">
      <c r="B16" s="146"/>
      <c r="C16" s="146"/>
      <c r="D16" s="143"/>
      <c r="E16" s="10" t="s">
        <v>55</v>
      </c>
      <c r="F16" s="11" t="s">
        <v>184</v>
      </c>
      <c r="G16" s="11">
        <v>3</v>
      </c>
      <c r="H16" s="68">
        <f>G16/23</f>
        <v>0.13043478260869565</v>
      </c>
    </row>
    <row r="17" spans="2:8" ht="60" customHeight="1" outlineLevel="2" thickTop="1" thickBot="1" x14ac:dyDescent="0.35">
      <c r="B17" s="146"/>
      <c r="C17" s="146"/>
      <c r="D17" s="143"/>
      <c r="E17" s="12" t="s">
        <v>134</v>
      </c>
      <c r="F17" s="13" t="s">
        <v>182</v>
      </c>
      <c r="G17" s="13">
        <v>2</v>
      </c>
      <c r="H17" s="69">
        <f>G17/23</f>
        <v>8.6956521739130432E-2</v>
      </c>
    </row>
    <row r="18" spans="2:8" ht="60" customHeight="1" outlineLevel="2" thickTop="1" thickBot="1" x14ac:dyDescent="0.35">
      <c r="B18" s="147"/>
      <c r="C18" s="147"/>
      <c r="D18" s="144"/>
      <c r="E18" s="14" t="s">
        <v>140</v>
      </c>
      <c r="F18" s="13" t="s">
        <v>183</v>
      </c>
      <c r="G18" s="13">
        <v>2</v>
      </c>
      <c r="H18" s="69">
        <f>G18/23</f>
        <v>8.6956521739130432E-2</v>
      </c>
    </row>
    <row r="19" spans="2:8" ht="33.6" customHeight="1" outlineLevel="1" thickTop="1" thickBot="1" x14ac:dyDescent="0.35">
      <c r="B19" s="117" t="s">
        <v>222</v>
      </c>
      <c r="C19" s="88">
        <f>SUBTOTAL(9,C14:C18)</f>
        <v>23</v>
      </c>
      <c r="D19" s="86"/>
      <c r="E19" s="14"/>
      <c r="F19" s="13"/>
      <c r="G19" s="13">
        <f>SUBTOTAL(9,G14:G18)</f>
        <v>18</v>
      </c>
      <c r="H19" s="69">
        <f>SUBTOTAL(9,H14:H18)</f>
        <v>0.78260869565217384</v>
      </c>
    </row>
    <row r="20" spans="2:8" ht="156" customHeight="1" outlineLevel="2" thickTop="1" thickBot="1" x14ac:dyDescent="0.35">
      <c r="B20" s="15" t="s">
        <v>106</v>
      </c>
      <c r="C20" s="15">
        <v>57</v>
      </c>
      <c r="D20" s="16" t="s">
        <v>76</v>
      </c>
      <c r="E20" s="17" t="s">
        <v>19</v>
      </c>
      <c r="F20" s="18" t="s">
        <v>182</v>
      </c>
      <c r="G20" s="18">
        <v>2</v>
      </c>
      <c r="H20" s="70">
        <f>G20/C20</f>
        <v>3.5087719298245612E-2</v>
      </c>
    </row>
    <row r="21" spans="2:8" ht="35.4" customHeight="1" outlineLevel="1" thickTop="1" thickBot="1" x14ac:dyDescent="0.35">
      <c r="B21" s="118" t="s">
        <v>223</v>
      </c>
      <c r="C21" s="15">
        <f>SUBTOTAL(9,C20:C20)</f>
        <v>57</v>
      </c>
      <c r="D21" s="16"/>
      <c r="E21" s="17"/>
      <c r="F21" s="18"/>
      <c r="G21" s="18">
        <f>SUBTOTAL(9,G20:G20)</f>
        <v>2</v>
      </c>
      <c r="H21" s="70">
        <f>SUBTOTAL(9,H20:H20)</f>
        <v>3.5087719298245612E-2</v>
      </c>
    </row>
    <row r="22" spans="2:8" ht="193.8" customHeight="1" outlineLevel="2" thickTop="1" thickBot="1" x14ac:dyDescent="0.35">
      <c r="B22" s="19" t="s">
        <v>107</v>
      </c>
      <c r="C22" s="19">
        <v>27</v>
      </c>
      <c r="D22" s="20" t="s">
        <v>77</v>
      </c>
      <c r="E22" s="21" t="s">
        <v>51</v>
      </c>
      <c r="F22" s="22" t="s">
        <v>180</v>
      </c>
      <c r="G22" s="22">
        <v>1</v>
      </c>
      <c r="H22" s="71">
        <f>G22/C22</f>
        <v>3.7037037037037035E-2</v>
      </c>
    </row>
    <row r="23" spans="2:8" ht="25.2" customHeight="1" outlineLevel="1" thickTop="1" thickBot="1" x14ac:dyDescent="0.35">
      <c r="B23" s="119" t="s">
        <v>224</v>
      </c>
      <c r="C23" s="89">
        <f>SUBTOTAL(9,C22:C22)</f>
        <v>27</v>
      </c>
      <c r="D23" s="92"/>
      <c r="E23" s="21"/>
      <c r="F23" s="22"/>
      <c r="G23" s="22">
        <f>SUBTOTAL(9,G22:G22)</f>
        <v>1</v>
      </c>
      <c r="H23" s="71">
        <f>SUBTOTAL(9,H22:H22)</f>
        <v>3.7037037037037035E-2</v>
      </c>
    </row>
    <row r="24" spans="2:8" ht="91.8" customHeight="1" outlineLevel="2" thickTop="1" thickBot="1" x14ac:dyDescent="0.35">
      <c r="B24" s="134" t="s">
        <v>108</v>
      </c>
      <c r="C24" s="134">
        <v>20</v>
      </c>
      <c r="D24" s="132" t="s">
        <v>78</v>
      </c>
      <c r="E24" s="23" t="s">
        <v>21</v>
      </c>
      <c r="F24" s="3" t="s">
        <v>182</v>
      </c>
      <c r="G24" s="3">
        <v>1</v>
      </c>
      <c r="H24" s="65">
        <f>G24/20</f>
        <v>0.05</v>
      </c>
    </row>
    <row r="25" spans="2:8" ht="84.6" customHeight="1" outlineLevel="2" thickTop="1" thickBot="1" x14ac:dyDescent="0.35">
      <c r="B25" s="135"/>
      <c r="C25" s="135"/>
      <c r="D25" s="133"/>
      <c r="E25" s="23" t="s">
        <v>52</v>
      </c>
      <c r="F25" s="3" t="s">
        <v>181</v>
      </c>
      <c r="G25" s="3">
        <v>1</v>
      </c>
      <c r="H25" s="65">
        <f>G25/20</f>
        <v>0.05</v>
      </c>
    </row>
    <row r="26" spans="2:8" ht="34.200000000000003" customHeight="1" outlineLevel="1" thickTop="1" thickBot="1" x14ac:dyDescent="0.35">
      <c r="B26" s="114" t="s">
        <v>225</v>
      </c>
      <c r="C26" s="103">
        <f>SUBTOTAL(9,C24:C25)</f>
        <v>20</v>
      </c>
      <c r="D26" s="104"/>
      <c r="E26" s="23"/>
      <c r="F26" s="3"/>
      <c r="G26" s="3">
        <f>SUBTOTAL(9,G24:G25)</f>
        <v>2</v>
      </c>
      <c r="H26" s="65">
        <f>SUBTOTAL(9,H24:H25)</f>
        <v>0.1</v>
      </c>
    </row>
    <row r="27" spans="2:8" ht="60" customHeight="1" outlineLevel="2" thickTop="1" thickBot="1" x14ac:dyDescent="0.35">
      <c r="B27" s="145" t="s">
        <v>109</v>
      </c>
      <c r="C27" s="145">
        <v>37</v>
      </c>
      <c r="D27" s="145" t="s">
        <v>79</v>
      </c>
      <c r="E27" s="12" t="s">
        <v>26</v>
      </c>
      <c r="F27" s="13" t="s">
        <v>182</v>
      </c>
      <c r="G27" s="13">
        <v>4</v>
      </c>
      <c r="H27" s="69">
        <f>G27/37</f>
        <v>0.10810810810810811</v>
      </c>
    </row>
    <row r="28" spans="2:8" ht="60" customHeight="1" outlineLevel="2" thickTop="1" thickBot="1" x14ac:dyDescent="0.35">
      <c r="B28" s="146"/>
      <c r="C28" s="146"/>
      <c r="D28" s="146"/>
      <c r="E28" s="12" t="s">
        <v>40</v>
      </c>
      <c r="F28" s="13" t="s">
        <v>181</v>
      </c>
      <c r="G28" s="13">
        <v>3</v>
      </c>
      <c r="H28" s="69">
        <f>G28/37</f>
        <v>8.1081081081081086E-2</v>
      </c>
    </row>
    <row r="29" spans="2:8" ht="60" customHeight="1" outlineLevel="2" thickTop="1" thickBot="1" x14ac:dyDescent="0.35">
      <c r="B29" s="146"/>
      <c r="C29" s="146"/>
      <c r="D29" s="146"/>
      <c r="E29" s="14" t="s">
        <v>161</v>
      </c>
      <c r="F29" s="13" t="s">
        <v>185</v>
      </c>
      <c r="G29" s="13">
        <v>1</v>
      </c>
      <c r="H29" s="69">
        <f>G29/37</f>
        <v>2.7027027027027029E-2</v>
      </c>
    </row>
    <row r="30" spans="2:8" ht="60" customHeight="1" outlineLevel="2" thickTop="1" thickBot="1" x14ac:dyDescent="0.35">
      <c r="B30" s="147"/>
      <c r="C30" s="147"/>
      <c r="D30" s="147"/>
      <c r="E30" s="10" t="s">
        <v>50</v>
      </c>
      <c r="F30" s="11" t="s">
        <v>180</v>
      </c>
      <c r="G30" s="11">
        <v>1</v>
      </c>
      <c r="H30" s="68">
        <f>G30/37</f>
        <v>2.7027027027027029E-2</v>
      </c>
    </row>
    <row r="31" spans="2:8" ht="28.2" customHeight="1" outlineLevel="1" thickTop="1" thickBot="1" x14ac:dyDescent="0.35">
      <c r="B31" s="120" t="s">
        <v>226</v>
      </c>
      <c r="C31" s="87">
        <f>SUBTOTAL(9,C27:C30)</f>
        <v>37</v>
      </c>
      <c r="D31" s="87"/>
      <c r="E31" s="10"/>
      <c r="F31" s="11"/>
      <c r="G31" s="11">
        <f>SUBTOTAL(9,G27:G30)</f>
        <v>9</v>
      </c>
      <c r="H31" s="68">
        <f>SUBTOTAL(9,H27:H30)</f>
        <v>0.24324324324324326</v>
      </c>
    </row>
    <row r="32" spans="2:8" ht="112.8" customHeight="1" outlineLevel="2" thickTop="1" thickBot="1" x14ac:dyDescent="0.35">
      <c r="B32" s="139" t="s">
        <v>110</v>
      </c>
      <c r="C32" s="139">
        <v>87</v>
      </c>
      <c r="D32" s="136" t="s">
        <v>80</v>
      </c>
      <c r="E32" s="4" t="s">
        <v>15</v>
      </c>
      <c r="F32" s="5" t="s">
        <v>186</v>
      </c>
      <c r="G32" s="5">
        <v>28</v>
      </c>
      <c r="H32" s="66">
        <f>G32/87</f>
        <v>0.32183908045977011</v>
      </c>
    </row>
    <row r="33" spans="2:8" ht="113.4" customHeight="1" outlineLevel="2" thickTop="1" thickBot="1" x14ac:dyDescent="0.35">
      <c r="B33" s="141"/>
      <c r="C33" s="141"/>
      <c r="D33" s="138"/>
      <c r="E33" s="24" t="s">
        <v>143</v>
      </c>
      <c r="F33" s="18" t="s">
        <v>187</v>
      </c>
      <c r="G33" s="18">
        <v>1</v>
      </c>
      <c r="H33" s="70">
        <f>G33/87</f>
        <v>1.1494252873563218E-2</v>
      </c>
    </row>
    <row r="34" spans="2:8" ht="18.600000000000001" customHeight="1" outlineLevel="1" collapsed="1" thickTop="1" thickBot="1" x14ac:dyDescent="0.35">
      <c r="B34" s="115" t="s">
        <v>227</v>
      </c>
      <c r="C34" s="84">
        <f>SUBTOTAL(9,C32:C33)</f>
        <v>87</v>
      </c>
      <c r="D34" s="81"/>
      <c r="E34" s="24"/>
      <c r="F34" s="18"/>
      <c r="G34" s="18">
        <f>SUBTOTAL(9,G32:G33)</f>
        <v>29</v>
      </c>
      <c r="H34" s="70">
        <f>SUBTOTAL(9,H32:H33)</f>
        <v>0.33333333333333331</v>
      </c>
    </row>
    <row r="35" spans="2:8" ht="60" customHeight="1" outlineLevel="2" thickTop="1" thickBot="1" x14ac:dyDescent="0.35">
      <c r="B35" s="175" t="s">
        <v>111</v>
      </c>
      <c r="C35" s="151">
        <v>77</v>
      </c>
      <c r="D35" s="148" t="s">
        <v>81</v>
      </c>
      <c r="E35" s="25" t="s">
        <v>137</v>
      </c>
      <c r="F35" s="22" t="s">
        <v>189</v>
      </c>
      <c r="G35" s="22">
        <v>7</v>
      </c>
      <c r="H35" s="71">
        <f t="shared" ref="H35:H43" si="0">G35/77</f>
        <v>9.0909090909090912E-2</v>
      </c>
    </row>
    <row r="36" spans="2:8" ht="60" customHeight="1" outlineLevel="2" thickTop="1" thickBot="1" x14ac:dyDescent="0.35">
      <c r="B36" s="176"/>
      <c r="C36" s="152"/>
      <c r="D36" s="149"/>
      <c r="E36" s="25" t="s">
        <v>30</v>
      </c>
      <c r="F36" s="22" t="s">
        <v>191</v>
      </c>
      <c r="G36" s="22">
        <v>7</v>
      </c>
      <c r="H36" s="71">
        <f t="shared" si="0"/>
        <v>9.0909090909090912E-2</v>
      </c>
    </row>
    <row r="37" spans="2:8" ht="60" customHeight="1" outlineLevel="2" thickTop="1" thickBot="1" x14ac:dyDescent="0.35">
      <c r="B37" s="176"/>
      <c r="C37" s="152"/>
      <c r="D37" s="149"/>
      <c r="E37" s="25" t="s">
        <v>33</v>
      </c>
      <c r="F37" s="22" t="s">
        <v>185</v>
      </c>
      <c r="G37" s="22">
        <v>4</v>
      </c>
      <c r="H37" s="71">
        <f t="shared" si="0"/>
        <v>5.1948051948051951E-2</v>
      </c>
    </row>
    <row r="38" spans="2:8" ht="60" customHeight="1" outlineLevel="2" thickTop="1" thickBot="1" x14ac:dyDescent="0.35">
      <c r="B38" s="176"/>
      <c r="C38" s="152"/>
      <c r="D38" s="149"/>
      <c r="E38" s="25" t="s">
        <v>25</v>
      </c>
      <c r="F38" s="22" t="s">
        <v>194</v>
      </c>
      <c r="G38" s="22">
        <v>4</v>
      </c>
      <c r="H38" s="71">
        <f t="shared" si="0"/>
        <v>5.1948051948051951E-2</v>
      </c>
    </row>
    <row r="39" spans="2:8" ht="60" customHeight="1" outlineLevel="2" thickTop="1" thickBot="1" x14ac:dyDescent="0.35">
      <c r="B39" s="176"/>
      <c r="C39" s="152"/>
      <c r="D39" s="149"/>
      <c r="E39" s="25" t="s">
        <v>32</v>
      </c>
      <c r="F39" s="22" t="s">
        <v>192</v>
      </c>
      <c r="G39" s="22">
        <v>3</v>
      </c>
      <c r="H39" s="71">
        <f t="shared" si="0"/>
        <v>3.896103896103896E-2</v>
      </c>
    </row>
    <row r="40" spans="2:8" ht="60" customHeight="1" outlineLevel="2" thickTop="1" thickBot="1" x14ac:dyDescent="0.35">
      <c r="B40" s="176"/>
      <c r="C40" s="152"/>
      <c r="D40" s="149"/>
      <c r="E40" s="25" t="s">
        <v>42</v>
      </c>
      <c r="F40" s="22" t="s">
        <v>178</v>
      </c>
      <c r="G40" s="22">
        <v>2</v>
      </c>
      <c r="H40" s="71">
        <f t="shared" si="0"/>
        <v>2.5974025974025976E-2</v>
      </c>
    </row>
    <row r="41" spans="2:8" ht="60" customHeight="1" outlineLevel="2" thickTop="1" thickBot="1" x14ac:dyDescent="0.35">
      <c r="B41" s="176"/>
      <c r="C41" s="152"/>
      <c r="D41" s="149"/>
      <c r="E41" s="25" t="s">
        <v>43</v>
      </c>
      <c r="F41" s="22" t="s">
        <v>190</v>
      </c>
      <c r="G41" s="22">
        <v>2</v>
      </c>
      <c r="H41" s="71">
        <f t="shared" si="0"/>
        <v>2.5974025974025976E-2</v>
      </c>
    </row>
    <row r="42" spans="2:8" ht="60" customHeight="1" outlineLevel="2" thickTop="1" thickBot="1" x14ac:dyDescent="0.35">
      <c r="B42" s="176"/>
      <c r="C42" s="152"/>
      <c r="D42" s="149"/>
      <c r="E42" s="7" t="s">
        <v>142</v>
      </c>
      <c r="F42" s="8" t="s">
        <v>188</v>
      </c>
      <c r="G42" s="8">
        <v>1</v>
      </c>
      <c r="H42" s="67">
        <f t="shared" si="0"/>
        <v>1.2987012987012988E-2</v>
      </c>
    </row>
    <row r="43" spans="2:8" ht="60" customHeight="1" outlineLevel="2" thickTop="1" thickBot="1" x14ac:dyDescent="0.35">
      <c r="B43" s="177"/>
      <c r="C43" s="153"/>
      <c r="D43" s="150"/>
      <c r="E43" s="25" t="s">
        <v>141</v>
      </c>
      <c r="F43" s="22" t="s">
        <v>193</v>
      </c>
      <c r="G43" s="22">
        <v>1</v>
      </c>
      <c r="H43" s="71">
        <f t="shared" si="0"/>
        <v>1.2987012987012988E-2</v>
      </c>
    </row>
    <row r="44" spans="2:8" ht="27.6" customHeight="1" outlineLevel="1" collapsed="1" thickTop="1" thickBot="1" x14ac:dyDescent="0.35">
      <c r="B44" s="121" t="s">
        <v>228</v>
      </c>
      <c r="C44" s="91">
        <f>SUBTOTAL(9,C35:C43)</f>
        <v>77</v>
      </c>
      <c r="D44" s="94"/>
      <c r="E44" s="25"/>
      <c r="F44" s="22"/>
      <c r="G44" s="22">
        <f>SUBTOTAL(9,G35:G43)</f>
        <v>31</v>
      </c>
      <c r="H44" s="71">
        <f>SUBTOTAL(9,H35:H43)</f>
        <v>0.40259740259740268</v>
      </c>
    </row>
    <row r="45" spans="2:8" ht="204" customHeight="1" outlineLevel="2" thickTop="1" thickBot="1" x14ac:dyDescent="0.35">
      <c r="B45" s="26" t="s">
        <v>112</v>
      </c>
      <c r="C45" s="26">
        <v>61</v>
      </c>
      <c r="D45" s="27" t="s">
        <v>82</v>
      </c>
      <c r="E45" s="23" t="s">
        <v>9</v>
      </c>
      <c r="F45" s="3" t="s">
        <v>195</v>
      </c>
      <c r="G45" s="3">
        <v>20</v>
      </c>
      <c r="H45" s="65">
        <f>G45/C45</f>
        <v>0.32786885245901637</v>
      </c>
    </row>
    <row r="46" spans="2:8" ht="28.2" customHeight="1" outlineLevel="1" collapsed="1" thickTop="1" thickBot="1" x14ac:dyDescent="0.35">
      <c r="B46" s="122" t="s">
        <v>229</v>
      </c>
      <c r="C46" s="26">
        <f>SUBTOTAL(9,C45:C45)</f>
        <v>61</v>
      </c>
      <c r="D46" s="27"/>
      <c r="E46" s="23"/>
      <c r="F46" s="3"/>
      <c r="G46" s="3">
        <f>SUBTOTAL(9,G45:G45)</f>
        <v>20</v>
      </c>
      <c r="H46" s="65">
        <f>SUBTOTAL(9,H45:H45)</f>
        <v>0.32786885245901637</v>
      </c>
    </row>
    <row r="47" spans="2:8" ht="178.2" customHeight="1" outlineLevel="2" thickTop="1" thickBot="1" x14ac:dyDescent="0.35">
      <c r="B47" s="28" t="s">
        <v>113</v>
      </c>
      <c r="C47" s="28">
        <v>49</v>
      </c>
      <c r="D47" s="29" t="s">
        <v>83</v>
      </c>
      <c r="E47" s="40" t="s">
        <v>20</v>
      </c>
      <c r="F47" s="31" t="s">
        <v>182</v>
      </c>
      <c r="G47" s="31">
        <v>1</v>
      </c>
      <c r="H47" s="72">
        <f>G47/C47</f>
        <v>2.0408163265306121E-2</v>
      </c>
    </row>
    <row r="48" spans="2:8" ht="45" customHeight="1" outlineLevel="1" collapsed="1" thickTop="1" thickBot="1" x14ac:dyDescent="0.35">
      <c r="B48" s="123" t="s">
        <v>230</v>
      </c>
      <c r="C48" s="28">
        <f>SUBTOTAL(9,C47:C47)</f>
        <v>49</v>
      </c>
      <c r="D48" s="29"/>
      <c r="E48" s="40"/>
      <c r="F48" s="31"/>
      <c r="G48" s="31">
        <f>SUBTOTAL(9,G47:G47)</f>
        <v>1</v>
      </c>
      <c r="H48" s="72">
        <f>SUBTOTAL(9,H47:H47)</f>
        <v>2.0408163265306121E-2</v>
      </c>
    </row>
    <row r="49" spans="2:8" ht="148.80000000000001" customHeight="1" outlineLevel="2" thickTop="1" thickBot="1" x14ac:dyDescent="0.35">
      <c r="B49" s="15" t="s">
        <v>114</v>
      </c>
      <c r="C49" s="15">
        <v>43</v>
      </c>
      <c r="D49" s="32" t="s">
        <v>84</v>
      </c>
      <c r="E49" s="4" t="s">
        <v>14</v>
      </c>
      <c r="F49" s="5" t="s">
        <v>188</v>
      </c>
      <c r="G49" s="5">
        <v>4</v>
      </c>
      <c r="H49" s="66">
        <f>G49/C49</f>
        <v>9.3023255813953487E-2</v>
      </c>
    </row>
    <row r="50" spans="2:8" ht="25.8" customHeight="1" outlineLevel="1" collapsed="1" thickTop="1" thickBot="1" x14ac:dyDescent="0.35">
      <c r="B50" s="125" t="s">
        <v>231</v>
      </c>
      <c r="C50" s="83">
        <f>SUBTOTAL(9,C49:C49)</f>
        <v>43</v>
      </c>
      <c r="D50" s="124"/>
      <c r="E50" s="4"/>
      <c r="F50" s="5"/>
      <c r="G50" s="5">
        <f>SUBTOTAL(9,G49:G49)</f>
        <v>4</v>
      </c>
      <c r="H50" s="66">
        <f>SUBTOTAL(9,H49:H49)</f>
        <v>9.3023255813953487E-2</v>
      </c>
    </row>
    <row r="51" spans="2:8" ht="60" customHeight="1" outlineLevel="2" thickTop="1" thickBot="1" x14ac:dyDescent="0.35">
      <c r="B51" s="166" t="s">
        <v>115</v>
      </c>
      <c r="C51" s="166">
        <v>43</v>
      </c>
      <c r="D51" s="163" t="s">
        <v>85</v>
      </c>
      <c r="E51" s="33" t="s">
        <v>3</v>
      </c>
      <c r="F51" s="34" t="s">
        <v>196</v>
      </c>
      <c r="G51" s="34">
        <v>6</v>
      </c>
      <c r="H51" s="73">
        <f>G51/43</f>
        <v>0.13953488372093023</v>
      </c>
    </row>
    <row r="52" spans="2:8" ht="60" customHeight="1" outlineLevel="2" thickTop="1" thickBot="1" x14ac:dyDescent="0.35">
      <c r="B52" s="167"/>
      <c r="C52" s="167"/>
      <c r="D52" s="164"/>
      <c r="E52" s="33" t="s">
        <v>13</v>
      </c>
      <c r="F52" s="34" t="s">
        <v>197</v>
      </c>
      <c r="G52" s="34">
        <v>2</v>
      </c>
      <c r="H52" s="73">
        <f>G52/43</f>
        <v>4.6511627906976744E-2</v>
      </c>
    </row>
    <row r="53" spans="2:8" ht="60" customHeight="1" outlineLevel="2" thickTop="1" thickBot="1" x14ac:dyDescent="0.35">
      <c r="B53" s="168"/>
      <c r="C53" s="168"/>
      <c r="D53" s="165"/>
      <c r="E53" s="33" t="s">
        <v>28</v>
      </c>
      <c r="F53" s="34" t="s">
        <v>187</v>
      </c>
      <c r="G53" s="34">
        <v>1</v>
      </c>
      <c r="H53" s="73">
        <f>G53/43</f>
        <v>2.3255813953488372E-2</v>
      </c>
    </row>
    <row r="54" spans="2:8" ht="33.6" customHeight="1" outlineLevel="1" collapsed="1" thickTop="1" thickBot="1" x14ac:dyDescent="0.35">
      <c r="B54" s="126" t="s">
        <v>232</v>
      </c>
      <c r="C54" s="97">
        <f>SUBTOTAL(9,C51:C53)</f>
        <v>43</v>
      </c>
      <c r="D54" s="96"/>
      <c r="E54" s="33"/>
      <c r="F54" s="34"/>
      <c r="G54" s="34">
        <f>SUBTOTAL(9,G51:G53)</f>
        <v>9</v>
      </c>
      <c r="H54" s="73">
        <f>SUBTOTAL(9,H51:H53)</f>
        <v>0.20930232558139533</v>
      </c>
    </row>
    <row r="55" spans="2:8" ht="60" customHeight="1" outlineLevel="2" thickTop="1" thickBot="1" x14ac:dyDescent="0.35">
      <c r="B55" s="172" t="s">
        <v>116</v>
      </c>
      <c r="C55" s="172">
        <v>109</v>
      </c>
      <c r="D55" s="169" t="s">
        <v>86</v>
      </c>
      <c r="E55" s="35" t="s">
        <v>2</v>
      </c>
      <c r="F55" s="36" t="s">
        <v>196</v>
      </c>
      <c r="G55" s="36">
        <v>37</v>
      </c>
      <c r="H55" s="74">
        <f>G55/109</f>
        <v>0.33944954128440369</v>
      </c>
    </row>
    <row r="56" spans="2:8" ht="60" customHeight="1" outlineLevel="2" thickTop="1" thickBot="1" x14ac:dyDescent="0.35">
      <c r="B56" s="173"/>
      <c r="C56" s="173"/>
      <c r="D56" s="170"/>
      <c r="E56" s="37" t="s">
        <v>159</v>
      </c>
      <c r="F56" s="36" t="s">
        <v>176</v>
      </c>
      <c r="G56" s="36">
        <v>1</v>
      </c>
      <c r="H56" s="74">
        <f>G56/109</f>
        <v>9.1743119266055051E-3</v>
      </c>
    </row>
    <row r="57" spans="2:8" ht="60" customHeight="1" outlineLevel="2" thickTop="1" thickBot="1" x14ac:dyDescent="0.35">
      <c r="B57" s="173"/>
      <c r="C57" s="173"/>
      <c r="D57" s="170"/>
      <c r="E57" s="37" t="s">
        <v>167</v>
      </c>
      <c r="F57" s="36" t="s">
        <v>198</v>
      </c>
      <c r="G57" s="36">
        <v>1</v>
      </c>
      <c r="H57" s="74">
        <f>G57/109</f>
        <v>9.1743119266055051E-3</v>
      </c>
    </row>
    <row r="58" spans="2:8" ht="60" customHeight="1" outlineLevel="2" thickTop="1" thickBot="1" x14ac:dyDescent="0.35">
      <c r="B58" s="174"/>
      <c r="C58" s="174"/>
      <c r="D58" s="171"/>
      <c r="E58" s="37" t="s">
        <v>168</v>
      </c>
      <c r="F58" s="36" t="s">
        <v>199</v>
      </c>
      <c r="G58" s="36">
        <v>1</v>
      </c>
      <c r="H58" s="74">
        <f>G58/109</f>
        <v>9.1743119266055051E-3</v>
      </c>
    </row>
    <row r="59" spans="2:8" ht="31.2" customHeight="1" outlineLevel="1" collapsed="1" thickTop="1" thickBot="1" x14ac:dyDescent="0.35">
      <c r="B59" s="127" t="s">
        <v>233</v>
      </c>
      <c r="C59" s="99">
        <f>SUBTOTAL(9,C55:C58)</f>
        <v>109</v>
      </c>
      <c r="D59" s="98"/>
      <c r="E59" s="37"/>
      <c r="F59" s="36"/>
      <c r="G59" s="36">
        <f>SUBTOTAL(9,G55:G58)</f>
        <v>40</v>
      </c>
      <c r="H59" s="74">
        <f>SUBTOTAL(9,H55:H58)</f>
        <v>0.3669724770642202</v>
      </c>
    </row>
    <row r="60" spans="2:8" ht="60" customHeight="1" outlineLevel="2" thickTop="1" thickBot="1" x14ac:dyDescent="0.35">
      <c r="B60" s="151" t="s">
        <v>117</v>
      </c>
      <c r="C60" s="151">
        <v>85</v>
      </c>
      <c r="D60" s="148" t="s">
        <v>87</v>
      </c>
      <c r="E60" s="25" t="s">
        <v>34</v>
      </c>
      <c r="F60" s="22" t="s">
        <v>193</v>
      </c>
      <c r="G60" s="22">
        <v>43</v>
      </c>
      <c r="H60" s="71">
        <f>G60/85</f>
        <v>0.50588235294117645</v>
      </c>
    </row>
    <row r="61" spans="2:8" ht="60" customHeight="1" outlineLevel="2" thickTop="1" thickBot="1" x14ac:dyDescent="0.35">
      <c r="B61" s="152"/>
      <c r="C61" s="152"/>
      <c r="D61" s="149"/>
      <c r="E61" s="25" t="s">
        <v>36</v>
      </c>
      <c r="F61" s="22" t="s">
        <v>201</v>
      </c>
      <c r="G61" s="22">
        <v>11</v>
      </c>
      <c r="H61" s="71">
        <f>G61/85</f>
        <v>0.12941176470588237</v>
      </c>
    </row>
    <row r="62" spans="2:8" ht="60" customHeight="1" outlineLevel="2" thickTop="1" thickBot="1" x14ac:dyDescent="0.35">
      <c r="B62" s="152"/>
      <c r="C62" s="152"/>
      <c r="D62" s="149"/>
      <c r="E62" s="25" t="s">
        <v>17</v>
      </c>
      <c r="F62" s="22" t="s">
        <v>200</v>
      </c>
      <c r="G62" s="22">
        <v>3</v>
      </c>
      <c r="H62" s="71">
        <f>G62/85</f>
        <v>3.5294117647058823E-2</v>
      </c>
    </row>
    <row r="63" spans="2:8" ht="60" customHeight="1" outlineLevel="2" thickTop="1" thickBot="1" x14ac:dyDescent="0.35">
      <c r="B63" s="153"/>
      <c r="C63" s="153"/>
      <c r="D63" s="150"/>
      <c r="E63" s="21" t="s">
        <v>163</v>
      </c>
      <c r="F63" s="22" t="s">
        <v>185</v>
      </c>
      <c r="G63" s="22">
        <v>1</v>
      </c>
      <c r="H63" s="71">
        <f>G63/85</f>
        <v>1.1764705882352941E-2</v>
      </c>
    </row>
    <row r="64" spans="2:8" ht="26.4" customHeight="1" outlineLevel="1" thickTop="1" thickBot="1" x14ac:dyDescent="0.35">
      <c r="B64" s="116" t="s">
        <v>234</v>
      </c>
      <c r="C64" s="90">
        <f>SUBTOTAL(9,C60:C63)</f>
        <v>85</v>
      </c>
      <c r="D64" s="93"/>
      <c r="E64" s="21"/>
      <c r="F64" s="22"/>
      <c r="G64" s="22">
        <f>SUBTOTAL(9,G60:G63)</f>
        <v>58</v>
      </c>
      <c r="H64" s="71">
        <f>SUBTOTAL(9,H60:H63)</f>
        <v>0.6823529411764705</v>
      </c>
    </row>
    <row r="65" spans="2:8" ht="60" customHeight="1" outlineLevel="2" thickTop="1" thickBot="1" x14ac:dyDescent="0.35">
      <c r="B65" s="178" t="s">
        <v>118</v>
      </c>
      <c r="C65" s="178">
        <v>84</v>
      </c>
      <c r="D65" s="181" t="s">
        <v>88</v>
      </c>
      <c r="E65" s="38" t="s">
        <v>35</v>
      </c>
      <c r="F65" s="39" t="s">
        <v>193</v>
      </c>
      <c r="G65" s="39">
        <v>25</v>
      </c>
      <c r="H65" s="75">
        <f>G65/84</f>
        <v>0.29761904761904762</v>
      </c>
    </row>
    <row r="66" spans="2:8" ht="60" customHeight="1" outlineLevel="2" thickTop="1" thickBot="1" x14ac:dyDescent="0.35">
      <c r="B66" s="179"/>
      <c r="C66" s="179"/>
      <c r="D66" s="182"/>
      <c r="E66" s="38" t="s">
        <v>37</v>
      </c>
      <c r="F66" s="39" t="s">
        <v>188</v>
      </c>
      <c r="G66" s="39">
        <v>7</v>
      </c>
      <c r="H66" s="75">
        <f>G66/84</f>
        <v>8.3333333333333329E-2</v>
      </c>
    </row>
    <row r="67" spans="2:8" ht="60" customHeight="1" outlineLevel="2" thickTop="1" thickBot="1" x14ac:dyDescent="0.35">
      <c r="B67" s="180"/>
      <c r="C67" s="180"/>
      <c r="D67" s="183"/>
      <c r="E67" s="38" t="s">
        <v>53</v>
      </c>
      <c r="F67" s="39" t="s">
        <v>202</v>
      </c>
      <c r="G67" s="39">
        <v>1</v>
      </c>
      <c r="H67" s="75">
        <f>G67/84</f>
        <v>1.1904761904761904E-2</v>
      </c>
    </row>
    <row r="68" spans="2:8" ht="23.4" customHeight="1" outlineLevel="1" thickTop="1" thickBot="1" x14ac:dyDescent="0.35">
      <c r="B68" s="128" t="s">
        <v>235</v>
      </c>
      <c r="C68" s="100">
        <f>SUBTOTAL(9,C65:C67)</f>
        <v>84</v>
      </c>
      <c r="D68" s="101"/>
      <c r="E68" s="38"/>
      <c r="F68" s="39"/>
      <c r="G68" s="39">
        <f>SUBTOTAL(9,G65:G67)</f>
        <v>33</v>
      </c>
      <c r="H68" s="75">
        <f>SUBTOTAL(9,H65:H67)</f>
        <v>0.39285714285714285</v>
      </c>
    </row>
    <row r="69" spans="2:8" ht="60" customHeight="1" outlineLevel="2" thickTop="1" thickBot="1" x14ac:dyDescent="0.35">
      <c r="B69" s="139" t="s">
        <v>119</v>
      </c>
      <c r="C69" s="139">
        <v>223</v>
      </c>
      <c r="D69" s="136" t="s">
        <v>89</v>
      </c>
      <c r="E69" s="6" t="s">
        <v>158</v>
      </c>
      <c r="F69" s="5" t="s">
        <v>176</v>
      </c>
      <c r="G69" s="5">
        <v>5</v>
      </c>
      <c r="H69" s="66">
        <f>G69/223</f>
        <v>2.2421524663677129E-2</v>
      </c>
    </row>
    <row r="70" spans="2:8" ht="60" customHeight="1" outlineLevel="2" thickTop="1" thickBot="1" x14ac:dyDescent="0.35">
      <c r="B70" s="140"/>
      <c r="C70" s="140"/>
      <c r="D70" s="137"/>
      <c r="E70" s="6" t="s">
        <v>148</v>
      </c>
      <c r="F70" s="5" t="s">
        <v>173</v>
      </c>
      <c r="G70" s="5">
        <v>2</v>
      </c>
      <c r="H70" s="66">
        <f>G70/223</f>
        <v>8.9686098654708519E-3</v>
      </c>
    </row>
    <row r="71" spans="2:8" ht="60" customHeight="1" outlineLevel="2" thickTop="1" thickBot="1" x14ac:dyDescent="0.35">
      <c r="B71" s="140"/>
      <c r="C71" s="140"/>
      <c r="D71" s="137"/>
      <c r="E71" s="6" t="s">
        <v>157</v>
      </c>
      <c r="F71" s="5" t="s">
        <v>203</v>
      </c>
      <c r="G71" s="5">
        <v>1</v>
      </c>
      <c r="H71" s="66">
        <f>G71/223</f>
        <v>4.4843049327354259E-3</v>
      </c>
    </row>
    <row r="72" spans="2:8" ht="60" customHeight="1" outlineLevel="2" thickTop="1" thickBot="1" x14ac:dyDescent="0.35">
      <c r="B72" s="141"/>
      <c r="C72" s="141"/>
      <c r="D72" s="138"/>
      <c r="E72" s="6" t="s">
        <v>8</v>
      </c>
      <c r="F72" s="5" t="s">
        <v>200</v>
      </c>
      <c r="G72" s="5">
        <v>1</v>
      </c>
      <c r="H72" s="66">
        <f>G72/223</f>
        <v>4.4843049327354259E-3</v>
      </c>
    </row>
    <row r="73" spans="2:8" ht="26.4" customHeight="1" outlineLevel="1" thickTop="1" thickBot="1" x14ac:dyDescent="0.35">
      <c r="B73" s="129" t="s">
        <v>236</v>
      </c>
      <c r="C73" s="85">
        <f>SUBTOTAL(9,C69:C72)</f>
        <v>223</v>
      </c>
      <c r="D73" s="82"/>
      <c r="E73" s="6"/>
      <c r="F73" s="5"/>
      <c r="G73" s="5">
        <f>SUBTOTAL(9,G69:G72)</f>
        <v>9</v>
      </c>
      <c r="H73" s="66">
        <f>SUBTOTAL(9,H69:H72)</f>
        <v>4.0358744394618833E-2</v>
      </c>
    </row>
    <row r="74" spans="2:8" ht="144" customHeight="1" outlineLevel="2" thickTop="1" thickBot="1" x14ac:dyDescent="0.35">
      <c r="B74" s="26" t="s">
        <v>120</v>
      </c>
      <c r="C74" s="26">
        <v>141</v>
      </c>
      <c r="D74" s="27" t="s">
        <v>90</v>
      </c>
      <c r="E74" s="2" t="s">
        <v>162</v>
      </c>
      <c r="F74" s="3" t="s">
        <v>204</v>
      </c>
      <c r="G74" s="3">
        <v>1</v>
      </c>
      <c r="H74" s="65">
        <f>G74/141</f>
        <v>7.0921985815602835E-3</v>
      </c>
    </row>
    <row r="75" spans="2:8" ht="33" customHeight="1" outlineLevel="1" thickTop="1" thickBot="1" x14ac:dyDescent="0.35">
      <c r="B75" s="130" t="s">
        <v>237</v>
      </c>
      <c r="C75" s="80">
        <f>SUBTOTAL(9,C74:C74)</f>
        <v>141</v>
      </c>
      <c r="D75" s="79"/>
      <c r="E75" s="2"/>
      <c r="F75" s="3"/>
      <c r="G75" s="3">
        <f>SUBTOTAL(9,G74:G74)</f>
        <v>1</v>
      </c>
      <c r="H75" s="65">
        <f>SUBTOTAL(9,H74:H74)</f>
        <v>7.0921985815602835E-3</v>
      </c>
    </row>
    <row r="76" spans="2:8" ht="122.4" customHeight="1" outlineLevel="2" thickTop="1" thickBot="1" x14ac:dyDescent="0.35">
      <c r="B76" s="154" t="s">
        <v>121</v>
      </c>
      <c r="C76" s="154">
        <v>163</v>
      </c>
      <c r="D76" s="157" t="s">
        <v>91</v>
      </c>
      <c r="E76" s="30" t="s">
        <v>29</v>
      </c>
      <c r="F76" s="31" t="s">
        <v>185</v>
      </c>
      <c r="G76" s="31">
        <v>1</v>
      </c>
      <c r="H76" s="72">
        <f>G76/163</f>
        <v>6.1349693251533744E-3</v>
      </c>
    </row>
    <row r="77" spans="2:8" ht="121.2" customHeight="1" outlineLevel="2" thickTop="1" thickBot="1" x14ac:dyDescent="0.35">
      <c r="B77" s="156"/>
      <c r="C77" s="156"/>
      <c r="D77" s="159"/>
      <c r="E77" s="40" t="s">
        <v>49</v>
      </c>
      <c r="F77" s="31" t="s">
        <v>210</v>
      </c>
      <c r="G77" s="31">
        <v>1</v>
      </c>
      <c r="H77" s="72">
        <f>G77/163</f>
        <v>6.1349693251533744E-3</v>
      </c>
    </row>
    <row r="78" spans="2:8" ht="43.2" customHeight="1" outlineLevel="1" collapsed="1" thickTop="1" thickBot="1" x14ac:dyDescent="0.35">
      <c r="B78" s="131" t="s">
        <v>238</v>
      </c>
      <c r="C78" s="95">
        <f>SUBTOTAL(9,C76:C77)</f>
        <v>163</v>
      </c>
      <c r="D78" s="102"/>
      <c r="E78" s="40"/>
      <c r="F78" s="31"/>
      <c r="G78" s="31">
        <f>SUBTOTAL(9,G76:G77)</f>
        <v>2</v>
      </c>
      <c r="H78" s="72">
        <f>SUBTOTAL(9,H76:H77)</f>
        <v>1.2269938650306749E-2</v>
      </c>
    </row>
    <row r="79" spans="2:8" ht="147" customHeight="1" outlineLevel="2" thickTop="1" thickBot="1" x14ac:dyDescent="0.35">
      <c r="B79" s="19" t="s">
        <v>122</v>
      </c>
      <c r="C79" s="19">
        <v>218</v>
      </c>
      <c r="D79" s="20" t="s">
        <v>92</v>
      </c>
      <c r="E79" s="21" t="s">
        <v>151</v>
      </c>
      <c r="F79" s="22" t="s">
        <v>204</v>
      </c>
      <c r="G79" s="22">
        <v>1</v>
      </c>
      <c r="H79" s="71">
        <f>G79/C79</f>
        <v>4.5871559633027525E-3</v>
      </c>
    </row>
    <row r="80" spans="2:8" ht="41.4" customHeight="1" outlineLevel="1" collapsed="1" thickTop="1" thickBot="1" x14ac:dyDescent="0.35">
      <c r="B80" s="119" t="s">
        <v>239</v>
      </c>
      <c r="C80" s="89">
        <f>SUBTOTAL(9,C79:C79)</f>
        <v>218</v>
      </c>
      <c r="D80" s="92"/>
      <c r="E80" s="21"/>
      <c r="F80" s="22"/>
      <c r="G80" s="22">
        <f>SUBTOTAL(9,G79:G79)</f>
        <v>1</v>
      </c>
      <c r="H80" s="71">
        <f>SUBTOTAL(9,H79:H79)</f>
        <v>4.5871559633027525E-3</v>
      </c>
    </row>
    <row r="81" spans="2:8" ht="101.4" customHeight="1" outlineLevel="2" thickTop="1" thickBot="1" x14ac:dyDescent="0.35">
      <c r="B81" s="134" t="s">
        <v>123</v>
      </c>
      <c r="C81" s="134">
        <v>174</v>
      </c>
      <c r="D81" s="132" t="s">
        <v>93</v>
      </c>
      <c r="E81" s="2" t="s">
        <v>47</v>
      </c>
      <c r="F81" s="3" t="s">
        <v>205</v>
      </c>
      <c r="G81" s="3">
        <v>4</v>
      </c>
      <c r="H81" s="65">
        <f>G81/174</f>
        <v>2.2988505747126436E-2</v>
      </c>
    </row>
    <row r="82" spans="2:8" ht="92.4" customHeight="1" outlineLevel="2" thickTop="1" thickBot="1" x14ac:dyDescent="0.35">
      <c r="B82" s="135"/>
      <c r="C82" s="135"/>
      <c r="D82" s="133"/>
      <c r="E82" s="2" t="s">
        <v>46</v>
      </c>
      <c r="F82" s="3" t="s">
        <v>206</v>
      </c>
      <c r="G82" s="3">
        <v>3</v>
      </c>
      <c r="H82" s="65">
        <f>G82/174</f>
        <v>1.7241379310344827E-2</v>
      </c>
    </row>
    <row r="83" spans="2:8" ht="19.8" customHeight="1" outlineLevel="1" collapsed="1" thickTop="1" thickBot="1" x14ac:dyDescent="0.35">
      <c r="B83" s="114" t="s">
        <v>240</v>
      </c>
      <c r="C83" s="103">
        <f>SUBTOTAL(9,C81:C82)</f>
        <v>174</v>
      </c>
      <c r="D83" s="104"/>
      <c r="E83" s="2"/>
      <c r="F83" s="3"/>
      <c r="G83" s="3">
        <f>SUBTOTAL(9,G81:G82)</f>
        <v>7</v>
      </c>
      <c r="H83" s="65">
        <f>SUBTOTAL(9,H81:H82)</f>
        <v>4.0229885057471264E-2</v>
      </c>
    </row>
    <row r="84" spans="2:8" ht="103.8" customHeight="1" outlineLevel="2" thickTop="1" thickBot="1" x14ac:dyDescent="0.35">
      <c r="B84" s="139" t="s">
        <v>124</v>
      </c>
      <c r="C84" s="139">
        <v>57</v>
      </c>
      <c r="D84" s="136" t="s">
        <v>94</v>
      </c>
      <c r="E84" s="4" t="s">
        <v>132</v>
      </c>
      <c r="F84" s="5" t="s">
        <v>192</v>
      </c>
      <c r="G84" s="5">
        <v>2</v>
      </c>
      <c r="H84" s="66">
        <f>G84/57</f>
        <v>3.5087719298245612E-2</v>
      </c>
    </row>
    <row r="85" spans="2:8" ht="115.2" customHeight="1" outlineLevel="2" thickTop="1" thickBot="1" x14ac:dyDescent="0.35">
      <c r="B85" s="141"/>
      <c r="C85" s="141"/>
      <c r="D85" s="138"/>
      <c r="E85" s="4" t="s">
        <v>22</v>
      </c>
      <c r="F85" s="5" t="s">
        <v>185</v>
      </c>
      <c r="G85" s="5">
        <v>1</v>
      </c>
      <c r="H85" s="66">
        <f>G85/57</f>
        <v>1.7543859649122806E-2</v>
      </c>
    </row>
    <row r="86" spans="2:8" ht="33" customHeight="1" outlineLevel="1" collapsed="1" thickTop="1" thickBot="1" x14ac:dyDescent="0.35">
      <c r="B86" s="115" t="s">
        <v>241</v>
      </c>
      <c r="C86" s="84">
        <f>SUBTOTAL(9,C84:C85)</f>
        <v>57</v>
      </c>
      <c r="D86" s="81"/>
      <c r="E86" s="4"/>
      <c r="F86" s="5"/>
      <c r="G86" s="5">
        <f>SUBTOTAL(9,G84:G85)</f>
        <v>3</v>
      </c>
      <c r="H86" s="66">
        <f>SUBTOTAL(9,H84:H85)</f>
        <v>5.2631578947368418E-2</v>
      </c>
    </row>
    <row r="87" spans="2:8" ht="60" customHeight="1" outlineLevel="2" thickTop="1" thickBot="1" x14ac:dyDescent="0.35">
      <c r="B87" s="134" t="s">
        <v>125</v>
      </c>
      <c r="C87" s="134">
        <v>141</v>
      </c>
      <c r="D87" s="132" t="s">
        <v>95</v>
      </c>
      <c r="E87" s="23" t="s">
        <v>16</v>
      </c>
      <c r="F87" s="3" t="s">
        <v>190</v>
      </c>
      <c r="G87" s="3">
        <v>37</v>
      </c>
      <c r="H87" s="65">
        <f>G87/141</f>
        <v>0.26241134751773049</v>
      </c>
    </row>
    <row r="88" spans="2:8" ht="60" customHeight="1" outlineLevel="2" thickTop="1" thickBot="1" x14ac:dyDescent="0.35">
      <c r="B88" s="184"/>
      <c r="C88" s="184"/>
      <c r="D88" s="185"/>
      <c r="E88" s="23" t="s">
        <v>130</v>
      </c>
      <c r="F88" s="3" t="s">
        <v>180</v>
      </c>
      <c r="G88" s="3">
        <v>3</v>
      </c>
      <c r="H88" s="65">
        <f>G88/141</f>
        <v>2.1276595744680851E-2</v>
      </c>
    </row>
    <row r="89" spans="2:8" ht="60" customHeight="1" outlineLevel="2" thickTop="1" thickBot="1" x14ac:dyDescent="0.35">
      <c r="B89" s="184"/>
      <c r="C89" s="184"/>
      <c r="D89" s="185"/>
      <c r="E89" s="2" t="s">
        <v>23</v>
      </c>
      <c r="F89" s="41" t="s">
        <v>207</v>
      </c>
      <c r="G89" s="41">
        <v>1</v>
      </c>
      <c r="H89" s="76">
        <f>G89/141</f>
        <v>7.0921985815602835E-3</v>
      </c>
    </row>
    <row r="90" spans="2:8" ht="60" customHeight="1" outlineLevel="2" thickTop="1" thickBot="1" x14ac:dyDescent="0.35">
      <c r="B90" s="135"/>
      <c r="C90" s="135"/>
      <c r="D90" s="133"/>
      <c r="E90" s="2" t="s">
        <v>153</v>
      </c>
      <c r="F90" s="3" t="s">
        <v>182</v>
      </c>
      <c r="G90" s="3">
        <v>1</v>
      </c>
      <c r="H90" s="65">
        <f>G90/141</f>
        <v>7.0921985815602835E-3</v>
      </c>
    </row>
    <row r="91" spans="2:8" ht="22.2" customHeight="1" outlineLevel="1" collapsed="1" thickTop="1" thickBot="1" x14ac:dyDescent="0.35">
      <c r="B91" s="114" t="s">
        <v>242</v>
      </c>
      <c r="C91" s="103">
        <f>SUBTOTAL(9,C87:C90)</f>
        <v>141</v>
      </c>
      <c r="D91" s="104"/>
      <c r="E91" s="2"/>
      <c r="F91" s="3"/>
      <c r="G91" s="3">
        <f>SUBTOTAL(9,G87:G90)</f>
        <v>42</v>
      </c>
      <c r="H91" s="65">
        <f>SUBTOTAL(9,H87:H90)</f>
        <v>0.2978723404255319</v>
      </c>
    </row>
    <row r="92" spans="2:8" ht="60" customHeight="1" outlineLevel="2" thickTop="1" thickBot="1" x14ac:dyDescent="0.35">
      <c r="B92" s="151" t="s">
        <v>126</v>
      </c>
      <c r="C92" s="151">
        <v>141</v>
      </c>
      <c r="D92" s="148" t="s">
        <v>96</v>
      </c>
      <c r="E92" s="25" t="s">
        <v>44</v>
      </c>
      <c r="F92" s="22" t="s">
        <v>192</v>
      </c>
      <c r="G92" s="22">
        <v>18</v>
      </c>
      <c r="H92" s="71">
        <f t="shared" ref="H92:H95" si="1">G92/141</f>
        <v>0.1276595744680851</v>
      </c>
    </row>
    <row r="93" spans="2:8" ht="60" customHeight="1" outlineLevel="2" thickTop="1" thickBot="1" x14ac:dyDescent="0.35">
      <c r="B93" s="152"/>
      <c r="C93" s="152"/>
      <c r="D93" s="149"/>
      <c r="E93" s="25" t="s">
        <v>133</v>
      </c>
      <c r="F93" s="22" t="s">
        <v>208</v>
      </c>
      <c r="G93" s="22">
        <v>16</v>
      </c>
      <c r="H93" s="71">
        <f t="shared" si="1"/>
        <v>0.11347517730496454</v>
      </c>
    </row>
    <row r="94" spans="2:8" ht="60" customHeight="1" outlineLevel="2" thickTop="1" thickBot="1" x14ac:dyDescent="0.35">
      <c r="B94" s="152"/>
      <c r="C94" s="152"/>
      <c r="D94" s="149"/>
      <c r="E94" s="25" t="s">
        <v>48</v>
      </c>
      <c r="F94" s="22" t="s">
        <v>190</v>
      </c>
      <c r="G94" s="22">
        <v>1</v>
      </c>
      <c r="H94" s="71">
        <f t="shared" si="1"/>
        <v>7.0921985815602835E-3</v>
      </c>
    </row>
    <row r="95" spans="2:8" ht="60" customHeight="1" outlineLevel="2" thickTop="1" thickBot="1" x14ac:dyDescent="0.35">
      <c r="B95" s="153"/>
      <c r="C95" s="153"/>
      <c r="D95" s="150"/>
      <c r="E95" s="21" t="s">
        <v>41</v>
      </c>
      <c r="F95" s="22" t="s">
        <v>204</v>
      </c>
      <c r="G95" s="22">
        <v>1</v>
      </c>
      <c r="H95" s="71">
        <f t="shared" si="1"/>
        <v>7.0921985815602835E-3</v>
      </c>
    </row>
    <row r="96" spans="2:8" ht="30" customHeight="1" outlineLevel="1" collapsed="1" thickTop="1" thickBot="1" x14ac:dyDescent="0.35">
      <c r="B96" s="116" t="s">
        <v>243</v>
      </c>
      <c r="C96" s="90">
        <f>SUBTOTAL(9,C92:C95)</f>
        <v>141</v>
      </c>
      <c r="D96" s="93"/>
      <c r="E96" s="21"/>
      <c r="F96" s="22"/>
      <c r="G96" s="22">
        <f>SUBTOTAL(9,G92:G95)</f>
        <v>36</v>
      </c>
      <c r="H96" s="71">
        <f>SUBTOTAL(9,H92:H95)</f>
        <v>0.25531914893617019</v>
      </c>
    </row>
    <row r="97" spans="2:8" ht="60" customHeight="1" outlineLevel="2" thickTop="1" thickBot="1" x14ac:dyDescent="0.35">
      <c r="B97" s="160" t="s">
        <v>127</v>
      </c>
      <c r="C97" s="154">
        <v>30</v>
      </c>
      <c r="D97" s="157" t="s">
        <v>97</v>
      </c>
      <c r="E97" s="42" t="s">
        <v>135</v>
      </c>
      <c r="F97" s="31" t="s">
        <v>207</v>
      </c>
      <c r="G97" s="31">
        <v>6</v>
      </c>
      <c r="H97" s="72">
        <f>G97/30</f>
        <v>0.2</v>
      </c>
    </row>
    <row r="98" spans="2:8" ht="60" customHeight="1" outlineLevel="2" thickTop="1" thickBot="1" x14ac:dyDescent="0.35">
      <c r="B98" s="161"/>
      <c r="C98" s="155"/>
      <c r="D98" s="158"/>
      <c r="E98" s="42" t="s">
        <v>24</v>
      </c>
      <c r="F98" s="31" t="s">
        <v>185</v>
      </c>
      <c r="G98" s="31">
        <v>2</v>
      </c>
      <c r="H98" s="72">
        <f>G98/30</f>
        <v>6.6666666666666666E-2</v>
      </c>
    </row>
    <row r="99" spans="2:8" ht="60" customHeight="1" outlineLevel="2" thickTop="1" thickBot="1" x14ac:dyDescent="0.35">
      <c r="B99" s="162"/>
      <c r="C99" s="156"/>
      <c r="D99" s="159"/>
      <c r="E99" s="40" t="s">
        <v>150</v>
      </c>
      <c r="F99" s="31" t="s">
        <v>177</v>
      </c>
      <c r="G99" s="31">
        <v>1</v>
      </c>
      <c r="H99" s="72">
        <f>G99/30</f>
        <v>3.3333333333333333E-2</v>
      </c>
    </row>
    <row r="100" spans="2:8" ht="31.2" customHeight="1" outlineLevel="1" collapsed="1" thickTop="1" thickBot="1" x14ac:dyDescent="0.35">
      <c r="B100" s="131" t="s">
        <v>244</v>
      </c>
      <c r="C100" s="95">
        <f>SUBTOTAL(9,C97:C99)</f>
        <v>30</v>
      </c>
      <c r="D100" s="102"/>
      <c r="E100" s="40"/>
      <c r="F100" s="31"/>
      <c r="G100" s="31">
        <f>SUBTOTAL(9,G97:G99)</f>
        <v>9</v>
      </c>
      <c r="H100" s="72">
        <f>SUBTOTAL(9,H97:H99)</f>
        <v>0.3</v>
      </c>
    </row>
    <row r="101" spans="2:8" ht="133.80000000000001" customHeight="1" outlineLevel="2" thickTop="1" thickBot="1" x14ac:dyDescent="0.35">
      <c r="B101" s="26" t="s">
        <v>128</v>
      </c>
      <c r="C101" s="26">
        <v>99</v>
      </c>
      <c r="D101" s="27" t="s">
        <v>98</v>
      </c>
      <c r="E101" s="2" t="s">
        <v>165</v>
      </c>
      <c r="F101" s="3" t="s">
        <v>198</v>
      </c>
      <c r="G101" s="3">
        <v>4</v>
      </c>
      <c r="H101" s="65">
        <f>G101/C101</f>
        <v>4.0404040404040407E-2</v>
      </c>
    </row>
    <row r="102" spans="2:8" ht="30" customHeight="1" outlineLevel="1" collapsed="1" thickTop="1" thickBot="1" x14ac:dyDescent="0.35">
      <c r="B102" s="130" t="s">
        <v>245</v>
      </c>
      <c r="C102" s="80">
        <f>SUBTOTAL(9,C101:C101)</f>
        <v>99</v>
      </c>
      <c r="D102" s="79"/>
      <c r="E102" s="2"/>
      <c r="F102" s="3"/>
      <c r="G102" s="3">
        <f>SUBTOTAL(9,G101:G101)</f>
        <v>4</v>
      </c>
      <c r="H102" s="65">
        <f>SUBTOTAL(9,H101:H101)</f>
        <v>4.0404040404040407E-2</v>
      </c>
    </row>
    <row r="103" spans="2:8" ht="60" customHeight="1" outlineLevel="2" thickTop="1" thickBot="1" x14ac:dyDescent="0.35">
      <c r="B103" s="139" t="s">
        <v>129</v>
      </c>
      <c r="C103" s="139">
        <v>96</v>
      </c>
      <c r="D103" s="136" t="s">
        <v>99</v>
      </c>
      <c r="E103" s="6" t="s">
        <v>4</v>
      </c>
      <c r="F103" s="5" t="s">
        <v>196</v>
      </c>
      <c r="G103" s="5">
        <v>1</v>
      </c>
      <c r="H103" s="66">
        <f>G103/96</f>
        <v>1.0416666666666666E-2</v>
      </c>
    </row>
    <row r="104" spans="2:8" ht="60" customHeight="1" outlineLevel="2" thickTop="1" thickBot="1" x14ac:dyDescent="0.35">
      <c r="B104" s="140"/>
      <c r="C104" s="140"/>
      <c r="D104" s="137"/>
      <c r="E104" s="6" t="s">
        <v>45</v>
      </c>
      <c r="F104" s="5" t="s">
        <v>203</v>
      </c>
      <c r="G104" s="5">
        <v>1</v>
      </c>
      <c r="H104" s="66">
        <f>G104/96</f>
        <v>1.0416666666666666E-2</v>
      </c>
    </row>
    <row r="105" spans="2:8" ht="60" customHeight="1" outlineLevel="2" thickTop="1" thickBot="1" x14ac:dyDescent="0.35">
      <c r="B105" s="141"/>
      <c r="C105" s="141"/>
      <c r="D105" s="138"/>
      <c r="E105" s="43" t="s">
        <v>166</v>
      </c>
      <c r="F105" s="5" t="s">
        <v>209</v>
      </c>
      <c r="G105" s="5">
        <v>1</v>
      </c>
      <c r="H105" s="66">
        <f>G105/96</f>
        <v>1.0416666666666666E-2</v>
      </c>
    </row>
    <row r="106" spans="2:8" ht="19.8" customHeight="1" outlineLevel="1" collapsed="1" thickTop="1" thickBot="1" x14ac:dyDescent="0.35">
      <c r="B106" s="129" t="s">
        <v>246</v>
      </c>
      <c r="C106" s="85">
        <f>SUBTOTAL(9,C103:C105)</f>
        <v>96</v>
      </c>
      <c r="D106" s="82"/>
      <c r="E106" s="43"/>
      <c r="F106" s="5"/>
      <c r="G106" s="5">
        <f>SUBTOTAL(9,G103:G105)</f>
        <v>3</v>
      </c>
      <c r="H106" s="66">
        <f>SUBTOTAL(9,H103:H105)</f>
        <v>3.125E-2</v>
      </c>
    </row>
    <row r="107" spans="2:8" ht="25.2" customHeight="1" outlineLevel="1" thickTop="1" thickBot="1" x14ac:dyDescent="0.35">
      <c r="B107" s="15"/>
      <c r="C107" s="15"/>
      <c r="D107" s="16"/>
      <c r="E107" s="43"/>
      <c r="F107" s="5"/>
      <c r="G107" s="5">
        <f>SUM(G2:G105)</f>
        <v>879</v>
      </c>
      <c r="H107" s="66"/>
    </row>
    <row r="108" spans="2:8" ht="60" customHeight="1" thickTop="1" x14ac:dyDescent="0.3">
      <c r="B108" s="56"/>
      <c r="C108" s="56"/>
      <c r="D108" s="56"/>
      <c r="E108" s="57"/>
      <c r="F108" s="56"/>
      <c r="G108" s="56"/>
      <c r="H108" s="77"/>
    </row>
    <row r="109" spans="2:8" ht="60" customHeight="1" x14ac:dyDescent="0.3">
      <c r="B109" s="60"/>
      <c r="C109" s="60"/>
      <c r="D109" s="60"/>
      <c r="E109" s="61"/>
      <c r="F109" s="60"/>
      <c r="G109" s="60"/>
      <c r="H109" s="63"/>
    </row>
    <row r="110" spans="2:8" ht="60" customHeight="1" x14ac:dyDescent="0.3">
      <c r="B110" s="60"/>
      <c r="C110" s="60"/>
      <c r="D110" s="60"/>
      <c r="E110" s="61"/>
      <c r="F110" s="60"/>
      <c r="G110" s="60"/>
      <c r="H110" s="63"/>
    </row>
    <row r="111" spans="2:8" ht="60" customHeight="1" x14ac:dyDescent="0.3">
      <c r="B111" s="60"/>
      <c r="C111" s="60"/>
      <c r="D111" s="60"/>
      <c r="E111" s="61"/>
      <c r="F111" s="60"/>
      <c r="G111" s="60"/>
      <c r="H111" s="63"/>
    </row>
    <row r="112" spans="2:8" ht="60" customHeight="1" x14ac:dyDescent="0.3">
      <c r="B112" s="60"/>
      <c r="C112" s="60"/>
      <c r="D112" s="60"/>
      <c r="E112" s="61"/>
      <c r="F112" s="60"/>
      <c r="G112" s="60"/>
      <c r="H112" s="63"/>
    </row>
    <row r="113" spans="2:8" ht="60" customHeight="1" x14ac:dyDescent="0.3">
      <c r="B113" s="60"/>
      <c r="C113" s="60"/>
      <c r="D113" s="60"/>
      <c r="E113" s="61"/>
      <c r="F113" s="60"/>
      <c r="G113" s="60"/>
      <c r="H113" s="63"/>
    </row>
    <row r="114" spans="2:8" ht="60" customHeight="1" x14ac:dyDescent="0.3">
      <c r="B114" s="60"/>
      <c r="C114" s="60"/>
      <c r="D114" s="60"/>
      <c r="E114" s="61"/>
      <c r="F114" s="60"/>
      <c r="G114" s="60"/>
      <c r="H114" s="63"/>
    </row>
    <row r="115" spans="2:8" ht="60" customHeight="1" x14ac:dyDescent="0.3">
      <c r="B115" s="60"/>
      <c r="C115" s="60"/>
      <c r="D115" s="60"/>
      <c r="E115" s="61"/>
      <c r="F115" s="60"/>
      <c r="G115" s="60"/>
      <c r="H115" s="63"/>
    </row>
    <row r="116" spans="2:8" ht="60" customHeight="1" x14ac:dyDescent="0.3">
      <c r="B116" s="60"/>
      <c r="C116" s="60"/>
      <c r="D116" s="60"/>
      <c r="E116" s="61"/>
      <c r="F116" s="60"/>
      <c r="G116" s="60"/>
      <c r="H116" s="63"/>
    </row>
    <row r="117" spans="2:8" ht="60" customHeight="1" x14ac:dyDescent="0.3">
      <c r="B117" s="60"/>
      <c r="C117" s="60"/>
      <c r="D117" s="60"/>
      <c r="E117" s="61"/>
      <c r="F117" s="60"/>
      <c r="G117" s="60"/>
      <c r="H117" s="63"/>
    </row>
    <row r="118" spans="2:8" ht="60" customHeight="1" x14ac:dyDescent="0.3">
      <c r="B118" s="60"/>
      <c r="C118" s="60"/>
      <c r="D118" s="60"/>
      <c r="E118" s="61"/>
      <c r="F118" s="60"/>
      <c r="G118" s="60"/>
      <c r="H118" s="63"/>
    </row>
    <row r="119" spans="2:8" ht="60" customHeight="1" x14ac:dyDescent="0.3">
      <c r="B119" s="60"/>
      <c r="C119" s="60"/>
      <c r="D119" s="60"/>
      <c r="E119" s="61"/>
      <c r="F119" s="60"/>
      <c r="G119" s="60"/>
      <c r="H119" s="63"/>
    </row>
    <row r="120" spans="2:8" ht="60" customHeight="1" x14ac:dyDescent="0.3">
      <c r="B120" s="60"/>
      <c r="C120" s="60"/>
      <c r="D120" s="60"/>
      <c r="E120" s="61"/>
      <c r="F120" s="60"/>
      <c r="G120" s="60"/>
      <c r="H120" s="63"/>
    </row>
    <row r="121" spans="2:8" ht="60" customHeight="1" x14ac:dyDescent="0.3">
      <c r="B121" s="60"/>
      <c r="C121" s="60"/>
      <c r="D121" s="60"/>
      <c r="E121" s="61"/>
      <c r="F121" s="60"/>
      <c r="G121" s="60"/>
      <c r="H121" s="63"/>
    </row>
    <row r="122" spans="2:8" ht="60" customHeight="1" x14ac:dyDescent="0.3">
      <c r="B122" s="60"/>
      <c r="C122" s="60"/>
      <c r="D122" s="60"/>
      <c r="E122" s="61"/>
      <c r="F122" s="60"/>
      <c r="G122" s="60"/>
      <c r="H122" s="63"/>
    </row>
    <row r="123" spans="2:8" ht="60" customHeight="1" x14ac:dyDescent="0.3">
      <c r="B123" s="60"/>
      <c r="C123" s="60"/>
      <c r="D123" s="60"/>
      <c r="E123" s="61"/>
      <c r="F123" s="60"/>
      <c r="G123" s="60"/>
      <c r="H123" s="63"/>
    </row>
    <row r="124" spans="2:8" ht="60" customHeight="1" x14ac:dyDescent="0.3">
      <c r="B124" s="60"/>
      <c r="C124" s="60"/>
      <c r="D124" s="60"/>
      <c r="E124" s="61"/>
      <c r="F124" s="60"/>
      <c r="G124" s="60"/>
      <c r="H124" s="63"/>
    </row>
    <row r="125" spans="2:8" ht="60" customHeight="1" x14ac:dyDescent="0.3">
      <c r="B125" s="60"/>
      <c r="C125" s="60"/>
      <c r="D125" s="60"/>
      <c r="E125" s="61"/>
      <c r="F125" s="60"/>
      <c r="G125" s="60"/>
      <c r="H125" s="63"/>
    </row>
    <row r="126" spans="2:8" ht="60" customHeight="1" x14ac:dyDescent="0.3">
      <c r="B126" s="60"/>
      <c r="C126" s="60"/>
      <c r="D126" s="60"/>
      <c r="E126" s="61"/>
      <c r="F126" s="60"/>
      <c r="G126" s="60"/>
      <c r="H126" s="63"/>
    </row>
    <row r="127" spans="2:8" ht="60" customHeight="1" x14ac:dyDescent="0.3">
      <c r="B127" s="60"/>
      <c r="C127" s="60"/>
      <c r="D127" s="60"/>
      <c r="E127" s="61"/>
      <c r="F127" s="60"/>
      <c r="G127" s="60"/>
      <c r="H127" s="63"/>
    </row>
    <row r="128" spans="2:8" ht="60" customHeight="1" x14ac:dyDescent="0.3">
      <c r="B128" s="60"/>
      <c r="C128" s="60"/>
      <c r="D128" s="60"/>
      <c r="E128" s="61"/>
      <c r="F128" s="60"/>
      <c r="G128" s="60"/>
      <c r="H128" s="63"/>
    </row>
    <row r="129" spans="2:8" ht="60" customHeight="1" x14ac:dyDescent="0.3">
      <c r="B129" s="60"/>
      <c r="C129" s="60"/>
      <c r="D129" s="60"/>
      <c r="E129" s="61"/>
      <c r="F129" s="60"/>
      <c r="G129" s="60"/>
      <c r="H129" s="63"/>
    </row>
    <row r="130" spans="2:8" ht="60" customHeight="1" x14ac:dyDescent="0.3">
      <c r="B130" s="60"/>
      <c r="C130" s="60"/>
      <c r="D130" s="60"/>
      <c r="E130" s="61"/>
      <c r="F130" s="60"/>
      <c r="G130" s="60"/>
      <c r="H130" s="63"/>
    </row>
    <row r="131" spans="2:8" ht="60" customHeight="1" x14ac:dyDescent="0.3">
      <c r="B131" s="60"/>
      <c r="C131" s="60"/>
      <c r="D131" s="60"/>
      <c r="E131" s="61"/>
      <c r="F131" s="60"/>
      <c r="G131" s="60"/>
      <c r="H131" s="63"/>
    </row>
    <row r="132" spans="2:8" ht="60" customHeight="1" x14ac:dyDescent="0.3">
      <c r="B132" s="60"/>
      <c r="C132" s="60"/>
      <c r="D132" s="60"/>
      <c r="E132" s="61"/>
      <c r="F132" s="60"/>
      <c r="G132" s="60"/>
      <c r="H132" s="63"/>
    </row>
    <row r="133" spans="2:8" ht="60" customHeight="1" x14ac:dyDescent="0.3">
      <c r="B133" s="60"/>
      <c r="C133" s="60"/>
      <c r="D133" s="60"/>
      <c r="E133" s="61"/>
      <c r="F133" s="60"/>
      <c r="G133" s="60"/>
      <c r="H133" s="63"/>
    </row>
    <row r="134" spans="2:8" ht="60" customHeight="1" x14ac:dyDescent="0.3">
      <c r="B134" s="60"/>
      <c r="C134" s="60"/>
      <c r="D134" s="60"/>
      <c r="E134" s="61"/>
      <c r="F134" s="60"/>
      <c r="G134" s="60"/>
      <c r="H134" s="63"/>
    </row>
    <row r="135" spans="2:8" ht="60" customHeight="1" x14ac:dyDescent="0.3">
      <c r="B135" s="60"/>
      <c r="C135" s="60"/>
      <c r="D135" s="60"/>
      <c r="E135" s="61"/>
      <c r="F135" s="60"/>
      <c r="G135" s="60"/>
      <c r="H135" s="63"/>
    </row>
    <row r="136" spans="2:8" ht="60" customHeight="1" x14ac:dyDescent="0.3">
      <c r="B136" s="60"/>
      <c r="C136" s="60"/>
      <c r="D136" s="60"/>
      <c r="E136" s="61"/>
      <c r="F136" s="60"/>
      <c r="G136" s="60"/>
      <c r="H136" s="63"/>
    </row>
    <row r="137" spans="2:8" ht="60" customHeight="1" x14ac:dyDescent="0.3">
      <c r="B137" s="60"/>
      <c r="C137" s="60"/>
      <c r="D137" s="60"/>
      <c r="E137" s="61"/>
      <c r="F137" s="60"/>
      <c r="G137" s="60"/>
      <c r="H137" s="63"/>
    </row>
    <row r="138" spans="2:8" ht="60" customHeight="1" x14ac:dyDescent="0.3">
      <c r="B138" s="60"/>
      <c r="C138" s="60"/>
      <c r="D138" s="60"/>
      <c r="E138" s="61"/>
      <c r="F138" s="60"/>
      <c r="G138" s="60"/>
      <c r="H138" s="63"/>
    </row>
    <row r="139" spans="2:8" ht="60" customHeight="1" x14ac:dyDescent="0.3">
      <c r="B139" s="60"/>
      <c r="C139" s="60"/>
      <c r="D139" s="60"/>
      <c r="E139" s="61"/>
      <c r="F139" s="60"/>
      <c r="G139" s="60"/>
      <c r="H139" s="63"/>
    </row>
    <row r="140" spans="2:8" ht="60" customHeight="1" x14ac:dyDescent="0.3">
      <c r="B140" s="60"/>
      <c r="C140" s="60"/>
      <c r="D140" s="60"/>
      <c r="E140" s="61"/>
      <c r="F140" s="60"/>
      <c r="G140" s="60"/>
      <c r="H140" s="63"/>
    </row>
    <row r="141" spans="2:8" ht="60" customHeight="1" x14ac:dyDescent="0.3">
      <c r="B141" s="60"/>
      <c r="C141" s="60"/>
      <c r="D141" s="60"/>
      <c r="E141" s="61"/>
      <c r="F141" s="60"/>
      <c r="G141" s="60"/>
      <c r="H141" s="63"/>
    </row>
    <row r="142" spans="2:8" ht="60" customHeight="1" x14ac:dyDescent="0.3">
      <c r="B142" s="60"/>
      <c r="C142" s="60"/>
      <c r="D142" s="60"/>
      <c r="E142" s="61"/>
      <c r="F142" s="60"/>
      <c r="G142" s="60"/>
      <c r="H142" s="63"/>
    </row>
    <row r="143" spans="2:8" ht="60" customHeight="1" x14ac:dyDescent="0.3">
      <c r="B143" s="60"/>
      <c r="C143" s="60"/>
      <c r="D143" s="60"/>
      <c r="E143" s="61"/>
      <c r="F143" s="60"/>
      <c r="G143" s="60"/>
      <c r="H143" s="63"/>
    </row>
    <row r="144" spans="2:8" ht="60" customHeight="1" x14ac:dyDescent="0.3">
      <c r="B144" s="60"/>
      <c r="C144" s="60"/>
      <c r="D144" s="60"/>
      <c r="E144" s="61"/>
      <c r="F144" s="60"/>
      <c r="G144" s="60"/>
      <c r="H144" s="63"/>
    </row>
    <row r="145" spans="2:8" ht="60" customHeight="1" x14ac:dyDescent="0.3">
      <c r="B145" s="60"/>
      <c r="C145" s="60"/>
      <c r="D145" s="60"/>
      <c r="E145" s="61"/>
      <c r="F145" s="60"/>
      <c r="G145" s="60"/>
      <c r="H145" s="63"/>
    </row>
    <row r="146" spans="2:8" ht="60" customHeight="1" x14ac:dyDescent="0.3">
      <c r="B146" s="60"/>
      <c r="C146" s="60"/>
      <c r="D146" s="60"/>
      <c r="E146" s="61"/>
      <c r="F146" s="60"/>
      <c r="G146" s="60"/>
      <c r="H146" s="63"/>
    </row>
    <row r="147" spans="2:8" ht="60" customHeight="1" x14ac:dyDescent="0.3">
      <c r="B147" s="60"/>
      <c r="C147" s="60"/>
      <c r="D147" s="60"/>
      <c r="E147" s="61"/>
      <c r="F147" s="60"/>
      <c r="G147" s="60"/>
      <c r="H147" s="63"/>
    </row>
    <row r="148" spans="2:8" ht="60" customHeight="1" x14ac:dyDescent="0.3">
      <c r="B148" s="60"/>
      <c r="C148" s="60"/>
      <c r="D148" s="60"/>
      <c r="E148" s="61"/>
      <c r="F148" s="60"/>
      <c r="G148" s="60"/>
      <c r="H148" s="63"/>
    </row>
    <row r="149" spans="2:8" ht="60" customHeight="1" x14ac:dyDescent="0.3">
      <c r="B149" s="60"/>
      <c r="C149" s="60"/>
      <c r="D149" s="60"/>
      <c r="E149" s="61"/>
      <c r="F149" s="60"/>
      <c r="G149" s="60"/>
      <c r="H149" s="63"/>
    </row>
    <row r="150" spans="2:8" ht="60" customHeight="1" x14ac:dyDescent="0.3">
      <c r="B150" s="60"/>
      <c r="C150" s="60"/>
      <c r="D150" s="60"/>
      <c r="E150" s="61"/>
      <c r="F150" s="60"/>
      <c r="G150" s="60"/>
      <c r="H150" s="63"/>
    </row>
    <row r="151" spans="2:8" ht="60" customHeight="1" x14ac:dyDescent="0.3">
      <c r="B151" s="60"/>
      <c r="C151" s="60"/>
      <c r="D151" s="60"/>
      <c r="E151" s="61"/>
      <c r="F151" s="60"/>
      <c r="G151" s="60"/>
      <c r="H151" s="63"/>
    </row>
    <row r="152" spans="2:8" ht="60" customHeight="1" x14ac:dyDescent="0.3">
      <c r="B152" s="60"/>
      <c r="C152" s="60"/>
      <c r="D152" s="60"/>
      <c r="E152" s="61"/>
      <c r="F152" s="60"/>
      <c r="G152" s="60"/>
      <c r="H152" s="63"/>
    </row>
    <row r="153" spans="2:8" ht="60" customHeight="1" x14ac:dyDescent="0.3">
      <c r="B153" s="60"/>
      <c r="C153" s="60"/>
      <c r="D153" s="60"/>
      <c r="E153" s="61"/>
      <c r="F153" s="60"/>
      <c r="G153" s="60"/>
      <c r="H153" s="63"/>
    </row>
    <row r="154" spans="2:8" ht="60" customHeight="1" x14ac:dyDescent="0.3">
      <c r="B154" s="60"/>
      <c r="C154" s="60"/>
      <c r="D154" s="60"/>
      <c r="E154" s="61"/>
      <c r="F154" s="60"/>
      <c r="G154" s="60"/>
      <c r="H154" s="63"/>
    </row>
    <row r="155" spans="2:8" ht="60" customHeight="1" x14ac:dyDescent="0.3">
      <c r="B155" s="60"/>
      <c r="C155" s="60"/>
      <c r="D155" s="60"/>
      <c r="E155" s="61"/>
      <c r="F155" s="60"/>
      <c r="G155" s="60"/>
      <c r="H155" s="63"/>
    </row>
    <row r="156" spans="2:8" ht="60" customHeight="1" x14ac:dyDescent="0.3">
      <c r="B156" s="60"/>
      <c r="C156" s="60"/>
      <c r="D156" s="60"/>
      <c r="E156" s="61"/>
      <c r="F156" s="60"/>
      <c r="G156" s="60"/>
      <c r="H156" s="63"/>
    </row>
    <row r="157" spans="2:8" ht="60" customHeight="1" x14ac:dyDescent="0.3">
      <c r="B157" s="60"/>
      <c r="C157" s="60"/>
      <c r="D157" s="60"/>
      <c r="E157" s="61"/>
      <c r="F157" s="60"/>
      <c r="G157" s="60"/>
      <c r="H157" s="63"/>
    </row>
    <row r="158" spans="2:8" ht="60" customHeight="1" x14ac:dyDescent="0.3">
      <c r="B158" s="60"/>
      <c r="C158" s="60"/>
      <c r="D158" s="60"/>
      <c r="E158" s="61"/>
      <c r="F158" s="60"/>
      <c r="G158" s="60"/>
      <c r="H158" s="63"/>
    </row>
    <row r="159" spans="2:8" ht="60" customHeight="1" x14ac:dyDescent="0.3">
      <c r="B159" s="60"/>
      <c r="C159" s="60"/>
      <c r="D159" s="60"/>
      <c r="E159" s="61"/>
      <c r="F159" s="60"/>
      <c r="G159" s="60"/>
      <c r="H159" s="63"/>
    </row>
    <row r="160" spans="2:8" ht="60" customHeight="1" x14ac:dyDescent="0.3">
      <c r="B160" s="60"/>
      <c r="C160" s="60"/>
      <c r="D160" s="60"/>
      <c r="E160" s="61"/>
      <c r="F160" s="60"/>
      <c r="G160" s="60"/>
      <c r="H160" s="63"/>
    </row>
    <row r="161" spans="2:8" ht="60" customHeight="1" x14ac:dyDescent="0.3">
      <c r="B161" s="60"/>
      <c r="C161" s="60"/>
      <c r="D161" s="60"/>
      <c r="E161" s="61"/>
      <c r="F161" s="60"/>
      <c r="G161" s="60"/>
      <c r="H161" s="63"/>
    </row>
    <row r="162" spans="2:8" ht="60" customHeight="1" x14ac:dyDescent="0.3">
      <c r="B162" s="60"/>
      <c r="C162" s="60"/>
      <c r="D162" s="60"/>
      <c r="E162" s="61"/>
      <c r="F162" s="60"/>
      <c r="G162" s="60"/>
      <c r="H162" s="63"/>
    </row>
    <row r="163" spans="2:8" ht="60" customHeight="1" x14ac:dyDescent="0.3">
      <c r="B163" s="60"/>
      <c r="C163" s="60"/>
      <c r="D163" s="60"/>
      <c r="E163" s="61"/>
      <c r="F163" s="60"/>
      <c r="G163" s="60"/>
      <c r="H163" s="63"/>
    </row>
    <row r="164" spans="2:8" ht="60" customHeight="1" x14ac:dyDescent="0.3">
      <c r="B164" s="60"/>
      <c r="C164" s="60"/>
      <c r="D164" s="60"/>
      <c r="E164" s="61"/>
      <c r="F164" s="60"/>
      <c r="G164" s="60"/>
      <c r="H164" s="63"/>
    </row>
    <row r="165" spans="2:8" ht="60" customHeight="1" x14ac:dyDescent="0.3">
      <c r="B165" s="60"/>
      <c r="C165" s="60"/>
      <c r="D165" s="60"/>
      <c r="E165" s="61"/>
      <c r="F165" s="60"/>
      <c r="G165" s="60"/>
      <c r="H165" s="63"/>
    </row>
    <row r="166" spans="2:8" ht="60" customHeight="1" x14ac:dyDescent="0.3">
      <c r="B166" s="60"/>
      <c r="C166" s="60"/>
      <c r="D166" s="60"/>
      <c r="E166" s="61"/>
      <c r="F166" s="60"/>
      <c r="G166" s="60"/>
      <c r="H166" s="63"/>
    </row>
    <row r="167" spans="2:8" ht="60" customHeight="1" x14ac:dyDescent="0.3">
      <c r="B167" s="60"/>
      <c r="C167" s="60"/>
      <c r="D167" s="60"/>
      <c r="E167" s="61"/>
      <c r="F167" s="60"/>
      <c r="G167" s="60"/>
      <c r="H167" s="63"/>
    </row>
    <row r="168" spans="2:8" ht="60" customHeight="1" x14ac:dyDescent="0.3">
      <c r="B168" s="60"/>
      <c r="C168" s="60"/>
      <c r="D168" s="60"/>
      <c r="E168" s="61"/>
      <c r="F168" s="60"/>
      <c r="G168" s="60"/>
      <c r="H168" s="63"/>
    </row>
    <row r="169" spans="2:8" ht="60" customHeight="1" x14ac:dyDescent="0.3">
      <c r="B169" s="60"/>
      <c r="C169" s="60"/>
      <c r="D169" s="60"/>
      <c r="E169" s="61"/>
      <c r="F169" s="60"/>
      <c r="G169" s="60"/>
      <c r="H169" s="63"/>
    </row>
    <row r="170" spans="2:8" ht="60" customHeight="1" x14ac:dyDescent="0.3">
      <c r="B170" s="60"/>
      <c r="C170" s="60"/>
      <c r="D170" s="60"/>
      <c r="E170" s="61"/>
      <c r="F170" s="60"/>
      <c r="G170" s="60"/>
      <c r="H170" s="63"/>
    </row>
    <row r="171" spans="2:8" ht="60" customHeight="1" x14ac:dyDescent="0.3">
      <c r="B171" s="60"/>
      <c r="C171" s="60"/>
      <c r="D171" s="60"/>
      <c r="E171" s="61"/>
      <c r="F171" s="60"/>
      <c r="G171" s="60"/>
      <c r="H171" s="63"/>
    </row>
    <row r="172" spans="2:8" ht="60" customHeight="1" x14ac:dyDescent="0.3">
      <c r="B172" s="60"/>
      <c r="C172" s="60"/>
      <c r="D172" s="60"/>
      <c r="E172" s="61"/>
      <c r="F172" s="60"/>
      <c r="G172" s="60"/>
      <c r="H172" s="63"/>
    </row>
    <row r="173" spans="2:8" ht="60" customHeight="1" x14ac:dyDescent="0.3">
      <c r="B173" s="60"/>
      <c r="C173" s="60"/>
      <c r="D173" s="60"/>
      <c r="E173" s="61"/>
      <c r="F173" s="60"/>
      <c r="G173" s="60"/>
      <c r="H173" s="63"/>
    </row>
    <row r="174" spans="2:8" ht="60" customHeight="1" x14ac:dyDescent="0.3">
      <c r="B174" s="60"/>
      <c r="C174" s="60"/>
      <c r="D174" s="60"/>
      <c r="E174" s="61"/>
      <c r="F174" s="60"/>
      <c r="G174" s="60"/>
      <c r="H174" s="63"/>
    </row>
    <row r="175" spans="2:8" ht="60" customHeight="1" x14ac:dyDescent="0.3">
      <c r="B175" s="60"/>
      <c r="C175" s="60"/>
      <c r="D175" s="60"/>
      <c r="E175" s="61"/>
      <c r="F175" s="60"/>
      <c r="G175" s="60"/>
      <c r="H175" s="63"/>
    </row>
    <row r="176" spans="2:8" ht="60" customHeight="1" x14ac:dyDescent="0.3">
      <c r="B176" s="60"/>
      <c r="C176" s="60"/>
      <c r="D176" s="60"/>
      <c r="E176" s="61"/>
      <c r="F176" s="60"/>
      <c r="G176" s="60"/>
      <c r="H176" s="63"/>
    </row>
    <row r="177" spans="2:8" ht="60" customHeight="1" x14ac:dyDescent="0.3">
      <c r="B177" s="60"/>
      <c r="C177" s="60"/>
      <c r="D177" s="60"/>
      <c r="E177" s="61"/>
      <c r="F177" s="60"/>
      <c r="G177" s="60"/>
      <c r="H177" s="63"/>
    </row>
    <row r="178" spans="2:8" ht="60" customHeight="1" x14ac:dyDescent="0.3">
      <c r="B178" s="60"/>
      <c r="C178" s="60"/>
      <c r="D178" s="60"/>
      <c r="E178" s="61"/>
      <c r="F178" s="60"/>
      <c r="G178" s="60"/>
      <c r="H178" s="63"/>
    </row>
    <row r="179" spans="2:8" ht="60" customHeight="1" x14ac:dyDescent="0.3">
      <c r="B179" s="60"/>
      <c r="C179" s="60"/>
      <c r="D179" s="60"/>
      <c r="E179" s="61"/>
      <c r="F179" s="60"/>
      <c r="G179" s="60"/>
      <c r="H179" s="63"/>
    </row>
    <row r="180" spans="2:8" ht="60" customHeight="1" x14ac:dyDescent="0.3">
      <c r="B180" s="60"/>
      <c r="C180" s="60"/>
      <c r="D180" s="60"/>
      <c r="E180" s="61"/>
      <c r="F180" s="60"/>
      <c r="G180" s="60"/>
      <c r="H180" s="63"/>
    </row>
    <row r="181" spans="2:8" ht="60" customHeight="1" x14ac:dyDescent="0.3">
      <c r="B181" s="60"/>
      <c r="C181" s="60"/>
      <c r="D181" s="60"/>
      <c r="E181" s="61"/>
      <c r="F181" s="60"/>
      <c r="G181" s="60"/>
      <c r="H181" s="63"/>
    </row>
    <row r="182" spans="2:8" ht="60" customHeight="1" x14ac:dyDescent="0.3">
      <c r="B182" s="60"/>
      <c r="C182" s="60"/>
      <c r="D182" s="60"/>
      <c r="E182" s="61"/>
      <c r="F182" s="60"/>
      <c r="G182" s="60"/>
      <c r="H182" s="63"/>
    </row>
    <row r="183" spans="2:8" ht="60" customHeight="1" x14ac:dyDescent="0.3">
      <c r="B183" s="60"/>
      <c r="C183" s="60"/>
      <c r="D183" s="60"/>
      <c r="E183" s="61"/>
      <c r="F183" s="60"/>
      <c r="G183" s="60"/>
      <c r="H183" s="63"/>
    </row>
    <row r="184" spans="2:8" ht="60" customHeight="1" x14ac:dyDescent="0.3">
      <c r="B184" s="60"/>
      <c r="C184" s="60"/>
      <c r="D184" s="60"/>
      <c r="E184" s="61"/>
      <c r="F184" s="60"/>
      <c r="G184" s="60"/>
      <c r="H184" s="63"/>
    </row>
    <row r="185" spans="2:8" ht="60" customHeight="1" x14ac:dyDescent="0.3">
      <c r="B185" s="60"/>
      <c r="C185" s="60"/>
      <c r="D185" s="60"/>
      <c r="E185" s="61"/>
      <c r="F185" s="60"/>
      <c r="G185" s="60"/>
      <c r="H185" s="63"/>
    </row>
    <row r="186" spans="2:8" ht="60" customHeight="1" x14ac:dyDescent="0.3">
      <c r="B186" s="60"/>
      <c r="C186" s="60"/>
      <c r="D186" s="60"/>
      <c r="E186" s="61"/>
      <c r="F186" s="60"/>
      <c r="G186" s="60"/>
      <c r="H186" s="63"/>
    </row>
    <row r="187" spans="2:8" ht="60" customHeight="1" x14ac:dyDescent="0.3">
      <c r="B187" s="60"/>
      <c r="C187" s="60"/>
      <c r="D187" s="60"/>
      <c r="E187" s="61"/>
      <c r="F187" s="60"/>
      <c r="G187" s="60"/>
      <c r="H187" s="63"/>
    </row>
    <row r="188" spans="2:8" ht="60" customHeight="1" x14ac:dyDescent="0.3">
      <c r="B188" s="60"/>
      <c r="C188" s="60"/>
      <c r="D188" s="60"/>
      <c r="E188" s="61"/>
      <c r="F188" s="60"/>
      <c r="G188" s="60"/>
      <c r="H188" s="63"/>
    </row>
    <row r="189" spans="2:8" ht="60" customHeight="1" x14ac:dyDescent="0.3">
      <c r="B189" s="60"/>
      <c r="C189" s="60"/>
      <c r="D189" s="60"/>
      <c r="E189" s="61"/>
      <c r="F189" s="60"/>
      <c r="G189" s="60"/>
      <c r="H189" s="63"/>
    </row>
    <row r="190" spans="2:8" ht="60" customHeight="1" x14ac:dyDescent="0.3">
      <c r="B190" s="60"/>
      <c r="C190" s="60"/>
      <c r="D190" s="60"/>
      <c r="E190" s="61"/>
      <c r="F190" s="60"/>
      <c r="G190" s="60"/>
      <c r="H190" s="63"/>
    </row>
    <row r="191" spans="2:8" ht="60" customHeight="1" x14ac:dyDescent="0.3">
      <c r="B191" s="60"/>
      <c r="C191" s="60"/>
      <c r="D191" s="60"/>
      <c r="E191" s="61"/>
      <c r="F191" s="60"/>
      <c r="G191" s="60"/>
      <c r="H191" s="63"/>
    </row>
    <row r="192" spans="2:8" ht="60" customHeight="1" x14ac:dyDescent="0.3">
      <c r="B192" s="60"/>
      <c r="C192" s="60"/>
      <c r="D192" s="60"/>
      <c r="E192" s="61"/>
      <c r="F192" s="60"/>
      <c r="G192" s="60"/>
      <c r="H192" s="63"/>
    </row>
    <row r="193" spans="2:8" ht="60" customHeight="1" x14ac:dyDescent="0.3">
      <c r="B193" s="60"/>
      <c r="C193" s="60"/>
      <c r="D193" s="60"/>
      <c r="E193" s="61"/>
      <c r="F193" s="60"/>
      <c r="G193" s="60"/>
      <c r="H193" s="63"/>
    </row>
    <row r="194" spans="2:8" ht="60" customHeight="1" x14ac:dyDescent="0.3">
      <c r="B194" s="60"/>
      <c r="C194" s="60"/>
      <c r="D194" s="60"/>
      <c r="E194" s="61"/>
      <c r="F194" s="60"/>
      <c r="G194" s="60"/>
      <c r="H194" s="63"/>
    </row>
    <row r="195" spans="2:8" ht="60" customHeight="1" x14ac:dyDescent="0.3">
      <c r="B195" s="60"/>
      <c r="C195" s="60"/>
      <c r="D195" s="60"/>
      <c r="E195" s="61"/>
      <c r="F195" s="60"/>
      <c r="G195" s="60"/>
      <c r="H195" s="63"/>
    </row>
    <row r="196" spans="2:8" ht="60" customHeight="1" x14ac:dyDescent="0.3">
      <c r="B196" s="60"/>
      <c r="C196" s="60"/>
      <c r="D196" s="60"/>
      <c r="E196" s="61"/>
      <c r="F196" s="60"/>
      <c r="G196" s="60"/>
      <c r="H196" s="63"/>
    </row>
    <row r="197" spans="2:8" ht="60" customHeight="1" x14ac:dyDescent="0.3">
      <c r="B197" s="60"/>
      <c r="C197" s="60"/>
      <c r="D197" s="60"/>
      <c r="E197" s="61"/>
      <c r="F197" s="60"/>
      <c r="G197" s="60"/>
      <c r="H197" s="63"/>
    </row>
    <row r="198" spans="2:8" ht="60" customHeight="1" x14ac:dyDescent="0.3">
      <c r="B198" s="60"/>
      <c r="C198" s="60"/>
      <c r="D198" s="60"/>
      <c r="E198" s="61"/>
      <c r="F198" s="60"/>
      <c r="G198" s="60"/>
      <c r="H198" s="63"/>
    </row>
    <row r="199" spans="2:8" ht="60" customHeight="1" x14ac:dyDescent="0.3">
      <c r="B199" s="60"/>
      <c r="C199" s="60"/>
      <c r="D199" s="60"/>
      <c r="E199" s="61"/>
      <c r="F199" s="60"/>
      <c r="G199" s="60"/>
      <c r="H199" s="63"/>
    </row>
    <row r="200" spans="2:8" ht="60" customHeight="1" x14ac:dyDescent="0.3">
      <c r="B200" s="60"/>
      <c r="C200" s="60"/>
      <c r="D200" s="60"/>
      <c r="E200" s="61"/>
      <c r="F200" s="60"/>
      <c r="G200" s="60"/>
      <c r="H200" s="63"/>
    </row>
    <row r="201" spans="2:8" ht="60" customHeight="1" x14ac:dyDescent="0.3">
      <c r="B201" s="60"/>
      <c r="C201" s="60"/>
      <c r="D201" s="60"/>
      <c r="E201" s="61"/>
      <c r="F201" s="60"/>
      <c r="G201" s="60"/>
      <c r="H201" s="63"/>
    </row>
    <row r="202" spans="2:8" ht="60" customHeight="1" x14ac:dyDescent="0.3">
      <c r="B202" s="60"/>
      <c r="C202" s="60"/>
      <c r="D202" s="60"/>
      <c r="E202" s="61"/>
      <c r="F202" s="60"/>
      <c r="G202" s="60"/>
      <c r="H202" s="63"/>
    </row>
    <row r="203" spans="2:8" ht="60" customHeight="1" x14ac:dyDescent="0.3">
      <c r="B203" s="60"/>
      <c r="C203" s="60"/>
      <c r="D203" s="60"/>
      <c r="E203" s="61"/>
      <c r="F203" s="60"/>
      <c r="G203" s="60"/>
      <c r="H203" s="63"/>
    </row>
    <row r="204" spans="2:8" ht="60" customHeight="1" x14ac:dyDescent="0.3">
      <c r="B204" s="60"/>
      <c r="C204" s="60"/>
      <c r="D204" s="60"/>
      <c r="E204" s="61"/>
      <c r="F204" s="60"/>
      <c r="G204" s="60"/>
      <c r="H204" s="63"/>
    </row>
    <row r="205" spans="2:8" ht="60" customHeight="1" x14ac:dyDescent="0.3">
      <c r="B205" s="60"/>
      <c r="C205" s="60"/>
      <c r="D205" s="60"/>
      <c r="E205" s="61"/>
      <c r="F205" s="60"/>
      <c r="G205" s="60"/>
      <c r="H205" s="63"/>
    </row>
    <row r="206" spans="2:8" ht="60" customHeight="1" x14ac:dyDescent="0.3">
      <c r="B206" s="60"/>
      <c r="C206" s="60"/>
      <c r="D206" s="60"/>
      <c r="E206" s="61"/>
      <c r="F206" s="60"/>
      <c r="G206" s="60"/>
      <c r="H206" s="63"/>
    </row>
    <row r="207" spans="2:8" ht="60" customHeight="1" x14ac:dyDescent="0.3">
      <c r="B207" s="60"/>
      <c r="C207" s="60"/>
      <c r="D207" s="60"/>
      <c r="E207" s="61"/>
      <c r="F207" s="60"/>
      <c r="G207" s="60"/>
      <c r="H207" s="63"/>
    </row>
    <row r="208" spans="2:8" ht="60" customHeight="1" x14ac:dyDescent="0.3">
      <c r="B208" s="60"/>
      <c r="C208" s="60"/>
      <c r="D208" s="60"/>
      <c r="E208" s="61"/>
      <c r="F208" s="60"/>
      <c r="G208" s="60"/>
      <c r="H208" s="63"/>
    </row>
    <row r="209" spans="2:8" ht="60" customHeight="1" x14ac:dyDescent="0.3">
      <c r="B209" s="60"/>
      <c r="C209" s="60"/>
      <c r="D209" s="60"/>
      <c r="E209" s="61"/>
      <c r="F209" s="60"/>
      <c r="G209" s="60"/>
      <c r="H209" s="63"/>
    </row>
    <row r="210" spans="2:8" ht="60" customHeight="1" x14ac:dyDescent="0.3">
      <c r="B210" s="60"/>
      <c r="C210" s="60"/>
      <c r="D210" s="60"/>
      <c r="E210" s="61"/>
      <c r="F210" s="60"/>
      <c r="G210" s="60"/>
      <c r="H210" s="63"/>
    </row>
    <row r="211" spans="2:8" ht="60" customHeight="1" x14ac:dyDescent="0.3">
      <c r="B211" s="60"/>
      <c r="C211" s="60"/>
      <c r="D211" s="60"/>
      <c r="E211" s="61"/>
      <c r="F211" s="60"/>
      <c r="G211" s="60"/>
      <c r="H211" s="63"/>
    </row>
    <row r="212" spans="2:8" ht="60" customHeight="1" thickBot="1" x14ac:dyDescent="0.35">
      <c r="B212" s="58"/>
      <c r="C212" s="58"/>
      <c r="D212" s="58"/>
      <c r="E212" s="59"/>
      <c r="F212" s="58"/>
      <c r="G212" s="58"/>
      <c r="H212" s="78"/>
    </row>
  </sheetData>
  <autoFilter ref="B1:B213"/>
  <sortState ref="E72:H74">
    <sortCondition descending="1" ref="H72:H74"/>
  </sortState>
  <mergeCells count="60">
    <mergeCell ref="C81:C82"/>
    <mergeCell ref="C84:C85"/>
    <mergeCell ref="C87:C90"/>
    <mergeCell ref="D84:D85"/>
    <mergeCell ref="B84:B85"/>
    <mergeCell ref="D87:D90"/>
    <mergeCell ref="B87:B90"/>
    <mergeCell ref="B81:B82"/>
    <mergeCell ref="D81:D82"/>
    <mergeCell ref="B69:B72"/>
    <mergeCell ref="C65:C67"/>
    <mergeCell ref="C69:C72"/>
    <mergeCell ref="D76:D77"/>
    <mergeCell ref="B76:B77"/>
    <mergeCell ref="C24:C25"/>
    <mergeCell ref="D24:D25"/>
    <mergeCell ref="B24:B25"/>
    <mergeCell ref="C103:C105"/>
    <mergeCell ref="C76:C77"/>
    <mergeCell ref="C35:C43"/>
    <mergeCell ref="D32:D33"/>
    <mergeCell ref="B32:B33"/>
    <mergeCell ref="D35:D43"/>
    <mergeCell ref="B35:B43"/>
    <mergeCell ref="C60:C63"/>
    <mergeCell ref="D60:D63"/>
    <mergeCell ref="B60:B63"/>
    <mergeCell ref="B65:B67"/>
    <mergeCell ref="D65:D67"/>
    <mergeCell ref="D69:D72"/>
    <mergeCell ref="C27:C30"/>
    <mergeCell ref="C32:C33"/>
    <mergeCell ref="D51:D53"/>
    <mergeCell ref="B51:B53"/>
    <mergeCell ref="D55:D58"/>
    <mergeCell ref="B55:B58"/>
    <mergeCell ref="C55:C58"/>
    <mergeCell ref="C51:C53"/>
    <mergeCell ref="D27:D30"/>
    <mergeCell ref="B27:B30"/>
    <mergeCell ref="B103:B105"/>
    <mergeCell ref="D103:D105"/>
    <mergeCell ref="B92:B95"/>
    <mergeCell ref="D92:D95"/>
    <mergeCell ref="C92:C95"/>
    <mergeCell ref="C97:C99"/>
    <mergeCell ref="D97:D99"/>
    <mergeCell ref="B97:B99"/>
    <mergeCell ref="D2:D3"/>
    <mergeCell ref="B2:B3"/>
    <mergeCell ref="D5:D8"/>
    <mergeCell ref="B5:B8"/>
    <mergeCell ref="D14:D18"/>
    <mergeCell ref="B14:B18"/>
    <mergeCell ref="C2:C3"/>
    <mergeCell ref="C5:C8"/>
    <mergeCell ref="D10:D12"/>
    <mergeCell ref="B10:B12"/>
    <mergeCell ref="C10:C12"/>
    <mergeCell ref="C14:C18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2"/>
  <sheetViews>
    <sheetView topLeftCell="A5" workbookViewId="0">
      <selection activeCell="C1" sqref="B1:E19"/>
    </sheetView>
  </sheetViews>
  <sheetFormatPr defaultRowHeight="14.4" x14ac:dyDescent="0.3"/>
  <cols>
    <col min="2" max="2" width="8.21875" style="1" customWidth="1"/>
    <col min="3" max="3" width="48.77734375" style="1" customWidth="1"/>
    <col min="4" max="4" width="14.44140625" customWidth="1"/>
  </cols>
  <sheetData>
    <row r="1" spans="2:5" ht="37.200000000000003" thickTop="1" thickBot="1" x14ac:dyDescent="0.35">
      <c r="B1" s="51" t="s">
        <v>169</v>
      </c>
      <c r="C1" s="51" t="s">
        <v>172</v>
      </c>
      <c r="D1" s="52" t="s">
        <v>171</v>
      </c>
      <c r="E1" s="52" t="s">
        <v>211</v>
      </c>
    </row>
    <row r="2" spans="2:5" ht="32.4" thickTop="1" thickBot="1" x14ac:dyDescent="0.35">
      <c r="B2" s="53">
        <v>87</v>
      </c>
      <c r="C2" s="53" t="s">
        <v>27</v>
      </c>
      <c r="D2" s="44">
        <v>28</v>
      </c>
      <c r="E2" s="64">
        <f>D2/B2</f>
        <v>0.32183908045977011</v>
      </c>
    </row>
    <row r="3" spans="2:5" ht="31.2" thickTop="1" thickBot="1" x14ac:dyDescent="0.35">
      <c r="B3" s="186">
        <v>257</v>
      </c>
      <c r="C3" s="49" t="s">
        <v>39</v>
      </c>
      <c r="D3" s="44">
        <v>1</v>
      </c>
      <c r="E3" s="64">
        <f>D3/257</f>
        <v>3.8910505836575876E-3</v>
      </c>
    </row>
    <row r="4" spans="2:5" ht="31.2" thickTop="1" thickBot="1" x14ac:dyDescent="0.35">
      <c r="B4" s="186"/>
      <c r="C4" s="55" t="s">
        <v>38</v>
      </c>
      <c r="D4" s="44">
        <v>2</v>
      </c>
      <c r="E4" s="64">
        <f t="shared" ref="E4:E7" si="0">D4/257</f>
        <v>7.7821011673151752E-3</v>
      </c>
    </row>
    <row r="5" spans="2:5" ht="31.2" thickTop="1" thickBot="1" x14ac:dyDescent="0.35">
      <c r="B5" s="186"/>
      <c r="C5" s="55" t="s">
        <v>11</v>
      </c>
      <c r="D5" s="44">
        <v>10</v>
      </c>
      <c r="E5" s="64">
        <f t="shared" si="0"/>
        <v>3.8910505836575876E-2</v>
      </c>
    </row>
    <row r="6" spans="2:5" ht="31.2" thickTop="1" thickBot="1" x14ac:dyDescent="0.35">
      <c r="B6" s="186"/>
      <c r="C6" s="55" t="s">
        <v>10</v>
      </c>
      <c r="D6" s="44">
        <v>28</v>
      </c>
      <c r="E6" s="64">
        <f t="shared" si="0"/>
        <v>0.10894941634241245</v>
      </c>
    </row>
    <row r="7" spans="2:5" ht="31.2" thickTop="1" thickBot="1" x14ac:dyDescent="0.35">
      <c r="B7" s="186"/>
      <c r="C7" s="55" t="s">
        <v>12</v>
      </c>
      <c r="D7" s="44">
        <v>3</v>
      </c>
      <c r="E7" s="64">
        <f t="shared" si="0"/>
        <v>1.1673151750972763E-2</v>
      </c>
    </row>
    <row r="8" spans="2:5" ht="16.8" thickTop="1" thickBot="1" x14ac:dyDescent="0.35">
      <c r="B8" s="45"/>
      <c r="C8" s="45" t="s">
        <v>156</v>
      </c>
      <c r="D8" s="44">
        <v>11</v>
      </c>
      <c r="E8" s="64"/>
    </row>
    <row r="9" spans="2:5" ht="16.2" thickTop="1" thickBot="1" x14ac:dyDescent="0.35">
      <c r="B9" s="55"/>
      <c r="C9" s="55" t="s">
        <v>144</v>
      </c>
      <c r="D9" s="44">
        <v>11</v>
      </c>
      <c r="E9" s="64"/>
    </row>
    <row r="10" spans="2:5" ht="16.8" thickTop="1" thickBot="1" x14ac:dyDescent="0.35">
      <c r="B10" s="53">
        <v>423</v>
      </c>
      <c r="C10" s="53" t="s">
        <v>54</v>
      </c>
      <c r="D10" s="44">
        <v>8</v>
      </c>
      <c r="E10" s="64">
        <f>D10/B10</f>
        <v>1.8912529550827423E-2</v>
      </c>
    </row>
    <row r="11" spans="2:5" ht="16.2" thickTop="1" thickBot="1" x14ac:dyDescent="0.35">
      <c r="B11" s="54"/>
      <c r="C11" s="54" t="s">
        <v>5</v>
      </c>
      <c r="D11" s="44">
        <v>3</v>
      </c>
      <c r="E11" s="64"/>
    </row>
    <row r="12" spans="2:5" ht="32.4" thickTop="1" thickBot="1" x14ac:dyDescent="0.35">
      <c r="B12" s="45"/>
      <c r="C12" s="45" t="s">
        <v>136</v>
      </c>
      <c r="D12" s="44">
        <v>3</v>
      </c>
      <c r="E12" s="64"/>
    </row>
    <row r="13" spans="2:5" ht="16.2" thickTop="1" thickBot="1" x14ac:dyDescent="0.35">
      <c r="B13" s="49"/>
      <c r="C13" s="49" t="s">
        <v>145</v>
      </c>
      <c r="D13" s="44">
        <v>3</v>
      </c>
      <c r="E13" s="64"/>
    </row>
    <row r="14" spans="2:5" ht="16.2" thickTop="1" thickBot="1" x14ac:dyDescent="0.35">
      <c r="B14" s="54"/>
      <c r="C14" s="54" t="s">
        <v>1</v>
      </c>
      <c r="D14" s="44">
        <v>2</v>
      </c>
      <c r="E14" s="64"/>
    </row>
    <row r="15" spans="2:5" ht="16.2" thickTop="1" thickBot="1" x14ac:dyDescent="0.35">
      <c r="B15" s="49"/>
      <c r="C15" s="49" t="s">
        <v>0</v>
      </c>
      <c r="D15" s="44">
        <v>1</v>
      </c>
      <c r="E15" s="64"/>
    </row>
    <row r="16" spans="2:5" ht="32.4" thickTop="1" thickBot="1" x14ac:dyDescent="0.35">
      <c r="B16" s="45"/>
      <c r="C16" s="45" t="s">
        <v>152</v>
      </c>
      <c r="D16" s="44">
        <v>1</v>
      </c>
      <c r="E16" s="64"/>
    </row>
    <row r="17" spans="2:5" ht="32.4" thickTop="1" thickBot="1" x14ac:dyDescent="0.35">
      <c r="B17" s="45"/>
      <c r="C17" s="45" t="s">
        <v>154</v>
      </c>
      <c r="D17" s="44">
        <v>1</v>
      </c>
      <c r="E17" s="64"/>
    </row>
    <row r="18" spans="2:5" ht="32.4" thickTop="1" thickBot="1" x14ac:dyDescent="0.35">
      <c r="B18" s="45"/>
      <c r="C18" s="45" t="s">
        <v>149</v>
      </c>
      <c r="D18" s="44">
        <v>1</v>
      </c>
      <c r="E18" s="64"/>
    </row>
    <row r="19" spans="2:5" ht="32.4" thickTop="1" thickBot="1" x14ac:dyDescent="0.35">
      <c r="B19" s="53"/>
      <c r="C19" s="53" t="s">
        <v>139</v>
      </c>
      <c r="D19" s="44">
        <v>1</v>
      </c>
      <c r="E19" s="64"/>
    </row>
    <row r="20" spans="2:5" ht="16.8" thickTop="1" thickBot="1" x14ac:dyDescent="0.35">
      <c r="B20" s="62"/>
      <c r="C20" s="55"/>
      <c r="D20" s="44"/>
      <c r="E20" s="64"/>
    </row>
    <row r="21" spans="2:5" ht="16.2" thickTop="1" thickBot="1" x14ac:dyDescent="0.35">
      <c r="B21" s="49"/>
      <c r="C21" s="49"/>
      <c r="D21" s="44">
        <f>SUM(D2:D20)</f>
        <v>118</v>
      </c>
      <c r="E21" s="64"/>
    </row>
    <row r="22" spans="2:5" ht="15" thickTop="1" x14ac:dyDescent="0.3"/>
  </sheetData>
  <sortState ref="B8:D20">
    <sortCondition descending="1" ref="D8:D20"/>
  </sortState>
  <mergeCells count="1">
    <mergeCell ref="B3:B7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tabSelected="1" workbookViewId="0">
      <selection activeCell="E11" sqref="E11"/>
    </sheetView>
  </sheetViews>
  <sheetFormatPr defaultRowHeight="14.4" x14ac:dyDescent="0.3"/>
  <cols>
    <col min="3" max="3" width="35.21875" customWidth="1"/>
    <col min="4" max="4" width="7.44140625" customWidth="1"/>
    <col min="5" max="5" width="11.5546875" style="109" customWidth="1"/>
  </cols>
  <sheetData>
    <row r="1" spans="2:5" ht="30" customHeight="1" thickTop="1" thickBot="1" x14ac:dyDescent="0.35">
      <c r="B1" s="51" t="s">
        <v>169</v>
      </c>
      <c r="C1" s="51" t="s">
        <v>170</v>
      </c>
      <c r="D1" s="52" t="s">
        <v>171</v>
      </c>
      <c r="E1" s="105" t="s">
        <v>212</v>
      </c>
    </row>
    <row r="2" spans="2:5" ht="30" customHeight="1" thickTop="1" thickBot="1" x14ac:dyDescent="0.35">
      <c r="B2" s="44">
        <v>140</v>
      </c>
      <c r="C2" s="45" t="s">
        <v>57</v>
      </c>
      <c r="D2" s="46">
        <v>29</v>
      </c>
      <c r="E2" s="106">
        <f>D2/B2</f>
        <v>0.20714285714285716</v>
      </c>
    </row>
    <row r="3" spans="2:5" ht="30" customHeight="1" thickTop="1" thickBot="1" x14ac:dyDescent="0.35">
      <c r="B3" s="44"/>
      <c r="C3" s="45" t="s">
        <v>65</v>
      </c>
      <c r="D3" s="47">
        <v>13</v>
      </c>
      <c r="E3" s="107"/>
    </row>
    <row r="4" spans="2:5" ht="30" customHeight="1" thickTop="1" thickBot="1" x14ac:dyDescent="0.35">
      <c r="B4" s="44">
        <v>23</v>
      </c>
      <c r="C4" s="45" t="s">
        <v>58</v>
      </c>
      <c r="D4" s="47">
        <v>7</v>
      </c>
      <c r="E4" s="107">
        <f>D4/B4</f>
        <v>0.30434782608695654</v>
      </c>
    </row>
    <row r="5" spans="2:5" ht="30" customHeight="1" thickTop="1" thickBot="1" x14ac:dyDescent="0.35">
      <c r="B5" s="44"/>
      <c r="C5" s="45" t="s">
        <v>64</v>
      </c>
      <c r="D5" s="47">
        <v>7</v>
      </c>
      <c r="E5" s="107"/>
    </row>
    <row r="6" spans="2:5" ht="30" customHeight="1" thickTop="1" thickBot="1" x14ac:dyDescent="0.35">
      <c r="B6" s="44"/>
      <c r="C6" s="49" t="s">
        <v>73</v>
      </c>
      <c r="D6" s="48">
        <v>7</v>
      </c>
      <c r="E6" s="108"/>
    </row>
    <row r="7" spans="2:5" ht="30" customHeight="1" thickTop="1" thickBot="1" x14ac:dyDescent="0.35">
      <c r="B7" s="44"/>
      <c r="C7" s="45" t="s">
        <v>70</v>
      </c>
      <c r="D7" s="48">
        <v>6</v>
      </c>
      <c r="E7" s="108"/>
    </row>
    <row r="8" spans="2:5" ht="30" customHeight="1" thickTop="1" thickBot="1" x14ac:dyDescent="0.35">
      <c r="B8" s="44"/>
      <c r="C8" s="45" t="s">
        <v>63</v>
      </c>
      <c r="D8" s="47">
        <v>5</v>
      </c>
      <c r="E8" s="107"/>
    </row>
    <row r="9" spans="2:5" ht="30" customHeight="1" thickTop="1" thickBot="1" x14ac:dyDescent="0.35">
      <c r="B9" s="44"/>
      <c r="C9" s="49" t="s">
        <v>155</v>
      </c>
      <c r="D9" s="48">
        <v>5</v>
      </c>
      <c r="E9" s="108"/>
    </row>
    <row r="10" spans="2:5" ht="30" customHeight="1" thickTop="1" thickBot="1" x14ac:dyDescent="0.35">
      <c r="B10" s="44"/>
      <c r="C10" s="45" t="s">
        <v>67</v>
      </c>
      <c r="D10" s="47">
        <v>4</v>
      </c>
      <c r="E10" s="107"/>
    </row>
    <row r="11" spans="2:5" ht="30" customHeight="1" thickTop="1" thickBot="1" x14ac:dyDescent="0.35">
      <c r="B11" s="44"/>
      <c r="C11" s="45" t="s">
        <v>68</v>
      </c>
      <c r="D11" s="47">
        <v>3</v>
      </c>
      <c r="E11" s="107"/>
    </row>
    <row r="12" spans="2:5" ht="30" customHeight="1" thickTop="1" thickBot="1" x14ac:dyDescent="0.35">
      <c r="B12" s="44">
        <v>7</v>
      </c>
      <c r="C12" s="45" t="s">
        <v>59</v>
      </c>
      <c r="D12" s="47">
        <v>2</v>
      </c>
      <c r="E12" s="107">
        <f>D12/B12</f>
        <v>0.2857142857142857</v>
      </c>
    </row>
    <row r="13" spans="2:5" ht="30" customHeight="1" thickTop="1" thickBot="1" x14ac:dyDescent="0.35">
      <c r="B13" s="44"/>
      <c r="C13" s="45" t="s">
        <v>62</v>
      </c>
      <c r="D13" s="47">
        <v>2</v>
      </c>
      <c r="E13" s="107"/>
    </row>
    <row r="14" spans="2:5" ht="30" customHeight="1" thickTop="1" thickBot="1" x14ac:dyDescent="0.35">
      <c r="B14" s="44"/>
      <c r="C14" s="45" t="s">
        <v>69</v>
      </c>
      <c r="D14" s="47">
        <v>2</v>
      </c>
      <c r="E14" s="107"/>
    </row>
    <row r="15" spans="2:5" ht="30" customHeight="1" thickTop="1" thickBot="1" x14ac:dyDescent="0.35">
      <c r="B15" s="44"/>
      <c r="C15" s="45" t="s">
        <v>72</v>
      </c>
      <c r="D15" s="48">
        <v>2</v>
      </c>
      <c r="E15" s="108"/>
    </row>
    <row r="16" spans="2:5" ht="30" customHeight="1" thickTop="1" thickBot="1" x14ac:dyDescent="0.35">
      <c r="B16" s="44">
        <v>34</v>
      </c>
      <c r="C16" s="45" t="s">
        <v>60</v>
      </c>
      <c r="D16" s="48">
        <v>1</v>
      </c>
      <c r="E16" s="108">
        <f>D16/B16</f>
        <v>2.9411764705882353E-2</v>
      </c>
    </row>
    <row r="17" spans="2:5" ht="30" customHeight="1" thickTop="1" thickBot="1" x14ac:dyDescent="0.35">
      <c r="B17" s="44">
        <v>5</v>
      </c>
      <c r="C17" s="49" t="s">
        <v>61</v>
      </c>
      <c r="D17" s="48">
        <v>1</v>
      </c>
      <c r="E17" s="108">
        <f>D17/B17</f>
        <v>0.2</v>
      </c>
    </row>
    <row r="18" spans="2:5" ht="30" customHeight="1" thickTop="1" thickBot="1" x14ac:dyDescent="0.35">
      <c r="B18" s="44"/>
      <c r="C18" s="45" t="s">
        <v>66</v>
      </c>
      <c r="D18" s="47">
        <v>1</v>
      </c>
      <c r="E18" s="107"/>
    </row>
    <row r="19" spans="2:5" ht="30" customHeight="1" thickTop="1" thickBot="1" x14ac:dyDescent="0.35">
      <c r="B19" s="44"/>
      <c r="C19" s="45" t="s">
        <v>71</v>
      </c>
      <c r="D19" s="47">
        <v>1</v>
      </c>
      <c r="E19" s="107"/>
    </row>
    <row r="20" spans="2:5" ht="15.6" thickTop="1" thickBot="1" x14ac:dyDescent="0.35">
      <c r="B20" s="44"/>
      <c r="C20" s="50"/>
      <c r="D20" s="44"/>
      <c r="E20" s="64"/>
    </row>
    <row r="21" spans="2:5" ht="15" thickTop="1" x14ac:dyDescent="0.3"/>
  </sheetData>
  <sortState ref="B2:E21">
    <sortCondition descending="1" ref="D2:D2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2025-06-01T14:35:19Z</dcterms:modified>
</cp:coreProperties>
</file>