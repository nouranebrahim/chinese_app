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oloaa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Sheet1!$E$199</definedName>
    <definedName name="__DdeLink__363_4195966084" localSheetId="0">Sheet1!$E$23</definedName>
    <definedName name="__DdeLink__366_1609274354" localSheetId="0">Sheet1!$E$313</definedName>
    <definedName name="__DdeLink__374_2158327081" localSheetId="0">Sheet1!#REF!</definedName>
    <definedName name="__DdeLink__429_690101127" localSheetId="0">Sheet1!$E$323</definedName>
    <definedName name="__DdeLink__450_690101127" localSheetId="0">Sheet1!$E$239</definedName>
    <definedName name="__DdeLink__454_4201205227" localSheetId="0">Sheet1!$E$257</definedName>
    <definedName name="__DdeLink__461_690101127" localSheetId="0">Sheet1!$E$254</definedName>
    <definedName name="__DdeLink__481_750636418" localSheetId="0">Sheet1!$E$381</definedName>
    <definedName name="__DdeLink__502_3099655138" localSheetId="0">Sheet1!$E$198</definedName>
    <definedName name="__DdeLink__525_3099655138" localSheetId="0">Sheet1!$E$209</definedName>
    <definedName name="__DdeLink__533_4201205227" localSheetId="0">Sheet1!$E$197</definedName>
    <definedName name="__DdeLink__573_3099655138" localSheetId="0">Sheet1!$E$201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7" i="1" l="1"/>
  <c r="G100" i="1"/>
  <c r="H100" i="1" s="1"/>
  <c r="G69" i="1"/>
  <c r="G141" i="1"/>
  <c r="C141" i="1"/>
  <c r="G138" i="1"/>
  <c r="C138" i="1"/>
  <c r="G134" i="1"/>
  <c r="C134" i="1"/>
  <c r="G129" i="1"/>
  <c r="C129" i="1"/>
  <c r="G122" i="1"/>
  <c r="C122" i="1"/>
  <c r="G112" i="1"/>
  <c r="C112" i="1"/>
  <c r="C107" i="1"/>
  <c r="G103" i="1"/>
  <c r="C103" i="1"/>
  <c r="H92" i="1"/>
  <c r="G92" i="1"/>
  <c r="C92" i="1"/>
  <c r="G90" i="1"/>
  <c r="C90" i="1"/>
  <c r="G83" i="1"/>
  <c r="C83" i="1"/>
  <c r="G80" i="1"/>
  <c r="C80" i="1"/>
  <c r="G77" i="1"/>
  <c r="C77" i="1"/>
  <c r="C69" i="1"/>
  <c r="G64" i="1"/>
  <c r="C64" i="1"/>
  <c r="G60" i="1"/>
  <c r="C60" i="1"/>
  <c r="G58" i="1"/>
  <c r="C58" i="1"/>
  <c r="G56" i="1"/>
  <c r="C56" i="1"/>
  <c r="G48" i="1"/>
  <c r="C48" i="1"/>
  <c r="G46" i="1"/>
  <c r="C46" i="1"/>
  <c r="G42" i="1"/>
  <c r="C42" i="1"/>
  <c r="G37" i="1"/>
  <c r="C37" i="1"/>
  <c r="G35" i="1"/>
  <c r="C35" i="1"/>
  <c r="G31" i="1"/>
  <c r="C31" i="1"/>
  <c r="G24" i="1"/>
  <c r="C24" i="1"/>
  <c r="G21" i="1"/>
  <c r="C21" i="1"/>
  <c r="G10" i="1"/>
  <c r="C10" i="1"/>
  <c r="E8" i="2" l="1"/>
  <c r="E3" i="2"/>
  <c r="E2" i="2"/>
  <c r="E17" i="3"/>
  <c r="E14" i="3"/>
  <c r="E10" i="3"/>
  <c r="E9" i="3"/>
  <c r="E6" i="3"/>
  <c r="E4" i="3"/>
  <c r="H116" i="1"/>
  <c r="H131" i="1"/>
  <c r="H127" i="1"/>
  <c r="H126" i="1"/>
  <c r="H136" i="1"/>
  <c r="H132" i="1"/>
  <c r="H130" i="1"/>
  <c r="H137" i="1"/>
  <c r="H140" i="1"/>
  <c r="H139" i="1"/>
  <c r="H113" i="1"/>
  <c r="H108" i="1"/>
  <c r="H106" i="1"/>
  <c r="H104" i="1"/>
  <c r="H102" i="1"/>
  <c r="H101" i="1"/>
  <c r="H96" i="1"/>
  <c r="H93" i="1"/>
  <c r="H84" i="1"/>
  <c r="H82" i="1"/>
  <c r="H81" i="1"/>
  <c r="H83" i="1" s="1"/>
  <c r="H79" i="1"/>
  <c r="H78" i="1"/>
  <c r="H76" i="1"/>
  <c r="H70" i="1"/>
  <c r="H65" i="1"/>
  <c r="H62" i="1"/>
  <c r="H61" i="1"/>
  <c r="H59" i="1"/>
  <c r="H60" i="1" s="1"/>
  <c r="H57" i="1"/>
  <c r="H58" i="1" s="1"/>
  <c r="H49" i="1"/>
  <c r="H47" i="1"/>
  <c r="H48" i="1" s="1"/>
  <c r="H43" i="1"/>
  <c r="H38" i="1"/>
  <c r="H36" i="1"/>
  <c r="H37" i="1" s="1"/>
  <c r="H32" i="1"/>
  <c r="H28" i="1"/>
  <c r="H25" i="1"/>
  <c r="H22" i="1"/>
  <c r="H11" i="1"/>
  <c r="H2" i="1"/>
  <c r="H141" i="1" l="1"/>
  <c r="H103" i="1"/>
  <c r="H80" i="1"/>
  <c r="H3" i="1"/>
  <c r="H6" i="1"/>
  <c r="E4" i="2" l="1"/>
  <c r="E5" i="2"/>
  <c r="E6" i="2"/>
  <c r="E7" i="2"/>
  <c r="H135" i="1" l="1"/>
  <c r="H138" i="1" s="1"/>
  <c r="H133" i="1"/>
  <c r="H134" i="1" s="1"/>
  <c r="H123" i="1"/>
  <c r="H128" i="1"/>
  <c r="H125" i="1"/>
  <c r="H124" i="1"/>
  <c r="H117" i="1"/>
  <c r="H118" i="1"/>
  <c r="H119" i="1"/>
  <c r="H114" i="1"/>
  <c r="H120" i="1"/>
  <c r="H121" i="1"/>
  <c r="H115" i="1"/>
  <c r="H109" i="1"/>
  <c r="H110" i="1"/>
  <c r="H111" i="1"/>
  <c r="H105" i="1"/>
  <c r="H107" i="1" s="1"/>
  <c r="H97" i="1"/>
  <c r="H98" i="1"/>
  <c r="H99" i="1"/>
  <c r="H94" i="1"/>
  <c r="H95" i="1"/>
  <c r="H87" i="1"/>
  <c r="H88" i="1"/>
  <c r="H86" i="1"/>
  <c r="H89" i="1"/>
  <c r="H85" i="1"/>
  <c r="H72" i="1"/>
  <c r="H73" i="1"/>
  <c r="H71" i="1"/>
  <c r="H74" i="1"/>
  <c r="H75" i="1"/>
  <c r="H66" i="1"/>
  <c r="H68" i="1"/>
  <c r="H67" i="1"/>
  <c r="H63" i="1"/>
  <c r="H64" i="1" s="1"/>
  <c r="H53" i="1"/>
  <c r="H50" i="1"/>
  <c r="H54" i="1"/>
  <c r="H51" i="1"/>
  <c r="H52" i="1"/>
  <c r="H45" i="1"/>
  <c r="H44" i="1"/>
  <c r="H40" i="1"/>
  <c r="H39" i="1"/>
  <c r="H41" i="1"/>
  <c r="H34" i="1"/>
  <c r="H33" i="1"/>
  <c r="H26" i="1"/>
  <c r="H29" i="1"/>
  <c r="H30" i="1"/>
  <c r="H27" i="1"/>
  <c r="H23" i="1"/>
  <c r="H24" i="1" s="1"/>
  <c r="H15" i="1"/>
  <c r="H12" i="1"/>
  <c r="H16" i="1"/>
  <c r="H17" i="1"/>
  <c r="H18" i="1"/>
  <c r="H19" i="1"/>
  <c r="H20" i="1"/>
  <c r="H13" i="1"/>
  <c r="H14" i="1"/>
  <c r="H4" i="1"/>
  <c r="H5" i="1"/>
  <c r="H8" i="1"/>
  <c r="H9" i="1"/>
  <c r="H7" i="1"/>
  <c r="H10" i="1" l="1"/>
  <c r="H21" i="1"/>
  <c r="H46" i="1"/>
  <c r="H90" i="1"/>
  <c r="H129" i="1"/>
  <c r="H56" i="1"/>
  <c r="H77" i="1"/>
  <c r="H112" i="1"/>
  <c r="H122" i="1"/>
  <c r="H31" i="1"/>
  <c r="H42" i="1"/>
  <c r="H69" i="1"/>
  <c r="H35" i="1"/>
  <c r="D40" i="2"/>
  <c r="G143" i="1" l="1"/>
</calcChain>
</file>

<file path=xl/sharedStrings.xml><?xml version="1.0" encoding="utf-8"?>
<sst xmlns="http://schemas.openxmlformats.org/spreadsheetml/2006/main" count="377" uniqueCount="299">
  <si>
    <t>Reduplication</t>
  </si>
  <si>
    <t>Metathesis</t>
  </si>
  <si>
    <t>Vowelization</t>
  </si>
  <si>
    <t>Diphthongization</t>
  </si>
  <si>
    <t xml:space="preserve">Glottalization(substitution of [ʕ] with [ʔ]), </t>
  </si>
  <si>
    <t>Glottalization(substitution of [l] with [ʔ]),</t>
  </si>
  <si>
    <t>Glottalization(substitution of [ɣ] with [ʔ])</t>
  </si>
  <si>
    <t>Glottalization(substitution of [w] with [ʔ]),</t>
  </si>
  <si>
    <t>Glottalization(substitution of [n] with [ʔ]),</t>
  </si>
  <si>
    <t>Glottalization(substitution of [b] with [ʔ]),</t>
  </si>
  <si>
    <t>Glottalization(insertion of  [ʔ] phone)</t>
  </si>
  <si>
    <t>substitution of [ʔ]with [ʕ]</t>
  </si>
  <si>
    <t>substitution of [r] with [ɻ]</t>
  </si>
  <si>
    <t>substitution of [l] with [ɻ]</t>
  </si>
  <si>
    <t>substitution of [t]with [r]</t>
  </si>
  <si>
    <t>substitution of [sˤ] with [r]</t>
  </si>
  <si>
    <t>substitution of [l] with [r]</t>
  </si>
  <si>
    <t>substitution of [f] with [m]</t>
  </si>
  <si>
    <t>substitution of [n]with [tʰ]</t>
  </si>
  <si>
    <t>substitution of [ʔ]with [m]</t>
  </si>
  <si>
    <t>substitution of [ʔ]with [n]</t>
  </si>
  <si>
    <t>substitution of [r] with [d]</t>
  </si>
  <si>
    <t>substitution of [q] with [g]</t>
  </si>
  <si>
    <t>voicing(substitution of [t] with [d])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</si>
  <si>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</si>
  <si>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</si>
  <si>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</si>
  <si>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[ɣ] with [ʕ]</t>
  </si>
  <si>
    <t>substitution of [χ] with [ħ]</t>
  </si>
  <si>
    <t xml:space="preserve">Aspiration ( substitution of [k]with [kʰ]) , </t>
  </si>
  <si>
    <t xml:space="preserve">Aspiration ( substitution of [t]with [tʰ]) </t>
  </si>
  <si>
    <t>substitution of [ tˤ]with [t͡ʃ]</t>
  </si>
  <si>
    <t>substitution of [χ] with [d͡ʒ]</t>
  </si>
  <si>
    <t xml:space="preserve">depharyngealization(substitution of [sˤ] with [s]), </t>
  </si>
  <si>
    <t xml:space="preserve"> depharyngealization(substitution of [ðˤ] with [ð]), </t>
  </si>
  <si>
    <t>pharyngealization(substitution of [t] with [tˤ]),</t>
  </si>
  <si>
    <t>depharyngealization(substitution of [dˤ] with [d]),</t>
  </si>
  <si>
    <t>depharyngealization and aspiration (substitution of [tˤ] with [tʰ]),</t>
  </si>
  <si>
    <t>Devoicing(substitution of [d͡ʒ] with [t͡ʃ])</t>
  </si>
  <si>
    <t xml:space="preserve">depharyngealization and devoicing(substitution of [dˤ] with [t]) </t>
  </si>
  <si>
    <t xml:space="preserve">substitution of [dˤ] with [sˤ], 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</si>
  <si>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</si>
  <si>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</si>
  <si>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</si>
  <si>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</si>
  <si>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</si>
  <si>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syllable structure process(final syllable deletion)</t>
  </si>
  <si>
    <t>deaffrication(substitution of [d͡ʒ]with [ʒ])</t>
  </si>
  <si>
    <t>substitution of [z]with[d͡z]</t>
  </si>
  <si>
    <t>stopping and devoicing (substitution of [d͡ʒ]with [t])</t>
  </si>
  <si>
    <t>substitution of [ħ]with [χ]</t>
  </si>
  <si>
    <t>substitution of [h]with [χ]</t>
  </si>
  <si>
    <t>substitution of [ħ]with [h]</t>
  </si>
  <si>
    <t>substitution of [h]with [ħ]</t>
  </si>
  <si>
    <t>substitution of [d͡ʒ]with [h]</t>
  </si>
  <si>
    <t>Epenthesis(insert vowel [ʊ] between  consnant cluster)</t>
  </si>
  <si>
    <t>Epenthesis(insert diphthong [i:] between  consnant cluster)</t>
  </si>
  <si>
    <t>substitution of [ð] with [l]</t>
  </si>
  <si>
    <t>substitution of [ð]with[d͡z]</t>
  </si>
  <si>
    <t>fronting(substitution of [d] with [b])</t>
  </si>
  <si>
    <t xml:space="preserve">depharyngealization and devoicing(substitution of [ðˤ] with [θ]),  </t>
  </si>
  <si>
    <t>substitution of [d]with [l]</t>
  </si>
  <si>
    <t>devoicing(substitution of [d]with [t])</t>
  </si>
  <si>
    <t>substitution of [ʕ]with [ɣ]</t>
  </si>
  <si>
    <t>devoicing(substitution of [b]with [p]), Aspiration ( substitution of [p]with [pʰ]) ,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</si>
  <si>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</si>
  <si>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</si>
  <si>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</si>
  <si>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</si>
  <si>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[d ] phone preceding [r] phone)</t>
  </si>
  <si>
    <t>syllable structure process (consonant insertion of  [d] phone)</t>
  </si>
  <si>
    <t>syllable structure process (consonant insertion of  [n] phone)</t>
  </si>
  <si>
    <t>syllable structure process (consonant insertion of  [ħ] phone)</t>
  </si>
  <si>
    <t>syllable structure process (consonant deletion of  [n] phone)</t>
  </si>
  <si>
    <t>syllable structure process (weak syllable deletion)</t>
  </si>
  <si>
    <t>substitution of [d]with [n]</t>
  </si>
  <si>
    <t>final consonant deletion</t>
  </si>
  <si>
    <t>interdentalization(substitution of [z] with [ð])</t>
  </si>
  <si>
    <t>interdentalization and devoicing(substitution of [z] with [θ])</t>
  </si>
  <si>
    <t>Nasal assimilation</t>
  </si>
  <si>
    <t>substitution of[ðˤ] with [tʰ]</t>
  </si>
  <si>
    <t>substitution of [ʔ]with [ħ]</t>
  </si>
  <si>
    <t>substitution of [l]with [ħ]</t>
  </si>
  <si>
    <t>Definite Article deletion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</si>
  <si>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</si>
  <si>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</si>
  <si>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</si>
  <si>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</si>
  <si>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</si>
  <si>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</si>
  <si>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</si>
  <si>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</si>
  <si>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</si>
  <si>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</si>
  <si>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 [ʔ]with  [j] affected by colloquial arabic</t>
  </si>
  <si>
    <t>replace  [j]with  [i:] affected by colloquial Arabic</t>
  </si>
  <si>
    <t>consonant deletion  of [ʔ] phone affected by colloquial Arabic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</si>
  <si>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</si>
  <si>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</si>
  <si>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</si>
  <si>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</si>
  <si>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</si>
  <si>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</si>
  <si>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</si>
  <si>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</si>
  <si>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</si>
  <si>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</si>
  <si>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</si>
  <si>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</si>
  <si>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</si>
  <si>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</si>
  <si>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</si>
  <si>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</si>
  <si>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</si>
  <si>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</si>
  <si>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</si>
  <si>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</si>
  <si>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</si>
  <si>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</si>
  <si>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</si>
  <si>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</si>
  <si>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</si>
  <si>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</si>
  <si>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</si>
  <si>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</si>
  <si>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</si>
  <si>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</si>
  <si>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</si>
  <si>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</si>
  <si>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</si>
  <si>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</si>
  <si>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</si>
  <si>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</si>
  <si>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</si>
  <si>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</si>
  <si>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</si>
  <si>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</si>
  <si>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</si>
  <si>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</si>
  <si>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</si>
  <si>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</si>
  <si>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</si>
  <si>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</si>
  <si>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</si>
  <si>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</si>
  <si>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</si>
  <si>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</si>
  <si>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</si>
  <si>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</si>
  <si>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</si>
  <si>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</si>
  <si>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</si>
  <si>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</si>
  <si>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</si>
  <si>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</si>
  <si>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</si>
  <si>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</si>
  <si>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</si>
  <si>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</si>
  <si>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</si>
  <si>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</si>
  <si>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</si>
  <si>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</si>
  <si>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</si>
  <si>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devoicing(substitution of [d]with [d̥])  </t>
  </si>
  <si>
    <t>devoicing(substitution of [dˤ]with [tˤ])</t>
  </si>
  <si>
    <t>depharyngealization(substitution of [ɲ] with [n])</t>
  </si>
  <si>
    <t xml:space="preserve">syllable structure process (first syllable deletion) </t>
  </si>
  <si>
    <t xml:space="preserve"> lateralization(substitution of [r] with [ɺ]),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</si>
  <si>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</si>
  <si>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</si>
  <si>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</si>
  <si>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process(cosonant insertion of [ɻ] phone)</t>
  </si>
  <si>
    <t>substitution of [θ]with [f]</t>
  </si>
  <si>
    <t>substitution of [d͡ʒ] with [χ]</t>
  </si>
  <si>
    <t>substitution of [ʕ]with [r]</t>
  </si>
  <si>
    <t>substitution of [ʕ]with [m]</t>
  </si>
  <si>
    <t>syllable structure process (consonant deletion of  [l] phone)</t>
  </si>
  <si>
    <t>syllable structure process (syllable insertion of  [li:] phones )</t>
  </si>
  <si>
    <t>syllable structure process (syllable insertion of  [ɑk] phones )</t>
  </si>
  <si>
    <t>syllable structure process (consonant insertion of  [f] phone)</t>
  </si>
  <si>
    <t>assimilation (the  [t] phone changes to  [b] to become  similar to the nearby  phone[ b])</t>
  </si>
  <si>
    <t xml:space="preserve"> syllable structure process (consonant insertion of  [ʃs ] phones in final position)</t>
  </si>
  <si>
    <t>assimilation (the  [ʕ] phone changes to  [m]  phone to become  similar to the nearby  phone[m])</t>
  </si>
  <si>
    <t>assimilation (the  [l] phone changes to  [m]  phone to become  similar to the nearby  phone[n])</t>
  </si>
  <si>
    <t>assimilation (the  [ʕ] phone changes to  [l]  phone to become  similar to the nearby  phone[l])</t>
  </si>
  <si>
    <t>assimilation (the  [w] phone changes to  [l] to become  similar to the nearby  phone[ l])</t>
  </si>
  <si>
    <t>syllable structure process (consonant insertion of  r] phone)</t>
  </si>
  <si>
    <t>Glottal assimilation</t>
  </si>
  <si>
    <t>substitution of [j]with [b]</t>
  </si>
  <si>
    <t>syllable structure process (consonant insertion of  [b] phone)</t>
  </si>
  <si>
    <t>substitution of [w] with [l]</t>
  </si>
  <si>
    <t>syllable structure process (consonant insertion of  [m] phone)</t>
  </si>
  <si>
    <t>substitution of [t] with [b]</t>
  </si>
  <si>
    <t>assimilation (the  [j] phone changes to  [ s]  phone to become  similar to the nearby  phone[ s])</t>
  </si>
  <si>
    <t>assimilation (the  [l] phone changes to  [n] to become  similar to the nearby  phone[ n])</t>
  </si>
  <si>
    <t>assimilation (the  [n] phone changes to  [ð]  to become more similar to the nearby   phone [ð])</t>
  </si>
  <si>
    <t>assimilation (the  [n] phone changes to [z] phone  to become more similar to the nearby  phone[θ])</t>
  </si>
  <si>
    <t>assimilation (the emphatic voiceless stop [tˤ] changes to emphatic voiced stop [dˤ]  to become more similar to the nearby  voiced stop [d])</t>
  </si>
  <si>
    <t>assimilation (the  [b] phone changes to  [n] to become  similar to the nearby  phone[ m])</t>
  </si>
  <si>
    <t>substitution of [r]with [ħ]</t>
  </si>
  <si>
    <t>Glottalization(substitution of [m] with [ʔ]),</t>
  </si>
  <si>
    <t>syllable structure process (consonant insertion of  [ɪlf ] phones)</t>
  </si>
  <si>
    <t>syllable structure process (consonant deletion of  [t] phone)</t>
  </si>
  <si>
    <t xml:space="preserve">assimilation (the  [l] phone changes to  [ʒ]  phone to become  similar to the nearby  phone[d͡ʒ])" </t>
  </si>
  <si>
    <t>syllable structure process (consonant insertion of  [j] phone)</t>
  </si>
  <si>
    <t>misreading</t>
  </si>
  <si>
    <t>substitution of [n] with [l]</t>
  </si>
  <si>
    <t>replace  the subject  with place</t>
  </si>
  <si>
    <t>syllable structure process (consonant deletion of  [r] phone),</t>
  </si>
  <si>
    <t>syllable structure process (syllable insertion of  [ʔæd] syllable before [r] phone )</t>
  </si>
  <si>
    <t>backing (substitution of [s] with [ʃ])</t>
  </si>
  <si>
    <t>backing (substitution of [t] with [g])</t>
  </si>
  <si>
    <t>gliding  (substitution of [ɣ] with [w])</t>
  </si>
  <si>
    <t>gliding  (substitution of [l] with [j])</t>
  </si>
  <si>
    <t>syllable structure process (consonant insertion of  [w] phone)</t>
  </si>
  <si>
    <t>fronting (substitution of [ʃ] with [s])</t>
  </si>
  <si>
    <t>fronting (substitution of [t] with [b])</t>
  </si>
  <si>
    <t>stopping(substitution of [ð] with [d])</t>
  </si>
  <si>
    <t>stopping(substitution of [sˤ] with [tˤ])</t>
  </si>
  <si>
    <t>stopping(substitution of [m] with [d])</t>
  </si>
  <si>
    <t>stopping(substitution of [z] with [d])</t>
  </si>
  <si>
    <t>substitution of [z]with [dr]</t>
  </si>
  <si>
    <t>total</t>
  </si>
  <si>
    <t>type of syllable structure error</t>
  </si>
  <si>
    <t>number of error</t>
  </si>
  <si>
    <t>notes</t>
  </si>
  <si>
    <t>[l]</t>
  </si>
  <si>
    <t>[ɺ]</t>
  </si>
  <si>
    <t>[ɻ]</t>
  </si>
  <si>
    <t>[d]</t>
  </si>
  <si>
    <t>[ħ]</t>
  </si>
  <si>
    <t>[r]</t>
  </si>
  <si>
    <t>[ʔ]</t>
  </si>
  <si>
    <t>[h]</t>
  </si>
  <si>
    <t>[j]</t>
  </si>
  <si>
    <t>[n]</t>
  </si>
  <si>
    <t>[d͡ʒ]</t>
  </si>
  <si>
    <t>[sˤ]</t>
  </si>
  <si>
    <t>[ʃ]</t>
  </si>
  <si>
    <t>[d͡z]</t>
  </si>
  <si>
    <t>[θ]</t>
  </si>
  <si>
    <t>[z̥]</t>
  </si>
  <si>
    <t>[ð]</t>
  </si>
  <si>
    <t>[dr]</t>
  </si>
  <si>
    <t>[s]</t>
  </si>
  <si>
    <t>[tˤ]</t>
  </si>
  <si>
    <t>[f]</t>
  </si>
  <si>
    <t>[dˤ]</t>
  </si>
  <si>
    <t>[tʰ]</t>
  </si>
  <si>
    <t>[kʰ]</t>
  </si>
  <si>
    <t>[χ]</t>
  </si>
  <si>
    <t>[d͡ʒ̥]</t>
  </si>
  <si>
    <t>[ʒ]</t>
  </si>
  <si>
    <t>[t]</t>
  </si>
  <si>
    <t>[t͡ʃ]</t>
  </si>
  <si>
    <t>[g]</t>
  </si>
  <si>
    <t>[ʕ]</t>
  </si>
  <si>
    <t>[w]</t>
  </si>
  <si>
    <t>[m]</t>
  </si>
  <si>
    <t>[ɣ]</t>
  </si>
  <si>
    <t>[pʰ]</t>
  </si>
  <si>
    <t>[b]</t>
  </si>
  <si>
    <t>[d̥]</t>
  </si>
  <si>
    <t>[z]</t>
  </si>
  <si>
    <t>[-]</t>
  </si>
  <si>
    <t>allpohone</t>
  </si>
  <si>
    <t>percentage</t>
  </si>
  <si>
    <t>Monophthongization</t>
  </si>
  <si>
    <t>[dr ]</t>
  </si>
  <si>
    <t xml:space="preserve">[ʔædr] 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</si>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</sst>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3F3F3F"/>
      <name val="Calibri"/>
      <family val="2"/>
      <scheme val="minor"/>
    </font>
    <font>
      <sz val="15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8" fillId="12" borderId="5" applyNumberFormat="0" applyAlignment="0" applyProtection="0"/>
  </cellStyleXfs>
  <cellXfs count="198">
    <xf numFmtId="0" fontId="0" fillId="0" borderId="0" xfId="0"/>
    <xf numFmtId="0" fontId="14" fillId="0" borderId="0" xfId="0" applyFont="1"/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5" fillId="4" borderId="1" xfId="3" applyFont="1" applyBorder="1" applyAlignment="1">
      <alignment vertical="center" wrapText="1"/>
    </xf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15" fillId="2" borderId="1" xfId="1" applyFont="1" applyBorder="1" applyAlignment="1">
      <alignment wrapText="1"/>
    </xf>
    <xf numFmtId="0" fontId="2" fillId="2" borderId="1" xfId="1" applyBorder="1"/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5" fillId="9" borderId="1" xfId="8" applyFont="1" applyBorder="1" applyAlignment="1">
      <alignment vertical="center" wrapText="1"/>
    </xf>
    <xf numFmtId="0" fontId="15" fillId="9" borderId="1" xfId="8" applyFont="1" applyBorder="1" applyAlignment="1">
      <alignment wrapText="1"/>
    </xf>
    <xf numFmtId="0" fontId="0" fillId="9" borderId="1" xfId="8" applyFont="1" applyBorder="1" applyAlignment="1">
      <alignment wrapText="1"/>
    </xf>
    <xf numFmtId="0" fontId="0" fillId="9" borderId="1" xfId="8" applyFont="1" applyBorder="1" applyAlignment="1">
      <alignment vertical="center" wrapText="1"/>
    </xf>
    <xf numFmtId="0" fontId="3" fillId="3" borderId="1" xfId="2" applyBorder="1" applyAlignment="1">
      <alignment wrapText="1"/>
    </xf>
    <xf numFmtId="0" fontId="3" fillId="3" borderId="1" xfId="2" applyBorder="1"/>
    <xf numFmtId="0" fontId="15" fillId="3" borderId="1" xfId="2" applyFont="1" applyBorder="1" applyAlignment="1">
      <alignment wrapText="1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5" fillId="2" borderId="1" xfId="1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5" fillId="3" borderId="1" xfId="2" applyFont="1" applyBorder="1" applyAlignment="1">
      <alignment vertical="center"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15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5" borderId="1" xfId="4" applyBorder="1" applyAlignment="1">
      <alignment vertical="center" wrapText="1"/>
    </xf>
    <xf numFmtId="0" fontId="0" fillId="5" borderId="1" xfId="4" applyFont="1" applyBorder="1" applyAlignment="1">
      <alignment vertical="center" wrapText="1"/>
    </xf>
    <xf numFmtId="0" fontId="15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5" fillId="8" borderId="1" xfId="7" applyFont="1" applyBorder="1" applyAlignment="1">
      <alignment vertical="center" wrapText="1"/>
    </xf>
    <xf numFmtId="0" fontId="1" fillId="8" borderId="1" xfId="7" applyBorder="1" applyAlignment="1">
      <alignment vertical="center"/>
    </xf>
    <xf numFmtId="0" fontId="1" fillId="7" borderId="1" xfId="6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5" fillId="7" borderId="1" xfId="6" applyFont="1" applyBorder="1" applyAlignment="1">
      <alignment vertical="center" wrapText="1"/>
    </xf>
    <xf numFmtId="0" fontId="0" fillId="10" borderId="1" xfId="9" applyFont="1" applyBorder="1" applyAlignment="1">
      <alignment vertical="center" wrapText="1"/>
    </xf>
    <xf numFmtId="0" fontId="1" fillId="10" borderId="1" xfId="9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3" fillId="3" borderId="2" xfId="2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2" xfId="2" applyBorder="1" applyAlignment="1">
      <alignment wrapText="1"/>
    </xf>
    <xf numFmtId="0" fontId="3" fillId="3" borderId="2" xfId="2" applyBorder="1" applyAlignment="1">
      <alignment vertical="center"/>
    </xf>
    <xf numFmtId="0" fontId="0" fillId="0" borderId="4" xfId="0" applyBorder="1"/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0" fillId="0" borderId="0" xfId="0" applyBorder="1"/>
    <xf numFmtId="0" fontId="3" fillId="3" borderId="0" xfId="2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0" fillId="0" borderId="1" xfId="0" applyNumberFormat="1" applyBorder="1"/>
    <xf numFmtId="10" fontId="1" fillId="10" borderId="1" xfId="9" applyNumberFormat="1" applyBorder="1" applyAlignment="1">
      <alignment vertical="center"/>
    </xf>
    <xf numFmtId="10" fontId="3" fillId="3" borderId="2" xfId="2" applyNumberFormat="1" applyBorder="1" applyAlignment="1">
      <alignment vertical="center"/>
    </xf>
    <xf numFmtId="10" fontId="3" fillId="3" borderId="0" xfId="2" applyNumberFormat="1" applyBorder="1" applyAlignment="1">
      <alignment vertical="center"/>
    </xf>
    <xf numFmtId="10" fontId="6" fillId="0" borderId="0" xfId="0" applyNumberFormat="1" applyFont="1" applyBorder="1" applyAlignment="1">
      <alignment vertical="center"/>
    </xf>
    <xf numFmtId="10" fontId="0" fillId="0" borderId="0" xfId="0" applyNumberFormat="1" applyBorder="1"/>
    <xf numFmtId="10" fontId="8" fillId="0" borderId="0" xfId="0" applyNumberFormat="1" applyFont="1" applyBorder="1" applyAlignment="1">
      <alignment vertical="center"/>
    </xf>
    <xf numFmtId="10" fontId="9" fillId="0" borderId="0" xfId="0" applyNumberFormat="1" applyFont="1" applyBorder="1" applyAlignment="1">
      <alignment vertical="center"/>
    </xf>
    <xf numFmtId="10" fontId="8" fillId="0" borderId="4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>
      <alignment vertical="center"/>
    </xf>
    <xf numFmtId="10" fontId="11" fillId="0" borderId="1" xfId="0" applyNumberFormat="1" applyFont="1" applyBorder="1" applyAlignment="1">
      <alignment vertical="center"/>
    </xf>
    <xf numFmtId="10" fontId="12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10" fontId="13" fillId="0" borderId="1" xfId="0" applyNumberFormat="1" applyFont="1" applyBorder="1" applyAlignment="1">
      <alignment vertical="center"/>
    </xf>
    <xf numFmtId="10" fontId="18" fillId="12" borderId="5" xfId="10" applyNumberFormat="1" applyAlignment="1">
      <alignment vertical="center"/>
    </xf>
    <xf numFmtId="0" fontId="0" fillId="5" borderId="1" xfId="4" applyFont="1" applyBorder="1" applyAlignment="1">
      <alignment vertical="center"/>
    </xf>
    <xf numFmtId="0" fontId="14" fillId="11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10" fontId="16" fillId="11" borderId="1" xfId="1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17" fillId="11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4" fillId="4" borderId="1" xfId="3" applyNumberFormat="1" applyBorder="1"/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/>
    </xf>
    <xf numFmtId="0" fontId="4" fillId="4" borderId="4" xfId="3" applyBorder="1" applyAlignment="1">
      <alignment horizontal="center" vertical="center"/>
    </xf>
    <xf numFmtId="0" fontId="21" fillId="4" borderId="1" xfId="3" applyFont="1" applyBorder="1" applyAlignment="1">
      <alignment horizontal="center" vertical="center"/>
    </xf>
    <xf numFmtId="0" fontId="22" fillId="3" borderId="1" xfId="2" applyFont="1" applyBorder="1" applyAlignment="1">
      <alignment horizontal="center" vertical="center"/>
    </xf>
    <xf numFmtId="0" fontId="23" fillId="2" borderId="1" xfId="1" applyFont="1" applyBorder="1" applyAlignment="1">
      <alignment horizontal="center" vertical="center"/>
    </xf>
    <xf numFmtId="0" fontId="20" fillId="9" borderId="1" xfId="8" applyFont="1" applyBorder="1" applyAlignment="1">
      <alignment horizontal="center" vertical="center"/>
    </xf>
    <xf numFmtId="10" fontId="4" fillId="4" borderId="0" xfId="3" applyNumberFormat="1" applyBorder="1" applyAlignment="1">
      <alignment vertical="center"/>
    </xf>
    <xf numFmtId="0" fontId="20" fillId="7" borderId="1" xfId="6" applyFont="1" applyBorder="1" applyAlignment="1">
      <alignment horizontal="center" vertical="center"/>
    </xf>
    <xf numFmtId="0" fontId="20" fillId="5" borderId="1" xfId="4" applyFont="1" applyBorder="1" applyAlignment="1">
      <alignment horizontal="center" vertical="center"/>
    </xf>
    <xf numFmtId="0" fontId="20" fillId="6" borderId="1" xfId="5" applyFont="1" applyBorder="1" applyAlignment="1">
      <alignment horizontal="center" vertical="center"/>
    </xf>
    <xf numFmtId="0" fontId="20" fillId="8" borderId="1" xfId="7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4" xfId="6" applyBorder="1" applyAlignment="1">
      <alignment horizontal="center" vertical="center" wrapText="1" readingOrder="2"/>
    </xf>
    <xf numFmtId="0" fontId="0" fillId="7" borderId="4" xfId="6" applyFont="1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 wrapText="1"/>
    </xf>
    <xf numFmtId="0" fontId="4" fillId="4" borderId="3" xfId="3" applyBorder="1" applyAlignment="1">
      <alignment horizontal="center" vertical="center" wrapText="1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Output" xfId="10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Sheet1!$F$2:$F$9</c:f>
              <c:strCache>
                <c:ptCount val="8"/>
                <c:pt idx="0">
                  <c:v>[l]</c:v>
                </c:pt>
                <c:pt idx="1">
                  <c:v>[ʔædr] </c:v>
                </c:pt>
                <c:pt idx="2">
                  <c:v>[ɺ]</c:v>
                </c:pt>
                <c:pt idx="3">
                  <c:v>[ɻ]</c:v>
                </c:pt>
                <c:pt idx="4">
                  <c:v>[dr ]</c:v>
                </c:pt>
                <c:pt idx="5">
                  <c:v>[-]</c:v>
                </c:pt>
                <c:pt idx="6">
                  <c:v>[d]</c:v>
                </c:pt>
                <c:pt idx="7">
                  <c:v>[ħ]</c:v>
                </c:pt>
              </c:strCache>
            </c:strRef>
          </c:cat>
          <c:val>
            <c:numRef>
              <c:f>Sheet1!$G$2:$G$9</c:f>
              <c:numCache>
                <c:formatCode>0</c:formatCode>
                <c:ptCount val="8"/>
                <c:pt idx="0" formatCode="General">
                  <c:v>112</c:v>
                </c:pt>
                <c:pt idx="1">
                  <c:v>17</c:v>
                </c:pt>
                <c:pt idx="2" formatCode="General">
                  <c:v>5</c:v>
                </c:pt>
                <c:pt idx="3" formatCode="General">
                  <c:v>5</c:v>
                </c:pt>
                <c:pt idx="4">
                  <c:v>2</c:v>
                </c:pt>
                <c:pt idx="5" formatCode="General">
                  <c:v>2</c:v>
                </c:pt>
                <c:pt idx="6" formatCode="General">
                  <c:v>1</c:v>
                </c:pt>
                <c:pt idx="7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D-42E8-A8C9-195C4121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62208"/>
        <c:axId val="13483626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Sheet1!$F$2:$F$9</c:f>
              <c:strCache>
                <c:ptCount val="8"/>
                <c:pt idx="0">
                  <c:v>[l]</c:v>
                </c:pt>
                <c:pt idx="1">
                  <c:v>[ʔædr] </c:v>
                </c:pt>
                <c:pt idx="2">
                  <c:v>[ɺ]</c:v>
                </c:pt>
                <c:pt idx="3">
                  <c:v>[ɻ]</c:v>
                </c:pt>
                <c:pt idx="4">
                  <c:v>[dr ]</c:v>
                </c:pt>
                <c:pt idx="5">
                  <c:v>[-]</c:v>
                </c:pt>
                <c:pt idx="6">
                  <c:v>[d]</c:v>
                </c:pt>
                <c:pt idx="7">
                  <c:v>[ħ]</c:v>
                </c:pt>
              </c:strCache>
            </c:strRef>
          </c:cat>
          <c:val>
            <c:numRef>
              <c:f>Sheet1!$H$2:$H$9</c:f>
              <c:numCache>
                <c:formatCode>0.00%</c:formatCode>
                <c:ptCount val="8"/>
                <c:pt idx="0">
                  <c:v>0.46861924686192469</c:v>
                </c:pt>
                <c:pt idx="1">
                  <c:v>7.1129707112970716E-2</c:v>
                </c:pt>
                <c:pt idx="2">
                  <c:v>2.0920502092050208E-2</c:v>
                </c:pt>
                <c:pt idx="3">
                  <c:v>2.0920502092050208E-2</c:v>
                </c:pt>
                <c:pt idx="4">
                  <c:v>8.368200836820083E-3</c:v>
                </c:pt>
                <c:pt idx="5">
                  <c:v>8.368200836820083E-3</c:v>
                </c:pt>
                <c:pt idx="6">
                  <c:v>4.1841004184100415E-3</c:v>
                </c:pt>
                <c:pt idx="7">
                  <c:v>4.1841004184100415E-3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D-42E8-A8C9-195C4121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63872"/>
        <c:axId val="1348363456"/>
      </c:lineChart>
      <c:catAx>
        <c:axId val="13483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62624"/>
        <c:crosses val="autoZero"/>
        <c:auto val="1"/>
        <c:lblAlgn val="ctr"/>
        <c:lblOffset val="100"/>
        <c:noMultiLvlLbl val="0"/>
      </c:catAx>
      <c:valAx>
        <c:axId val="13483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62208"/>
        <c:crosses val="autoZero"/>
        <c:crossBetween val="between"/>
      </c:valAx>
      <c:valAx>
        <c:axId val="134836345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63872"/>
        <c:crosses val="max"/>
        <c:crossBetween val="between"/>
      </c:valAx>
      <c:catAx>
        <c:axId val="1348363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83634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Sheet1!$F$11:$F$20</c:f>
              <c:strCache>
                <c:ptCount val="10"/>
                <c:pt idx="0">
                  <c:v>[ɻ]</c:v>
                </c:pt>
                <c:pt idx="1">
                  <c:v>[r]</c:v>
                </c:pt>
                <c:pt idx="2">
                  <c:v>[l]</c:v>
                </c:pt>
                <c:pt idx="3">
                  <c:v>[ʔ]</c:v>
                </c:pt>
                <c:pt idx="4">
                  <c:v>[h]</c:v>
                </c:pt>
                <c:pt idx="5">
                  <c:v>[ħ]</c:v>
                </c:pt>
                <c:pt idx="6">
                  <c:v>[j]</c:v>
                </c:pt>
                <c:pt idx="7">
                  <c:v>[n]</c:v>
                </c:pt>
                <c:pt idx="8">
                  <c:v>[n]</c:v>
                </c:pt>
                <c:pt idx="9">
                  <c:v>[d͡ʒ]</c:v>
                </c:pt>
              </c:strCache>
            </c:strRef>
          </c:cat>
          <c:val>
            <c:numRef>
              <c:f>Sheet1!$G$11:$G$20</c:f>
              <c:numCache>
                <c:formatCode>General</c:formatCode>
                <c:ptCount val="10"/>
                <c:pt idx="0">
                  <c:v>13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C-4FE7-BE8E-C0B0C118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215808"/>
        <c:axId val="135021705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Sheet1!$F$11:$F$20</c:f>
              <c:strCache>
                <c:ptCount val="10"/>
                <c:pt idx="0">
                  <c:v>[ɻ]</c:v>
                </c:pt>
                <c:pt idx="1">
                  <c:v>[r]</c:v>
                </c:pt>
                <c:pt idx="2">
                  <c:v>[l]</c:v>
                </c:pt>
                <c:pt idx="3">
                  <c:v>[ʔ]</c:v>
                </c:pt>
                <c:pt idx="4">
                  <c:v>[h]</c:v>
                </c:pt>
                <c:pt idx="5">
                  <c:v>[ħ]</c:v>
                </c:pt>
                <c:pt idx="6">
                  <c:v>[j]</c:v>
                </c:pt>
                <c:pt idx="7">
                  <c:v>[n]</c:v>
                </c:pt>
                <c:pt idx="8">
                  <c:v>[n]</c:v>
                </c:pt>
                <c:pt idx="9">
                  <c:v>[d͡ʒ]</c:v>
                </c:pt>
              </c:strCache>
            </c:strRef>
          </c:cat>
          <c:val>
            <c:numRef>
              <c:f>Sheet1!$H$11:$H$20</c:f>
              <c:numCache>
                <c:formatCode>0.00%</c:formatCode>
                <c:ptCount val="10"/>
                <c:pt idx="0">
                  <c:v>3.9393939393939391E-2</c:v>
                </c:pt>
                <c:pt idx="1">
                  <c:v>3.0303030303030304E-2</c:v>
                </c:pt>
                <c:pt idx="2">
                  <c:v>1.5151515151515152E-2</c:v>
                </c:pt>
                <c:pt idx="3">
                  <c:v>6.0606060606060606E-3</c:v>
                </c:pt>
                <c:pt idx="4">
                  <c:v>3.0303030303030303E-3</c:v>
                </c:pt>
                <c:pt idx="5">
                  <c:v>3.0303030303030303E-3</c:v>
                </c:pt>
                <c:pt idx="6">
                  <c:v>3.0303030303030303E-3</c:v>
                </c:pt>
                <c:pt idx="7">
                  <c:v>3.0303030303030303E-3</c:v>
                </c:pt>
                <c:pt idx="8">
                  <c:v>3.0303030303030303E-3</c:v>
                </c:pt>
                <c:pt idx="9">
                  <c:v>3.0303030303030303E-3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C-4FE7-BE8E-C0B0C118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858624"/>
        <c:axId val="1346858208"/>
      </c:lineChart>
      <c:catAx>
        <c:axId val="13502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7056"/>
        <c:crosses val="autoZero"/>
        <c:auto val="1"/>
        <c:lblAlgn val="ctr"/>
        <c:lblOffset val="100"/>
        <c:noMultiLvlLbl val="0"/>
      </c:catAx>
      <c:valAx>
        <c:axId val="135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5808"/>
        <c:crosses val="autoZero"/>
        <c:crossBetween val="between"/>
      </c:valAx>
      <c:valAx>
        <c:axId val="13468582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58624"/>
        <c:crosses val="max"/>
        <c:crossBetween val="between"/>
      </c:valAx>
      <c:catAx>
        <c:axId val="1346858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68582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Sheet1!$F$22:$F$23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Sheet1!$G$22:$G$23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E-4588-812F-0FBC261A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693328"/>
        <c:axId val="13506954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Sheet1!$F$22:$F$23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Sheet1!$H$22:$H$23</c:f>
              <c:numCache>
                <c:formatCode>0.00%</c:formatCode>
                <c:ptCount val="2"/>
                <c:pt idx="0">
                  <c:v>7.462686567164179E-3</c:v>
                </c:pt>
                <c:pt idx="1">
                  <c:v>7.462686567164179E-3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E-4588-812F-0FBC261A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694992"/>
        <c:axId val="1350694160"/>
      </c:lineChart>
      <c:catAx>
        <c:axId val="13506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95408"/>
        <c:crosses val="autoZero"/>
        <c:auto val="1"/>
        <c:lblAlgn val="ctr"/>
        <c:lblOffset val="100"/>
        <c:noMultiLvlLbl val="0"/>
      </c:catAx>
      <c:valAx>
        <c:axId val="13506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93328"/>
        <c:crosses val="autoZero"/>
        <c:crossBetween val="between"/>
      </c:valAx>
      <c:valAx>
        <c:axId val="135069416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94992"/>
        <c:crosses val="max"/>
        <c:crossBetween val="between"/>
      </c:valAx>
      <c:catAx>
        <c:axId val="135069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06941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Sheet1!$F$25:$F$30</c:f>
              <c:strCache>
                <c:ptCount val="6"/>
                <c:pt idx="0">
                  <c:v>[ð]</c:v>
                </c:pt>
                <c:pt idx="1">
                  <c:v>[z̥]</c:v>
                </c:pt>
                <c:pt idx="2">
                  <c:v>[d͡z]</c:v>
                </c:pt>
                <c:pt idx="3">
                  <c:v>[θ]</c:v>
                </c:pt>
                <c:pt idx="4">
                  <c:v>[d]</c:v>
                </c:pt>
                <c:pt idx="5">
                  <c:v>[dr]</c:v>
                </c:pt>
              </c:strCache>
            </c:strRef>
          </c:cat>
          <c:val>
            <c:numRef>
              <c:f>Sheet1!$G$25:$G$30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D-4A02-9F4F-60713699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240416"/>
        <c:axId val="13482408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Sheet1!$F$25:$F$30</c:f>
              <c:strCache>
                <c:ptCount val="6"/>
                <c:pt idx="0">
                  <c:v>[ð]</c:v>
                </c:pt>
                <c:pt idx="1">
                  <c:v>[z̥]</c:v>
                </c:pt>
                <c:pt idx="2">
                  <c:v>[d͡z]</c:v>
                </c:pt>
                <c:pt idx="3">
                  <c:v>[θ]</c:v>
                </c:pt>
                <c:pt idx="4">
                  <c:v>[d]</c:v>
                </c:pt>
                <c:pt idx="5">
                  <c:v>[dr]</c:v>
                </c:pt>
              </c:strCache>
            </c:strRef>
          </c:cat>
          <c:val>
            <c:numRef>
              <c:f>Sheet1!$H$25:$H$30</c:f>
              <c:numCache>
                <c:formatCode>0.00%</c:formatCode>
                <c:ptCount val="6"/>
                <c:pt idx="0">
                  <c:v>0.24</c:v>
                </c:pt>
                <c:pt idx="1">
                  <c:v>0.16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D-4A02-9F4F-60713699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208288"/>
        <c:axId val="1232206624"/>
      </c:lineChart>
      <c:catAx>
        <c:axId val="13482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40832"/>
        <c:crosses val="autoZero"/>
        <c:auto val="1"/>
        <c:lblAlgn val="ctr"/>
        <c:lblOffset val="100"/>
        <c:noMultiLvlLbl val="0"/>
      </c:catAx>
      <c:valAx>
        <c:axId val="13482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40416"/>
        <c:crosses val="autoZero"/>
        <c:crossBetween val="between"/>
      </c:valAx>
      <c:valAx>
        <c:axId val="12322066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08288"/>
        <c:crosses val="max"/>
        <c:crossBetween val="between"/>
      </c:valAx>
      <c:catAx>
        <c:axId val="1232208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22066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Sheet1!$F$32:$F$34</c:f>
              <c:strCache>
                <c:ptCount val="3"/>
                <c:pt idx="0">
                  <c:v>[s]</c:v>
                </c:pt>
                <c:pt idx="1">
                  <c:v>[r]</c:v>
                </c:pt>
                <c:pt idx="2">
                  <c:v>[tˤ]</c:v>
                </c:pt>
              </c:strCache>
            </c:strRef>
          </c:cat>
          <c:val>
            <c:numRef>
              <c:f>Sheet1!$G$32:$G$34</c:f>
              <c:numCache>
                <c:formatCode>General</c:formatCode>
                <c:ptCount val="3"/>
                <c:pt idx="0">
                  <c:v>14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B-41AE-8F92-3F75D4CA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880448"/>
        <c:axId val="13498796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Sheet1!$F$32:$F$34</c:f>
              <c:strCache>
                <c:ptCount val="3"/>
                <c:pt idx="0">
                  <c:v>[s]</c:v>
                </c:pt>
                <c:pt idx="1">
                  <c:v>[r]</c:v>
                </c:pt>
                <c:pt idx="2">
                  <c:v>[tˤ]</c:v>
                </c:pt>
              </c:strCache>
            </c:strRef>
          </c:cat>
          <c:val>
            <c:numRef>
              <c:f>Sheet1!$H$32:$H$34</c:f>
              <c:numCache>
                <c:formatCode>0.00%</c:formatCode>
                <c:ptCount val="3"/>
                <c:pt idx="0">
                  <c:v>0.25</c:v>
                </c:pt>
                <c:pt idx="1">
                  <c:v>1.7857142857142856E-2</c:v>
                </c:pt>
                <c:pt idx="2">
                  <c:v>1.7857142857142856E-2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B-41AE-8F92-3F75D4CA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878368"/>
        <c:axId val="1349878784"/>
      </c:lineChart>
      <c:catAx>
        <c:axId val="13498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79616"/>
        <c:crosses val="autoZero"/>
        <c:auto val="1"/>
        <c:lblAlgn val="ctr"/>
        <c:lblOffset val="100"/>
        <c:noMultiLvlLbl val="0"/>
      </c:catAx>
      <c:valAx>
        <c:axId val="13498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80448"/>
        <c:crosses val="autoZero"/>
        <c:crossBetween val="between"/>
      </c:valAx>
      <c:valAx>
        <c:axId val="13498787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78368"/>
        <c:crosses val="max"/>
        <c:crossBetween val="between"/>
      </c:valAx>
      <c:catAx>
        <c:axId val="134987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98787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[θ]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[f]</c:v>
                </c:pt>
              </c:strCache>
            </c:strRef>
          </c:cat>
          <c:val>
            <c:numRef>
              <c:f>Sheet1!$G$36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1-46B2-B34A-83AC4DC1BB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[f]</c:v>
                </c:pt>
              </c:strCache>
            </c:strRef>
          </c:cat>
          <c:val>
            <c:numRef>
              <c:f>Sheet1!$H$36</c:f>
              <c:numCache>
                <c:formatCode>0.00%</c:formatCode>
                <c:ptCount val="1"/>
                <c:pt idx="0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1-46B2-B34A-83AC4DC1B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06208"/>
        <c:axId val="1348240000"/>
      </c:barChart>
      <c:catAx>
        <c:axId val="12322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40000"/>
        <c:crosses val="autoZero"/>
        <c:auto val="1"/>
        <c:lblAlgn val="ctr"/>
        <c:lblOffset val="100"/>
        <c:noMultiLvlLbl val="0"/>
      </c:catAx>
      <c:valAx>
        <c:axId val="13482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06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Sheet1!$F$38:$F$41</c:f>
              <c:strCache>
                <c:ptCount val="4"/>
                <c:pt idx="0">
                  <c:v>[θ]</c:v>
                </c:pt>
                <c:pt idx="1">
                  <c:v>[ð]</c:v>
                </c:pt>
                <c:pt idx="2">
                  <c:v>[dˤ]</c:v>
                </c:pt>
                <c:pt idx="3">
                  <c:v>[tʰ]</c:v>
                </c:pt>
              </c:strCache>
            </c:strRef>
          </c:cat>
          <c:val>
            <c:numRef>
              <c:f>Sheet1!$G$38:$G$41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1-4745-9E81-A894C32D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215392"/>
        <c:axId val="13502145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Sheet1!$F$38:$F$41</c:f>
              <c:strCache>
                <c:ptCount val="4"/>
                <c:pt idx="0">
                  <c:v>[θ]</c:v>
                </c:pt>
                <c:pt idx="1">
                  <c:v>[ð]</c:v>
                </c:pt>
                <c:pt idx="2">
                  <c:v>[dˤ]</c:v>
                </c:pt>
                <c:pt idx="3">
                  <c:v>[tʰ]</c:v>
                </c:pt>
              </c:strCache>
            </c:strRef>
          </c:cat>
          <c:val>
            <c:numRef>
              <c:f>Sheet1!$H$38:$H$41</c:f>
              <c:numCache>
                <c:formatCode>0.00%</c:formatCode>
                <c:ptCount val="4"/>
                <c:pt idx="0">
                  <c:v>0.16666666666666666</c:v>
                </c:pt>
                <c:pt idx="1">
                  <c:v>0.1111111111111111</c:v>
                </c:pt>
                <c:pt idx="2">
                  <c:v>5.5555555555555552E-2</c:v>
                </c:pt>
                <c:pt idx="3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1-4745-9E81-A894C32D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64704"/>
        <c:axId val="1350692080"/>
      </c:lineChart>
      <c:catAx>
        <c:axId val="13502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4560"/>
        <c:crosses val="autoZero"/>
        <c:auto val="1"/>
        <c:lblAlgn val="ctr"/>
        <c:lblOffset val="100"/>
        <c:noMultiLvlLbl val="0"/>
      </c:catAx>
      <c:valAx>
        <c:axId val="13502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5392"/>
        <c:crosses val="autoZero"/>
        <c:crossBetween val="between"/>
      </c:valAx>
      <c:valAx>
        <c:axId val="13506920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64704"/>
        <c:crosses val="max"/>
        <c:crossBetween val="between"/>
      </c:valAx>
      <c:catAx>
        <c:axId val="1348364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06920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Sheet1!$F$43:$F$45</c:f>
              <c:strCache>
                <c:ptCount val="3"/>
                <c:pt idx="0">
                  <c:v>[d]</c:v>
                </c:pt>
                <c:pt idx="1">
                  <c:v>[l]</c:v>
                </c:pt>
                <c:pt idx="2">
                  <c:v>[d͡z]</c:v>
                </c:pt>
              </c:strCache>
            </c:strRef>
          </c:cat>
          <c:val>
            <c:numRef>
              <c:f>Sheet1!$G$43:$G$45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45F-93D1-D8441443B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271728"/>
        <c:axId val="141626715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Sheet1!$F$43:$F$45</c:f>
              <c:strCache>
                <c:ptCount val="3"/>
                <c:pt idx="0">
                  <c:v>[d]</c:v>
                </c:pt>
                <c:pt idx="1">
                  <c:v>[l]</c:v>
                </c:pt>
                <c:pt idx="2">
                  <c:v>[d͡z]</c:v>
                </c:pt>
              </c:strCache>
            </c:strRef>
          </c:cat>
          <c:val>
            <c:numRef>
              <c:f>Sheet1!$H$43:$H$45</c:f>
              <c:numCache>
                <c:formatCode>0.00%</c:formatCode>
                <c:ptCount val="3"/>
                <c:pt idx="0">
                  <c:v>0.10256410256410256</c:v>
                </c:pt>
                <c:pt idx="1">
                  <c:v>2.564102564102564E-2</c:v>
                </c:pt>
                <c:pt idx="2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4-445F-93D1-D8441443B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270064"/>
        <c:axId val="1416267984"/>
      </c:lineChart>
      <c:catAx>
        <c:axId val="141627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267152"/>
        <c:crosses val="autoZero"/>
        <c:auto val="1"/>
        <c:lblAlgn val="ctr"/>
        <c:lblOffset val="100"/>
        <c:noMultiLvlLbl val="0"/>
      </c:catAx>
      <c:valAx>
        <c:axId val="141626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271728"/>
        <c:crosses val="autoZero"/>
        <c:crossBetween val="between"/>
      </c:valAx>
      <c:valAx>
        <c:axId val="14162679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270064"/>
        <c:crosses val="max"/>
        <c:crossBetween val="between"/>
      </c:valAx>
      <c:catAx>
        <c:axId val="141627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6267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Sheet1!$G$47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5-4A8E-BB85-0821C1F93E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Sheet1!$H$47</c:f>
              <c:numCache>
                <c:formatCode>0.00%</c:formatCode>
                <c:ptCount val="1"/>
                <c:pt idx="0">
                  <c:v>0.74725274725274726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5-4A8E-BB85-0821C1F9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703264"/>
        <c:axId val="1226703680"/>
      </c:barChart>
      <c:catAx>
        <c:axId val="12267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03680"/>
        <c:crosses val="autoZero"/>
        <c:auto val="1"/>
        <c:lblAlgn val="ctr"/>
        <c:lblOffset val="100"/>
        <c:noMultiLvlLbl val="0"/>
      </c:catAx>
      <c:valAx>
        <c:axId val="12267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03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Sheet1!$F$49:$F$54</c:f>
              <c:strCache>
                <c:ptCount val="6"/>
                <c:pt idx="0">
                  <c:v>[t͡ʃ]</c:v>
                </c:pt>
                <c:pt idx="1">
                  <c:v>[d͡ʒ̥]</c:v>
                </c:pt>
                <c:pt idx="2">
                  <c:v>[t]</c:v>
                </c:pt>
                <c:pt idx="3">
                  <c:v>[χ]</c:v>
                </c:pt>
                <c:pt idx="4">
                  <c:v>[h]</c:v>
                </c:pt>
                <c:pt idx="5">
                  <c:v>[ʒ]</c:v>
                </c:pt>
              </c:strCache>
            </c:strRef>
          </c:cat>
          <c:val>
            <c:numRef>
              <c:f>Sheet1!$G$49:$G$54</c:f>
              <c:numCache>
                <c:formatCode>General</c:formatCode>
                <c:ptCount val="6"/>
                <c:pt idx="0">
                  <c:v>25</c:v>
                </c:pt>
                <c:pt idx="1">
                  <c:v>23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3-4F07-A7F5-14C17874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890208"/>
        <c:axId val="135788771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Sheet1!$F$49:$F$54</c:f>
              <c:strCache>
                <c:ptCount val="6"/>
                <c:pt idx="0">
                  <c:v>[t͡ʃ]</c:v>
                </c:pt>
                <c:pt idx="1">
                  <c:v>[d͡ʒ̥]</c:v>
                </c:pt>
                <c:pt idx="2">
                  <c:v>[t]</c:v>
                </c:pt>
                <c:pt idx="3">
                  <c:v>[χ]</c:v>
                </c:pt>
                <c:pt idx="4">
                  <c:v>[h]</c:v>
                </c:pt>
                <c:pt idx="5">
                  <c:v>[ʒ]</c:v>
                </c:pt>
              </c:strCache>
            </c:strRef>
          </c:cat>
          <c:val>
            <c:numRef>
              <c:f>Sheet1!$H$49:$H$54</c:f>
              <c:numCache>
                <c:formatCode>0.00%</c:formatCode>
                <c:ptCount val="6"/>
                <c:pt idx="0">
                  <c:v>0.32051282051282054</c:v>
                </c:pt>
                <c:pt idx="1">
                  <c:v>0.29487179487179488</c:v>
                </c:pt>
                <c:pt idx="2">
                  <c:v>2.564102564102564E-2</c:v>
                </c:pt>
                <c:pt idx="3">
                  <c:v>1.282051282051282E-2</c:v>
                </c:pt>
                <c:pt idx="4">
                  <c:v>1.282051282051282E-2</c:v>
                </c:pt>
                <c:pt idx="5">
                  <c:v>1.282051282051282E-2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3-4F07-A7F5-14C17874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239168"/>
        <c:axId val="1348239584"/>
      </c:lineChart>
      <c:catAx>
        <c:axId val="13578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87712"/>
        <c:crosses val="autoZero"/>
        <c:auto val="1"/>
        <c:lblAlgn val="ctr"/>
        <c:lblOffset val="100"/>
        <c:noMultiLvlLbl val="0"/>
      </c:catAx>
      <c:valAx>
        <c:axId val="13578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90208"/>
        <c:crosses val="autoZero"/>
        <c:crossBetween val="between"/>
      </c:valAx>
      <c:valAx>
        <c:axId val="13482395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39168"/>
        <c:crosses val="max"/>
        <c:crossBetween val="between"/>
      </c:valAx>
      <c:catAx>
        <c:axId val="1348239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82395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Sheet1!$F$57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Sheet1!$G$57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8-411B-BCC3-87019B15F9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Sheet1!$F$57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Sheet1!$H$57</c:f>
              <c:numCache>
                <c:formatCode>0.00%</c:formatCode>
                <c:ptCount val="1"/>
                <c:pt idx="0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8-411B-BCC3-87019B15F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769184"/>
        <c:axId val="1230769600"/>
      </c:barChart>
      <c:catAx>
        <c:axId val="12307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69600"/>
        <c:crosses val="autoZero"/>
        <c:auto val="1"/>
        <c:lblAlgn val="ctr"/>
        <c:lblOffset val="100"/>
        <c:noMultiLvlLbl val="0"/>
      </c:catAx>
      <c:valAx>
        <c:axId val="12307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6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Sheet1!$G$59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C-4649-AD26-3DA5ACD274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Sheet1!$F$59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Sheet1!$H$59</c:f>
              <c:numCache>
                <c:formatCode>0.00%</c:formatCode>
                <c:ptCount val="1"/>
                <c:pt idx="0">
                  <c:v>7.5471698113207544E-2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C-4649-AD26-3DA5ACD27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992704"/>
        <c:axId val="1353991040"/>
      </c:barChart>
      <c:catAx>
        <c:axId val="13539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91040"/>
        <c:crosses val="autoZero"/>
        <c:auto val="1"/>
        <c:lblAlgn val="ctr"/>
        <c:lblOffset val="100"/>
        <c:noMultiLvlLbl val="0"/>
      </c:catAx>
      <c:valAx>
        <c:axId val="13539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92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Sheet1!$F$61:$F$63</c:f>
              <c:strCache>
                <c:ptCount val="3"/>
                <c:pt idx="0">
                  <c:v>[ħ]</c:v>
                </c:pt>
                <c:pt idx="1">
                  <c:v>[h]</c:v>
                </c:pt>
                <c:pt idx="2">
                  <c:v>[d͡ʒ]</c:v>
                </c:pt>
              </c:strCache>
            </c:strRef>
          </c:cat>
          <c:val>
            <c:numRef>
              <c:f>Sheet1!$G$61:$G$63</c:f>
              <c:numCache>
                <c:formatCode>General</c:formatCode>
                <c:ptCount val="3"/>
                <c:pt idx="0">
                  <c:v>16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3-4F8D-B5F9-DCE7CDF6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172208"/>
        <c:axId val="135069457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Sheet1!$F$61:$F$63</c:f>
              <c:strCache>
                <c:ptCount val="3"/>
                <c:pt idx="0">
                  <c:v>[ħ]</c:v>
                </c:pt>
                <c:pt idx="1">
                  <c:v>[h]</c:v>
                </c:pt>
                <c:pt idx="2">
                  <c:v>[d͡ʒ]</c:v>
                </c:pt>
              </c:strCache>
            </c:strRef>
          </c:cat>
          <c:val>
            <c:numRef>
              <c:f>Sheet1!$H$61:$H$63</c:f>
              <c:numCache>
                <c:formatCode>0.00%</c:formatCode>
                <c:ptCount val="3"/>
                <c:pt idx="0">
                  <c:v>0.35555555555555557</c:v>
                </c:pt>
                <c:pt idx="1">
                  <c:v>8.8888888888888892E-2</c:v>
                </c:pt>
                <c:pt idx="2">
                  <c:v>2.2222222222222223E-2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3-4F8D-B5F9-DCE7CDF6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548960"/>
        <c:axId val="1230770016"/>
      </c:lineChart>
      <c:catAx>
        <c:axId val="14131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94576"/>
        <c:crosses val="autoZero"/>
        <c:auto val="1"/>
        <c:lblAlgn val="ctr"/>
        <c:lblOffset val="100"/>
        <c:noMultiLvlLbl val="0"/>
      </c:catAx>
      <c:valAx>
        <c:axId val="13506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72208"/>
        <c:crosses val="autoZero"/>
        <c:crossBetween val="between"/>
      </c:valAx>
      <c:valAx>
        <c:axId val="12307700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48960"/>
        <c:crosses val="max"/>
        <c:crossBetween val="between"/>
      </c:valAx>
      <c:catAx>
        <c:axId val="1424548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07700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3004629629629633"/>
          <c:w val="0.81732414698162725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Sheet1!$F$65:$F$68</c:f>
              <c:strCache>
                <c:ptCount val="4"/>
                <c:pt idx="0">
                  <c:v>[ʔ]</c:v>
                </c:pt>
                <c:pt idx="1">
                  <c:v>[ʕ]</c:v>
                </c:pt>
                <c:pt idx="2">
                  <c:v>[w]</c:v>
                </c:pt>
                <c:pt idx="3">
                  <c:v>[-]</c:v>
                </c:pt>
              </c:strCache>
            </c:strRef>
          </c:cat>
          <c:val>
            <c:numRef>
              <c:f>Sheet1!$G$65:$G$68</c:f>
              <c:numCache>
                <c:formatCode>General</c:formatCode>
                <c:ptCount val="4"/>
                <c:pt idx="0">
                  <c:v>28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9-4DC9-8D0A-06DB0BD4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189136"/>
        <c:axId val="13481912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Sheet1!$F$65:$F$68</c:f>
              <c:strCache>
                <c:ptCount val="4"/>
                <c:pt idx="0">
                  <c:v>[ʔ]</c:v>
                </c:pt>
                <c:pt idx="1">
                  <c:v>[ʕ]</c:v>
                </c:pt>
                <c:pt idx="2">
                  <c:v>[w]</c:v>
                </c:pt>
                <c:pt idx="3">
                  <c:v>[-]</c:v>
                </c:pt>
              </c:strCache>
            </c:strRef>
          </c:cat>
          <c:val>
            <c:numRef>
              <c:f>Sheet1!$H$65:$H$68</c:f>
              <c:numCache>
                <c:formatCode>0.00%</c:formatCode>
                <c:ptCount val="4"/>
                <c:pt idx="0">
                  <c:v>0.65116279069767447</c:v>
                </c:pt>
                <c:pt idx="1">
                  <c:v>6.9767441860465115E-2</c:v>
                </c:pt>
                <c:pt idx="2">
                  <c:v>4.6511627906976744E-2</c:v>
                </c:pt>
                <c:pt idx="3">
                  <c:v>2.3255813953488372E-2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9-4DC9-8D0A-06DB0BD4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189552"/>
        <c:axId val="1348189968"/>
      </c:lineChart>
      <c:catAx>
        <c:axId val="13481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91216"/>
        <c:crosses val="autoZero"/>
        <c:auto val="1"/>
        <c:lblAlgn val="ctr"/>
        <c:lblOffset val="100"/>
        <c:noMultiLvlLbl val="0"/>
      </c:catAx>
      <c:valAx>
        <c:axId val="13481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89136"/>
        <c:crosses val="autoZero"/>
        <c:crossBetween val="between"/>
      </c:valAx>
      <c:valAx>
        <c:axId val="134818996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89552"/>
        <c:crosses val="max"/>
        <c:crossBetween val="between"/>
      </c:valAx>
      <c:catAx>
        <c:axId val="1348189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81899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Sheet1!$F$70:$F$76</c:f>
              <c:strCache>
                <c:ptCount val="7"/>
                <c:pt idx="0">
                  <c:v>[ʔ]</c:v>
                </c:pt>
                <c:pt idx="1">
                  <c:v>[ɣ]</c:v>
                </c:pt>
                <c:pt idx="2">
                  <c:v>[l]</c:v>
                </c:pt>
                <c:pt idx="3">
                  <c:v>[m]</c:v>
                </c:pt>
                <c:pt idx="4">
                  <c:v>[r]</c:v>
                </c:pt>
                <c:pt idx="5">
                  <c:v>[m]</c:v>
                </c:pt>
                <c:pt idx="6">
                  <c:v>[l]</c:v>
                </c:pt>
              </c:strCache>
            </c:strRef>
          </c:cat>
          <c:val>
            <c:numRef>
              <c:f>Sheet1!$G$70:$G$76</c:f>
              <c:numCache>
                <c:formatCode>General</c:formatCode>
                <c:ptCount val="7"/>
                <c:pt idx="0">
                  <c:v>69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B-4557-AF14-ABE4E9469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53152"/>
        <c:axId val="141975356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Sheet1!$F$70:$F$76</c:f>
              <c:strCache>
                <c:ptCount val="7"/>
                <c:pt idx="0">
                  <c:v>[ʔ]</c:v>
                </c:pt>
                <c:pt idx="1">
                  <c:v>[ɣ]</c:v>
                </c:pt>
                <c:pt idx="2">
                  <c:v>[l]</c:v>
                </c:pt>
                <c:pt idx="3">
                  <c:v>[m]</c:v>
                </c:pt>
                <c:pt idx="4">
                  <c:v>[r]</c:v>
                </c:pt>
                <c:pt idx="5">
                  <c:v>[m]</c:v>
                </c:pt>
                <c:pt idx="6">
                  <c:v>[l]</c:v>
                </c:pt>
              </c:strCache>
            </c:strRef>
          </c:cat>
          <c:val>
            <c:numRef>
              <c:f>Sheet1!$H$70:$H$76</c:f>
              <c:numCache>
                <c:formatCode>0.00%</c:formatCode>
                <c:ptCount val="7"/>
                <c:pt idx="0">
                  <c:v>0.59482758620689657</c:v>
                </c:pt>
                <c:pt idx="1">
                  <c:v>2.5862068965517241E-2</c:v>
                </c:pt>
                <c:pt idx="2">
                  <c:v>8.6206896551724137E-3</c:v>
                </c:pt>
                <c:pt idx="3">
                  <c:v>8.6206896551724137E-3</c:v>
                </c:pt>
                <c:pt idx="4">
                  <c:v>8.6206896551724137E-3</c:v>
                </c:pt>
                <c:pt idx="5">
                  <c:v>8.6206896551724137E-3</c:v>
                </c:pt>
                <c:pt idx="6">
                  <c:v>8.6206896551724137E-3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B-4557-AF14-ABE4E9469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752736"/>
        <c:axId val="1419752320"/>
      </c:lineChart>
      <c:catAx>
        <c:axId val="14197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53568"/>
        <c:crosses val="autoZero"/>
        <c:auto val="1"/>
        <c:lblAlgn val="ctr"/>
        <c:lblOffset val="100"/>
        <c:noMultiLvlLbl val="0"/>
      </c:catAx>
      <c:valAx>
        <c:axId val="14197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53152"/>
        <c:crosses val="autoZero"/>
        <c:crossBetween val="between"/>
      </c:valAx>
      <c:valAx>
        <c:axId val="14197523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52736"/>
        <c:crosses val="max"/>
        <c:crossBetween val="between"/>
      </c:valAx>
      <c:catAx>
        <c:axId val="1419752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97523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[ħ]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Sheet1!$F$78:$F$79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Sheet1!$G$78:$G$79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1-4EED-8514-F92E672B8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730560"/>
        <c:axId val="142473097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Sheet1!$F$78:$F$79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Sheet1!$H$78:$H$79</c:f>
              <c:numCache>
                <c:formatCode>0.00%</c:formatCode>
                <c:ptCount val="2"/>
                <c:pt idx="0">
                  <c:v>0.19277108433734941</c:v>
                </c:pt>
                <c:pt idx="1">
                  <c:v>0.12048192771084337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1-4EED-8514-F92E672B8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728064"/>
        <c:axId val="1424731392"/>
      </c:lineChart>
      <c:catAx>
        <c:axId val="14247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30976"/>
        <c:crosses val="autoZero"/>
        <c:auto val="1"/>
        <c:lblAlgn val="ctr"/>
        <c:lblOffset val="100"/>
        <c:noMultiLvlLbl val="0"/>
      </c:catAx>
      <c:valAx>
        <c:axId val="142473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30560"/>
        <c:crosses val="autoZero"/>
        <c:crossBetween val="between"/>
      </c:valAx>
      <c:valAx>
        <c:axId val="14247313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28064"/>
        <c:crosses val="max"/>
        <c:crossBetween val="between"/>
      </c:valAx>
      <c:catAx>
        <c:axId val="1424728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47313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>
        <c:manualLayout>
          <c:xMode val="edge"/>
          <c:yMode val="edge"/>
          <c:x val="0.46227077865266852"/>
          <c:y val="4.1745715996552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Sheet1!$F$81:$F$82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Sheet1!$G$81:$G$82</c:f>
              <c:numCache>
                <c:formatCode>General</c:formatCode>
                <c:ptCount val="2"/>
                <c:pt idx="0">
                  <c:v>30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C-46D3-BA42-80A24E5FF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564336"/>
        <c:axId val="135856350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Sheet1!$F$81:$F$82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Sheet1!$H$81:$H$82</c:f>
              <c:numCache>
                <c:formatCode>0.00%</c:formatCode>
                <c:ptCount val="2"/>
                <c:pt idx="0">
                  <c:v>0.35294117647058826</c:v>
                </c:pt>
                <c:pt idx="1">
                  <c:v>0.21176470588235294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C-46D3-BA42-80A24E5FF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564752"/>
        <c:axId val="1358561840"/>
      </c:lineChart>
      <c:catAx>
        <c:axId val="135856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63504"/>
        <c:crosses val="autoZero"/>
        <c:auto val="1"/>
        <c:lblAlgn val="ctr"/>
        <c:lblOffset val="100"/>
        <c:noMultiLvlLbl val="0"/>
      </c:catAx>
      <c:valAx>
        <c:axId val="13585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64336"/>
        <c:crosses val="autoZero"/>
        <c:crossBetween val="between"/>
      </c:valAx>
      <c:valAx>
        <c:axId val="13585618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64752"/>
        <c:crosses val="max"/>
        <c:crossBetween val="between"/>
      </c:valAx>
      <c:catAx>
        <c:axId val="1358564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85618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Sheet1!$F$84:$F$89</c:f>
              <c:strCache>
                <c:ptCount val="6"/>
                <c:pt idx="0">
                  <c:v>[ʔ]</c:v>
                </c:pt>
                <c:pt idx="1">
                  <c:v>[ʕ]</c:v>
                </c:pt>
                <c:pt idx="2">
                  <c:v>[ħ]</c:v>
                </c:pt>
                <c:pt idx="3">
                  <c:v>[m]</c:v>
                </c:pt>
                <c:pt idx="4">
                  <c:v>[n]</c:v>
                </c:pt>
                <c:pt idx="5">
                  <c:v>[ʔ]</c:v>
                </c:pt>
              </c:strCache>
            </c:strRef>
          </c:cat>
          <c:val>
            <c:numRef>
              <c:f>Sheet1!$G$84:$G$89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3-4EC4-82F5-1993C134F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439696"/>
        <c:axId val="14634413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Sheet1!$F$84:$F$89</c:f>
              <c:strCache>
                <c:ptCount val="6"/>
                <c:pt idx="0">
                  <c:v>[ʔ]</c:v>
                </c:pt>
                <c:pt idx="1">
                  <c:v>[ʕ]</c:v>
                </c:pt>
                <c:pt idx="2">
                  <c:v>[ħ]</c:v>
                </c:pt>
                <c:pt idx="3">
                  <c:v>[m]</c:v>
                </c:pt>
                <c:pt idx="4">
                  <c:v>[n]</c:v>
                </c:pt>
                <c:pt idx="5">
                  <c:v>[ʔ]</c:v>
                </c:pt>
              </c:strCache>
            </c:strRef>
          </c:cat>
          <c:val>
            <c:numRef>
              <c:f>Sheet1!$H$84:$H$89</c:f>
              <c:numCache>
                <c:formatCode>0.00%</c:formatCode>
                <c:ptCount val="6"/>
                <c:pt idx="0">
                  <c:v>3.896103896103896E-2</c:v>
                </c:pt>
                <c:pt idx="1">
                  <c:v>8.658008658008658E-3</c:v>
                </c:pt>
                <c:pt idx="2">
                  <c:v>8.658008658008658E-3</c:v>
                </c:pt>
                <c:pt idx="3">
                  <c:v>4.329004329004329E-3</c:v>
                </c:pt>
                <c:pt idx="4">
                  <c:v>4.329004329004329E-3</c:v>
                </c:pt>
                <c:pt idx="5">
                  <c:v>4.329004329004329E-3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3-4EC4-82F5-1993C134F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441776"/>
        <c:axId val="1463440528"/>
      </c:lineChart>
      <c:catAx>
        <c:axId val="14634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41360"/>
        <c:crosses val="autoZero"/>
        <c:auto val="1"/>
        <c:lblAlgn val="ctr"/>
        <c:lblOffset val="100"/>
        <c:noMultiLvlLbl val="0"/>
      </c:catAx>
      <c:valAx>
        <c:axId val="14634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39696"/>
        <c:crosses val="autoZero"/>
        <c:crossBetween val="between"/>
      </c:valAx>
      <c:valAx>
        <c:axId val="146344052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41776"/>
        <c:crosses val="max"/>
        <c:crossBetween val="between"/>
      </c:valAx>
      <c:catAx>
        <c:axId val="1463441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344052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Sheet1!$F$93:$F$99</c:f>
              <c:strCache>
                <c:ptCount val="7"/>
                <c:pt idx="0">
                  <c:v>[n]</c:v>
                </c:pt>
                <c:pt idx="1">
                  <c:v>[-]</c:v>
                </c:pt>
                <c:pt idx="2">
                  <c:v>[ʔ]</c:v>
                </c:pt>
                <c:pt idx="3">
                  <c:v>[l]</c:v>
                </c:pt>
                <c:pt idx="4">
                  <c:v>[tʰ]</c:v>
                </c:pt>
                <c:pt idx="5">
                  <c:v>[ð]</c:v>
                </c:pt>
                <c:pt idx="6">
                  <c:v>[z]</c:v>
                </c:pt>
              </c:strCache>
            </c:strRef>
          </c:cat>
          <c:val>
            <c:numRef>
              <c:f>Sheet1!$G$93:$G$99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3-4FB6-8CF6-7B4E6535F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272560"/>
        <c:axId val="12182738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Sheet1!$F$93:$F$99</c:f>
              <c:strCache>
                <c:ptCount val="7"/>
                <c:pt idx="0">
                  <c:v>[n]</c:v>
                </c:pt>
                <c:pt idx="1">
                  <c:v>[-]</c:v>
                </c:pt>
                <c:pt idx="2">
                  <c:v>[ʔ]</c:v>
                </c:pt>
                <c:pt idx="3">
                  <c:v>[l]</c:v>
                </c:pt>
                <c:pt idx="4">
                  <c:v>[tʰ]</c:v>
                </c:pt>
                <c:pt idx="5">
                  <c:v>[ð]</c:v>
                </c:pt>
                <c:pt idx="6">
                  <c:v>[z]</c:v>
                </c:pt>
              </c:strCache>
            </c:strRef>
          </c:cat>
          <c:val>
            <c:numRef>
              <c:f>Sheet1!$H$93:$H$99</c:f>
              <c:numCache>
                <c:formatCode>0.00%</c:formatCode>
                <c:ptCount val="7"/>
                <c:pt idx="0">
                  <c:v>2.3529411764705882E-2</c:v>
                </c:pt>
                <c:pt idx="1">
                  <c:v>1.1764705882352941E-2</c:v>
                </c:pt>
                <c:pt idx="2">
                  <c:v>5.8823529411764705E-3</c:v>
                </c:pt>
                <c:pt idx="3">
                  <c:v>5.8823529411764705E-3</c:v>
                </c:pt>
                <c:pt idx="4">
                  <c:v>5.8823529411764705E-3</c:v>
                </c:pt>
                <c:pt idx="5">
                  <c:v>5.8823529411764705E-3</c:v>
                </c:pt>
                <c:pt idx="6">
                  <c:v>5.8823529411764705E-3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3-4FB6-8CF6-7B4E6535F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216640"/>
        <c:axId val="1350216224"/>
      </c:lineChart>
      <c:catAx>
        <c:axId val="12182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73808"/>
        <c:crosses val="autoZero"/>
        <c:auto val="1"/>
        <c:lblAlgn val="ctr"/>
        <c:lblOffset val="100"/>
        <c:noMultiLvlLbl val="0"/>
      </c:catAx>
      <c:valAx>
        <c:axId val="12182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72560"/>
        <c:crosses val="autoZero"/>
        <c:crossBetween val="between"/>
      </c:valAx>
      <c:valAx>
        <c:axId val="13502162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6640"/>
        <c:crosses val="max"/>
        <c:crossBetween val="between"/>
      </c:valAx>
      <c:catAx>
        <c:axId val="1350216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02162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Sheet1!$F$101:$F$102</c:f>
              <c:strCache>
                <c:ptCount val="2"/>
                <c:pt idx="0">
                  <c:v>[ʔ]</c:v>
                </c:pt>
                <c:pt idx="1">
                  <c:v>[d]</c:v>
                </c:pt>
              </c:strCache>
            </c:strRef>
          </c:cat>
          <c:val>
            <c:numRef>
              <c:f>Sheet1!$G$101:$G$102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1-4951-B0C6-234E4F6EC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214064"/>
        <c:axId val="122677033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Sheet1!$F$101:$F$102</c:f>
              <c:strCache>
                <c:ptCount val="2"/>
                <c:pt idx="0">
                  <c:v>[ʔ]</c:v>
                </c:pt>
                <c:pt idx="1">
                  <c:v>[d]</c:v>
                </c:pt>
              </c:strCache>
            </c:strRef>
          </c:cat>
          <c:val>
            <c:numRef>
              <c:f>Sheet1!$H$101:$H$102</c:f>
              <c:numCache>
                <c:formatCode>0.00%</c:formatCode>
                <c:ptCount val="2"/>
                <c:pt idx="0">
                  <c:v>4.7169811320754715E-3</c:v>
                </c:pt>
                <c:pt idx="1">
                  <c:v>4.7169811320754715E-3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1-4951-B0C6-234E4F6EC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771584"/>
        <c:axId val="1226771168"/>
      </c:lineChart>
      <c:catAx>
        <c:axId val="14142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70336"/>
        <c:crosses val="autoZero"/>
        <c:auto val="1"/>
        <c:lblAlgn val="ctr"/>
        <c:lblOffset val="100"/>
        <c:noMultiLvlLbl val="0"/>
      </c:catAx>
      <c:valAx>
        <c:axId val="12267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14064"/>
        <c:crosses val="autoZero"/>
        <c:crossBetween val="between"/>
      </c:valAx>
      <c:valAx>
        <c:axId val="122677116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71584"/>
        <c:crosses val="max"/>
        <c:crossBetween val="between"/>
      </c:valAx>
      <c:catAx>
        <c:axId val="1226771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67711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Sheet1!$F$104:$F$106</c:f>
              <c:strCache>
                <c:ptCount val="3"/>
                <c:pt idx="0">
                  <c:v>[pʰ]</c:v>
                </c:pt>
                <c:pt idx="1">
                  <c:v>[ʔ]</c:v>
                </c:pt>
                <c:pt idx="2">
                  <c:v>[n]</c:v>
                </c:pt>
              </c:strCache>
            </c:strRef>
          </c:cat>
          <c:val>
            <c:numRef>
              <c:f>Sheet1!$G$104:$G$106</c:f>
              <c:numCache>
                <c:formatCode>General</c:formatCode>
                <c:ptCount val="3"/>
                <c:pt idx="0">
                  <c:v>23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6-40C2-B275-F843F0C2C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442192"/>
        <c:axId val="146344094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Sheet1!$F$104:$F$106</c:f>
              <c:strCache>
                <c:ptCount val="3"/>
                <c:pt idx="0">
                  <c:v>[pʰ]</c:v>
                </c:pt>
                <c:pt idx="1">
                  <c:v>[ʔ]</c:v>
                </c:pt>
                <c:pt idx="2">
                  <c:v>[n]</c:v>
                </c:pt>
              </c:strCache>
            </c:strRef>
          </c:cat>
          <c:val>
            <c:numRef>
              <c:f>Sheet1!$H$104:$H$106</c:f>
              <c:numCache>
                <c:formatCode>0.00%</c:formatCode>
                <c:ptCount val="3"/>
                <c:pt idx="0">
                  <c:v>0.12568306010928962</c:v>
                </c:pt>
                <c:pt idx="1">
                  <c:v>5.4644808743169399E-3</c:v>
                </c:pt>
                <c:pt idx="2">
                  <c:v>5.4644808743169399E-3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6-40C2-B275-F843F0C2C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993536"/>
        <c:axId val="1353991456"/>
      </c:lineChart>
      <c:catAx>
        <c:axId val="146344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40944"/>
        <c:crosses val="autoZero"/>
        <c:auto val="1"/>
        <c:lblAlgn val="ctr"/>
        <c:lblOffset val="100"/>
        <c:noMultiLvlLbl val="0"/>
      </c:catAx>
      <c:valAx>
        <c:axId val="14634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42192"/>
        <c:crosses val="autoZero"/>
        <c:crossBetween val="between"/>
      </c:valAx>
      <c:valAx>
        <c:axId val="135399145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93536"/>
        <c:crosses val="max"/>
        <c:crossBetween val="between"/>
      </c:valAx>
      <c:catAx>
        <c:axId val="135399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39914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 tˤ]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Sheet1!$F$108:$F$111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[t͡ʃ]</c:v>
                </c:pt>
                <c:pt idx="3">
                  <c:v>[dˤ]</c:v>
                </c:pt>
              </c:strCache>
            </c:strRef>
          </c:cat>
          <c:val>
            <c:numRef>
              <c:f>Sheet1!$G$108:$G$111</c:f>
              <c:numCache>
                <c:formatCode>General</c:formatCode>
                <c:ptCount val="4"/>
                <c:pt idx="0">
                  <c:v>10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F-4154-AF62-B4FE0187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238464"/>
        <c:axId val="119824137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Sheet1!$F$108:$F$111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[t͡ʃ]</c:v>
                </c:pt>
                <c:pt idx="3">
                  <c:v>[dˤ]</c:v>
                </c:pt>
              </c:strCache>
            </c:strRef>
          </c:cat>
          <c:val>
            <c:numRef>
              <c:f>Sheet1!$H$108:$H$111</c:f>
              <c:numCache>
                <c:formatCode>0.00%</c:formatCode>
                <c:ptCount val="4"/>
                <c:pt idx="0">
                  <c:v>0.16393442622950818</c:v>
                </c:pt>
                <c:pt idx="1">
                  <c:v>4.9180327868852458E-2</c:v>
                </c:pt>
                <c:pt idx="2">
                  <c:v>1.6393442622950821E-2</c:v>
                </c:pt>
                <c:pt idx="3">
                  <c:v>1.6393442622950821E-2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F-4154-AF62-B4FE0187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248864"/>
        <c:axId val="1198249280"/>
      </c:lineChart>
      <c:catAx>
        <c:axId val="11982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41376"/>
        <c:crosses val="autoZero"/>
        <c:auto val="1"/>
        <c:lblAlgn val="ctr"/>
        <c:lblOffset val="100"/>
        <c:noMultiLvlLbl val="0"/>
      </c:catAx>
      <c:valAx>
        <c:axId val="11982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38464"/>
        <c:crosses val="autoZero"/>
        <c:crossBetween val="between"/>
      </c:valAx>
      <c:valAx>
        <c:axId val="11982492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48864"/>
        <c:crosses val="max"/>
        <c:crossBetween val="between"/>
      </c:valAx>
      <c:catAx>
        <c:axId val="1198248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82492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 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Sheet1!$F$113:$F$121</c:f>
              <c:strCache>
                <c:ptCount val="9"/>
                <c:pt idx="0">
                  <c:v>[tʰ]</c:v>
                </c:pt>
                <c:pt idx="1">
                  <c:v>[-]</c:v>
                </c:pt>
                <c:pt idx="2">
                  <c:v>[tˤ]</c:v>
                </c:pt>
                <c:pt idx="3">
                  <c:v>[r]</c:v>
                </c:pt>
                <c:pt idx="4">
                  <c:v>[d]</c:v>
                </c:pt>
                <c:pt idx="5">
                  <c:v>[b]</c:v>
                </c:pt>
                <c:pt idx="6">
                  <c:v>[b]</c:v>
                </c:pt>
                <c:pt idx="7">
                  <c:v>[g]</c:v>
                </c:pt>
                <c:pt idx="8">
                  <c:v>[b]</c:v>
                </c:pt>
              </c:strCache>
            </c:strRef>
          </c:cat>
          <c:val>
            <c:numRef>
              <c:f>Sheet1!$G$113:$G$121</c:f>
              <c:numCache>
                <c:formatCode>General</c:formatCode>
                <c:ptCount val="9"/>
                <c:pt idx="0">
                  <c:v>78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B-4682-A8C0-090A0ECB6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173312"/>
        <c:axId val="112717747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Sheet1!$F$113:$F$121</c:f>
              <c:strCache>
                <c:ptCount val="9"/>
                <c:pt idx="0">
                  <c:v>[tʰ]</c:v>
                </c:pt>
                <c:pt idx="1">
                  <c:v>[-]</c:v>
                </c:pt>
                <c:pt idx="2">
                  <c:v>[tˤ]</c:v>
                </c:pt>
                <c:pt idx="3">
                  <c:v>[r]</c:v>
                </c:pt>
                <c:pt idx="4">
                  <c:v>[d]</c:v>
                </c:pt>
                <c:pt idx="5">
                  <c:v>[b]</c:v>
                </c:pt>
                <c:pt idx="6">
                  <c:v>[b]</c:v>
                </c:pt>
                <c:pt idx="7">
                  <c:v>[g]</c:v>
                </c:pt>
                <c:pt idx="8">
                  <c:v>[b]</c:v>
                </c:pt>
              </c:strCache>
            </c:strRef>
          </c:cat>
          <c:val>
            <c:numRef>
              <c:f>Sheet1!$H$113:$H$121</c:f>
              <c:numCache>
                <c:formatCode>0.00%</c:formatCode>
                <c:ptCount val="9"/>
                <c:pt idx="0">
                  <c:v>0.52</c:v>
                </c:pt>
                <c:pt idx="1">
                  <c:v>1.3333333333333334E-2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3B-4682-A8C0-090A0ECB6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236800"/>
        <c:axId val="1127162080"/>
      </c:lineChart>
      <c:catAx>
        <c:axId val="112717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77472"/>
        <c:crosses val="autoZero"/>
        <c:auto val="1"/>
        <c:lblAlgn val="ctr"/>
        <c:lblOffset val="100"/>
        <c:noMultiLvlLbl val="0"/>
      </c:catAx>
      <c:valAx>
        <c:axId val="11271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73312"/>
        <c:crosses val="autoZero"/>
        <c:crossBetween val="between"/>
      </c:valAx>
      <c:valAx>
        <c:axId val="11271620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36800"/>
        <c:crosses val="max"/>
        <c:crossBetween val="between"/>
      </c:valAx>
      <c:catAx>
        <c:axId val="1198236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71620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Sheet1!$F$123:$F$128</c:f>
              <c:strCache>
                <c:ptCount val="6"/>
                <c:pt idx="0">
                  <c:v>[d̥]</c:v>
                </c:pt>
                <c:pt idx="1">
                  <c:v>[t]</c:v>
                </c:pt>
                <c:pt idx="2">
                  <c:v>[n]</c:v>
                </c:pt>
                <c:pt idx="3">
                  <c:v>[l]</c:v>
                </c:pt>
                <c:pt idx="4">
                  <c:v>[b]</c:v>
                </c:pt>
                <c:pt idx="5">
                  <c:v>[tʰ]</c:v>
                </c:pt>
              </c:strCache>
            </c:strRef>
          </c:cat>
          <c:val>
            <c:numRef>
              <c:f>Sheet1!$G$123:$G$128</c:f>
              <c:numCache>
                <c:formatCode>General</c:formatCode>
                <c:ptCount val="6"/>
                <c:pt idx="0">
                  <c:v>24</c:v>
                </c:pt>
                <c:pt idx="1">
                  <c:v>13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D-4C38-9A12-4F220DCDE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650752"/>
        <c:axId val="12176370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Sheet1!$F$123:$F$128</c:f>
              <c:strCache>
                <c:ptCount val="6"/>
                <c:pt idx="0">
                  <c:v>[d̥]</c:v>
                </c:pt>
                <c:pt idx="1">
                  <c:v>[t]</c:v>
                </c:pt>
                <c:pt idx="2">
                  <c:v>[n]</c:v>
                </c:pt>
                <c:pt idx="3">
                  <c:v>[l]</c:v>
                </c:pt>
                <c:pt idx="4">
                  <c:v>[b]</c:v>
                </c:pt>
                <c:pt idx="5">
                  <c:v>[tʰ]</c:v>
                </c:pt>
              </c:strCache>
            </c:strRef>
          </c:cat>
          <c:val>
            <c:numRef>
              <c:f>Sheet1!$H$123:$H$128</c:f>
              <c:numCache>
                <c:formatCode>0.00%</c:formatCode>
                <c:ptCount val="6"/>
                <c:pt idx="0">
                  <c:v>0.16666666666666666</c:v>
                </c:pt>
                <c:pt idx="1">
                  <c:v>9.0277777777777776E-2</c:v>
                </c:pt>
                <c:pt idx="2">
                  <c:v>1.3888888888888888E-2</c:v>
                </c:pt>
                <c:pt idx="3">
                  <c:v>1.3888888888888888E-2</c:v>
                </c:pt>
                <c:pt idx="4">
                  <c:v>1.3888888888888888E-2</c:v>
                </c:pt>
                <c:pt idx="5">
                  <c:v>6.9444444444444441E-3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D-4C38-9A12-4F220DCDE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641184"/>
        <c:axId val="1217647840"/>
      </c:lineChart>
      <c:catAx>
        <c:axId val="121765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37024"/>
        <c:crosses val="autoZero"/>
        <c:auto val="1"/>
        <c:lblAlgn val="ctr"/>
        <c:lblOffset val="100"/>
        <c:noMultiLvlLbl val="0"/>
      </c:catAx>
      <c:valAx>
        <c:axId val="12176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50752"/>
        <c:crosses val="autoZero"/>
        <c:crossBetween val="between"/>
      </c:valAx>
      <c:valAx>
        <c:axId val="12176478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41184"/>
        <c:crosses val="max"/>
        <c:crossBetween val="between"/>
      </c:valAx>
      <c:catAx>
        <c:axId val="121764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76478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Sheet1!$F$130:$F$133</c:f>
              <c:strCache>
                <c:ptCount val="4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[sˤ]</c:v>
                </c:pt>
              </c:strCache>
            </c:strRef>
          </c:cat>
          <c:val>
            <c:numRef>
              <c:f>Sheet1!$G$130:$G$133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4-45C8-972F-903ACE32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642016"/>
        <c:axId val="121763827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Sheet1!$F$130:$F$133</c:f>
              <c:strCache>
                <c:ptCount val="4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[sˤ]</c:v>
                </c:pt>
              </c:strCache>
            </c:strRef>
          </c:cat>
          <c:val>
            <c:numRef>
              <c:f>Sheet1!$H$130:$H$133</c:f>
              <c:numCache>
                <c:formatCode>0.00%</c:formatCode>
                <c:ptCount val="4"/>
                <c:pt idx="0">
                  <c:v>0.26666666666666666</c:v>
                </c:pt>
                <c:pt idx="1">
                  <c:v>0.1</c:v>
                </c:pt>
                <c:pt idx="2">
                  <c:v>6.6666666666666666E-2</c:v>
                </c:pt>
                <c:pt idx="3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4-45C8-972F-903ACE32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644928"/>
        <c:axId val="1217644096"/>
      </c:lineChart>
      <c:catAx>
        <c:axId val="12176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38272"/>
        <c:crosses val="autoZero"/>
        <c:auto val="1"/>
        <c:lblAlgn val="ctr"/>
        <c:lblOffset val="100"/>
        <c:noMultiLvlLbl val="0"/>
      </c:catAx>
      <c:valAx>
        <c:axId val="12176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42016"/>
        <c:crosses val="autoZero"/>
        <c:crossBetween val="between"/>
      </c:valAx>
      <c:valAx>
        <c:axId val="12176440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44928"/>
        <c:crosses val="max"/>
        <c:crossBetween val="between"/>
      </c:valAx>
      <c:catAx>
        <c:axId val="1217644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76440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Sheet1!$F$135:$F$137</c:f>
              <c:strCache>
                <c:ptCount val="3"/>
                <c:pt idx="0">
                  <c:v>[ʔ]</c:v>
                </c:pt>
                <c:pt idx="1">
                  <c:v>[l]</c:v>
                </c:pt>
                <c:pt idx="2">
                  <c:v>[l]</c:v>
                </c:pt>
              </c:strCache>
            </c:strRef>
          </c:cat>
          <c:val>
            <c:numRef>
              <c:f>Sheet1!$G$135:$G$137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D-41B9-B8E8-BAC53C66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027360"/>
        <c:axId val="11300240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Sheet1!$F$135:$F$137</c:f>
              <c:strCache>
                <c:ptCount val="3"/>
                <c:pt idx="0">
                  <c:v>[ʔ]</c:v>
                </c:pt>
                <c:pt idx="1">
                  <c:v>[l]</c:v>
                </c:pt>
                <c:pt idx="2">
                  <c:v>[l]</c:v>
                </c:pt>
              </c:strCache>
            </c:strRef>
          </c:cat>
          <c:val>
            <c:numRef>
              <c:f>Sheet1!$H$135:$H$137</c:f>
              <c:numCache>
                <c:formatCode>0.00%</c:formatCode>
                <c:ptCount val="3"/>
                <c:pt idx="0">
                  <c:v>0.02</c:v>
                </c:pt>
                <c:pt idx="1">
                  <c:v>0.01</c:v>
                </c:pt>
                <c:pt idx="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D-41B9-B8E8-BAC53C66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013632"/>
        <c:axId val="1130015296"/>
      </c:lineChart>
      <c:catAx>
        <c:axId val="11300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24032"/>
        <c:crosses val="autoZero"/>
        <c:auto val="1"/>
        <c:lblAlgn val="ctr"/>
        <c:lblOffset val="100"/>
        <c:noMultiLvlLbl val="0"/>
      </c:catAx>
      <c:valAx>
        <c:axId val="11300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27360"/>
        <c:crosses val="autoZero"/>
        <c:crossBetween val="between"/>
      </c:valAx>
      <c:valAx>
        <c:axId val="11300152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13632"/>
        <c:crosses val="max"/>
        <c:crossBetween val="between"/>
      </c:valAx>
      <c:catAx>
        <c:axId val="1130013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00152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Sheet1!$F$139:$F$140</c:f>
              <c:strCache>
                <c:ptCount val="2"/>
                <c:pt idx="0">
                  <c:v>[b]</c:v>
                </c:pt>
                <c:pt idx="1">
                  <c:v>[s]</c:v>
                </c:pt>
              </c:strCache>
            </c:strRef>
          </c:cat>
          <c:val>
            <c:numRef>
              <c:f>Sheet1!$G$139:$G$140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1-4141-826C-948068B69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674032"/>
        <c:axId val="11326669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Sheet1!$F$139:$F$140</c:f>
              <c:strCache>
                <c:ptCount val="2"/>
                <c:pt idx="0">
                  <c:v>[b]</c:v>
                </c:pt>
                <c:pt idx="1">
                  <c:v>[s]</c:v>
                </c:pt>
              </c:strCache>
            </c:strRef>
          </c:cat>
          <c:val>
            <c:numRef>
              <c:f>Sheet1!$H$139:$H$140</c:f>
              <c:numCache>
                <c:formatCode>0.00%</c:formatCode>
                <c:ptCount val="2"/>
                <c:pt idx="0">
                  <c:v>1.8181818181818181E-2</c:v>
                </c:pt>
                <c:pt idx="1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1-4141-826C-948068B69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669456"/>
        <c:axId val="1132667792"/>
      </c:lineChart>
      <c:catAx>
        <c:axId val="113267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66960"/>
        <c:crosses val="autoZero"/>
        <c:auto val="1"/>
        <c:lblAlgn val="ctr"/>
        <c:lblOffset val="100"/>
        <c:noMultiLvlLbl val="0"/>
      </c:catAx>
      <c:valAx>
        <c:axId val="11326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74032"/>
        <c:crosses val="autoZero"/>
        <c:crossBetween val="between"/>
      </c:valAx>
      <c:valAx>
        <c:axId val="11326677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69456"/>
        <c:crosses val="max"/>
        <c:crossBetween val="between"/>
      </c:valAx>
      <c:catAx>
        <c:axId val="1132669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26677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Sheet2!$C$2:$C$39</c:f>
              <c:strCache>
                <c:ptCount val="37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final consonant deletion</c:v>
                </c:pt>
                <c:pt idx="7">
                  <c:v>syllable structure process(final syllable deletion)</c:v>
                </c:pt>
                <c:pt idx="8">
                  <c:v>Glottalization(insertion of  [ʔ] phone)</c:v>
                </c:pt>
                <c:pt idx="9">
                  <c:v>germination</c:v>
                </c:pt>
                <c:pt idx="10">
                  <c:v>Vowelization</c:v>
                </c:pt>
                <c:pt idx="11">
                  <c:v>syllable structure process (weak syllable deletion)</c:v>
                </c:pt>
                <c:pt idx="12">
                  <c:v>Metathesis</c:v>
                </c:pt>
                <c:pt idx="13">
                  <c:v>syllable structure process (consonant insertion of  [d] phone)</c:v>
                </c:pt>
                <c:pt idx="14">
                  <c:v>syllable structure process(cosonant insertion of [ɻ] phone)</c:v>
                </c:pt>
                <c:pt idx="16">
                  <c:v>syllable structure process (consonant insertion of  [n] phone)</c:v>
                </c:pt>
                <c:pt idx="17">
                  <c:v>syllable structure process (first syllable deletion) </c:v>
                </c:pt>
                <c:pt idx="18">
                  <c:v>Diphthongization</c:v>
                </c:pt>
                <c:pt idx="19">
                  <c:v>Monophthongization</c:v>
                </c:pt>
                <c:pt idx="20">
                  <c:v>syllable structure process (consonant insertion of  [l] phone)</c:v>
                </c:pt>
                <c:pt idx="21">
                  <c:v>syllable structure process (consonant insertion of  [m] phone)</c:v>
                </c:pt>
                <c:pt idx="22">
                  <c:v>Nasal assimilation</c:v>
                </c:pt>
                <c:pt idx="23">
                  <c:v>Reduplication</c:v>
                </c:pt>
                <c:pt idx="24">
                  <c:v>syllable structure process (consonant insertion of  [j] phone)</c:v>
                </c:pt>
                <c:pt idx="25">
                  <c:v>syllable structure process (consonant insertion of  [w] phone)</c:v>
                </c:pt>
                <c:pt idx="26">
                  <c:v>syllable structure process (consonant insertion of  [ħ] phone)</c:v>
                </c:pt>
                <c:pt idx="27">
                  <c:v>syllable structure process (consonant insertion of  [f] phone)</c:v>
                </c:pt>
                <c:pt idx="28">
                  <c:v>syllable structure process (consonant insertion of  [ɪlf ] phones)</c:v>
                </c:pt>
                <c:pt idx="29">
                  <c:v>syllable structure process (consonant insertion of  [d] phone)</c:v>
                </c:pt>
                <c:pt idx="30">
                  <c:v>syllable structure process (consonant insertion of  r] phone)</c:v>
                </c:pt>
                <c:pt idx="31">
                  <c:v>syllable structure process (syllable insertion of  [li:] phones )</c:v>
                </c:pt>
                <c:pt idx="32">
                  <c:v>syllable structure process (syllable insertion of  [ɑk] phones )</c:v>
                </c:pt>
                <c:pt idx="33">
                  <c:v> syllable structure process (consonant insertion of  [ʃs ] phones in final position)</c:v>
                </c:pt>
                <c:pt idx="35">
                  <c:v>syllable structure process (consonant insertion of  [b] phone)</c:v>
                </c:pt>
                <c:pt idx="36">
                  <c:v>syllable structure process (consonant insertion of  [j] phone)</c:v>
                </c:pt>
              </c:strCache>
            </c:strRef>
          </c:cat>
          <c:val>
            <c:numRef>
              <c:f>Sheet2!$D$2:$D$39</c:f>
              <c:numCache>
                <c:formatCode>General</c:formatCode>
                <c:ptCount val="38"/>
                <c:pt idx="0">
                  <c:v>44</c:v>
                </c:pt>
                <c:pt idx="1">
                  <c:v>10</c:v>
                </c:pt>
                <c:pt idx="2">
                  <c:v>3</c:v>
                </c:pt>
                <c:pt idx="3">
                  <c:v>5</c:v>
                </c:pt>
                <c:pt idx="4">
                  <c:v>38</c:v>
                </c:pt>
                <c:pt idx="5">
                  <c:v>3</c:v>
                </c:pt>
                <c:pt idx="6">
                  <c:v>20</c:v>
                </c:pt>
                <c:pt idx="7">
                  <c:v>17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8</c:v>
                </c:pt>
                <c:pt idx="13">
                  <c:v>7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B-4BFC-B625-B180160C7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645760"/>
        <c:axId val="121764867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067-4949-9743-ECD48A3E5972}"/>
              </c:ext>
            </c:extLst>
          </c:dPt>
          <c:cat>
            <c:strRef>
              <c:f>Sheet2!$C$2:$C$39</c:f>
              <c:strCache>
                <c:ptCount val="37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final consonant deletion</c:v>
                </c:pt>
                <c:pt idx="7">
                  <c:v>syllable structure process(final syllable deletion)</c:v>
                </c:pt>
                <c:pt idx="8">
                  <c:v>Glottalization(insertion of  [ʔ] phone)</c:v>
                </c:pt>
                <c:pt idx="9">
                  <c:v>germination</c:v>
                </c:pt>
                <c:pt idx="10">
                  <c:v>Vowelization</c:v>
                </c:pt>
                <c:pt idx="11">
                  <c:v>syllable structure process (weak syllable deletion)</c:v>
                </c:pt>
                <c:pt idx="12">
                  <c:v>Metathesis</c:v>
                </c:pt>
                <c:pt idx="13">
                  <c:v>syllable structure process (consonant insertion of  [d] phone)</c:v>
                </c:pt>
                <c:pt idx="14">
                  <c:v>syllable structure process(cosonant insertion of [ɻ] phone)</c:v>
                </c:pt>
                <c:pt idx="16">
                  <c:v>syllable structure process (consonant insertion of  [n] phone)</c:v>
                </c:pt>
                <c:pt idx="17">
                  <c:v>syllable structure process (first syllable deletion) </c:v>
                </c:pt>
                <c:pt idx="18">
                  <c:v>Diphthongization</c:v>
                </c:pt>
                <c:pt idx="19">
                  <c:v>Monophthongization</c:v>
                </c:pt>
                <c:pt idx="20">
                  <c:v>syllable structure process (consonant insertion of  [l] phone)</c:v>
                </c:pt>
                <c:pt idx="21">
                  <c:v>syllable structure process (consonant insertion of  [m] phone)</c:v>
                </c:pt>
                <c:pt idx="22">
                  <c:v>Nasal assimilation</c:v>
                </c:pt>
                <c:pt idx="23">
                  <c:v>Reduplication</c:v>
                </c:pt>
                <c:pt idx="24">
                  <c:v>syllable structure process (consonant insertion of  [j] phone)</c:v>
                </c:pt>
                <c:pt idx="25">
                  <c:v>syllable structure process (consonant insertion of  [w] phone)</c:v>
                </c:pt>
                <c:pt idx="26">
                  <c:v>syllable structure process (consonant insertion of  [ħ] phone)</c:v>
                </c:pt>
                <c:pt idx="27">
                  <c:v>syllable structure process (consonant insertion of  [f] phone)</c:v>
                </c:pt>
                <c:pt idx="28">
                  <c:v>syllable structure process (consonant insertion of  [ɪlf ] phones)</c:v>
                </c:pt>
                <c:pt idx="29">
                  <c:v>syllable structure process (consonant insertion of  [d] phone)</c:v>
                </c:pt>
                <c:pt idx="30">
                  <c:v>syllable structure process (consonant insertion of  r] phone)</c:v>
                </c:pt>
                <c:pt idx="31">
                  <c:v>syllable structure process (syllable insertion of  [li:] phones )</c:v>
                </c:pt>
                <c:pt idx="32">
                  <c:v>syllable structure process (syllable insertion of  [ɑk] phones )</c:v>
                </c:pt>
                <c:pt idx="33">
                  <c:v> syllable structure process (consonant insertion of  [ʃs ] phones in final position)</c:v>
                </c:pt>
                <c:pt idx="35">
                  <c:v>syllable structure process (consonant insertion of  [b] phone)</c:v>
                </c:pt>
                <c:pt idx="36">
                  <c:v>syllable structure process (consonant insertion of  [j] phone)</c:v>
                </c:pt>
              </c:strCache>
            </c:strRef>
          </c:cat>
          <c:val>
            <c:numRef>
              <c:f>Sheet2!$E$2:$E$39</c:f>
              <c:numCache>
                <c:formatCode>0.00%</c:formatCode>
                <c:ptCount val="38"/>
                <c:pt idx="0">
                  <c:v>0.53658536585365857</c:v>
                </c:pt>
                <c:pt idx="1">
                  <c:v>3.90625E-2</c:v>
                </c:pt>
                <c:pt idx="2">
                  <c:v>1.171875E-2</c:v>
                </c:pt>
                <c:pt idx="3">
                  <c:v>1.953125E-2</c:v>
                </c:pt>
                <c:pt idx="4">
                  <c:v>0.1484375</c:v>
                </c:pt>
                <c:pt idx="5">
                  <c:v>1.171875E-2</c:v>
                </c:pt>
                <c:pt idx="6">
                  <c:v>4.6296296296296294E-2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B-4BFC-B625-B180160C7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649504"/>
        <c:axId val="1217638688"/>
      </c:lineChart>
      <c:catAx>
        <c:axId val="12176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48672"/>
        <c:crosses val="autoZero"/>
        <c:auto val="1"/>
        <c:lblAlgn val="ctr"/>
        <c:lblOffset val="100"/>
        <c:noMultiLvlLbl val="0"/>
      </c:catAx>
      <c:valAx>
        <c:axId val="12176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45760"/>
        <c:crosses val="autoZero"/>
        <c:crossBetween val="between"/>
      </c:valAx>
      <c:valAx>
        <c:axId val="1217638688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217649504"/>
        <c:crosses val="max"/>
        <c:crossBetween val="between"/>
      </c:valAx>
      <c:catAx>
        <c:axId val="1217649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76386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Sheet3!$C$2:$C$22</c:f>
              <c:strCache>
                <c:ptCount val="21"/>
                <c:pt idx="0">
                  <c:v>misreading</c:v>
                </c:pt>
                <c:pt idx="1">
                  <c:v>consonant deletion  of [ʔ] phone affected by colloquial Arabic</c:v>
                </c:pt>
                <c:pt idx="2">
                  <c:v>replace the Modern Standard Arabic diphthong [æw]with the colloquial arabic vowel[o:]</c:v>
                </c:pt>
                <c:pt idx="3">
                  <c:v>Deletion of feminine marker</c:v>
                </c:pt>
                <c:pt idx="4">
                  <c:v>replace the Modern Standard Arabic diphthong [æj]with the colloquial arabic vowel[e:]</c:v>
                </c:pt>
                <c:pt idx="5">
                  <c:v>replace feminine with masculine</c:v>
                </c:pt>
                <c:pt idx="6">
                  <c:v>replace  [j]with  [i:] affected by colloquial Arabic</c:v>
                </c:pt>
                <c:pt idx="7">
                  <c:v>Definite Article deletion</c:v>
                </c:pt>
                <c:pt idx="8">
                  <c:v>replace the Modern Standard Arabic diphthong [ ɑj]with the colloquial arabic vowel[e:]</c:v>
                </c:pt>
                <c:pt idx="9">
                  <c:v>replace the Modern Standard Arabic consonant [ð]with the colloquial arabic consonant [z]</c:v>
                </c:pt>
                <c:pt idx="10">
                  <c:v>replace  [ʔ]with  [j] affected by colloquial arabic</c:v>
                </c:pt>
                <c:pt idx="11">
                  <c:v>replace masculine  with feminine</c:v>
                </c:pt>
                <c:pt idx="12">
                  <c:v>replace the Modern Standard Arabic diphthong [æw]with the colloquial arabic vowel[u:]</c:v>
                </c:pt>
                <c:pt idx="13">
                  <c:v>replace plural noun with singular noun</c:v>
                </c:pt>
                <c:pt idx="14">
                  <c:v>insertion of  Definite Article</c:v>
                </c:pt>
                <c:pt idx="15">
                  <c:v>replace the Modern Standard Arabic diphthong [ɑw]with the colloquial arabic vowel[o:]</c:v>
                </c:pt>
                <c:pt idx="16">
                  <c:v>replace the Modern Standard Arabic consonant [q]with the colloquial arabic consonant [ʔ]</c:v>
                </c:pt>
                <c:pt idx="17">
                  <c:v>replace the Modern Standard Arabic consonant [ðˤ]with the colloquial arabic consonant [zˤ]</c:v>
                </c:pt>
                <c:pt idx="18">
                  <c:v>replace the Modern Standard Arabic consonant [ð]with the colloquial arabic consonant [d]</c:v>
                </c:pt>
                <c:pt idx="19">
                  <c:v>replace  the subject  with place</c:v>
                </c:pt>
                <c:pt idx="20">
                  <c:v>replace the Modern Standard Arabic noun with the Colloquial Arabic one</c:v>
                </c:pt>
              </c:strCache>
            </c:strRef>
          </c:cat>
          <c:val>
            <c:numRef>
              <c:f>Sheet3!$D$2:$D$22</c:f>
              <c:numCache>
                <c:formatCode>General</c:formatCode>
                <c:ptCount val="21"/>
                <c:pt idx="0">
                  <c:v>28</c:v>
                </c:pt>
                <c:pt idx="1">
                  <c:v>15</c:v>
                </c:pt>
                <c:pt idx="2">
                  <c:v>14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C-46FC-A0DD-77C59894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650336"/>
        <c:axId val="12176391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Sheet3!$C$2:$C$22</c:f>
              <c:strCache>
                <c:ptCount val="21"/>
                <c:pt idx="0">
                  <c:v>misreading</c:v>
                </c:pt>
                <c:pt idx="1">
                  <c:v>consonant deletion  of [ʔ] phone affected by colloquial Arabic</c:v>
                </c:pt>
                <c:pt idx="2">
                  <c:v>replace the Modern Standard Arabic diphthong [æw]with the colloquial arabic vowel[o:]</c:v>
                </c:pt>
                <c:pt idx="3">
                  <c:v>Deletion of feminine marker</c:v>
                </c:pt>
                <c:pt idx="4">
                  <c:v>replace the Modern Standard Arabic diphthong [æj]with the colloquial arabic vowel[e:]</c:v>
                </c:pt>
                <c:pt idx="5">
                  <c:v>replace feminine with masculine</c:v>
                </c:pt>
                <c:pt idx="6">
                  <c:v>replace  [j]with  [i:] affected by colloquial Arabic</c:v>
                </c:pt>
                <c:pt idx="7">
                  <c:v>Definite Article deletion</c:v>
                </c:pt>
                <c:pt idx="8">
                  <c:v>replace the Modern Standard Arabic diphthong [ ɑj]with the colloquial arabic vowel[e:]</c:v>
                </c:pt>
                <c:pt idx="9">
                  <c:v>replace the Modern Standard Arabic consonant [ð]with the colloquial arabic consonant [z]</c:v>
                </c:pt>
                <c:pt idx="10">
                  <c:v>replace  [ʔ]with  [j] affected by colloquial arabic</c:v>
                </c:pt>
                <c:pt idx="11">
                  <c:v>replace masculine  with feminine</c:v>
                </c:pt>
                <c:pt idx="12">
                  <c:v>replace the Modern Standard Arabic diphthong [æw]with the colloquial arabic vowel[u:]</c:v>
                </c:pt>
                <c:pt idx="13">
                  <c:v>replace plural noun with singular noun</c:v>
                </c:pt>
                <c:pt idx="14">
                  <c:v>insertion of  Definite Article</c:v>
                </c:pt>
                <c:pt idx="15">
                  <c:v>replace the Modern Standard Arabic diphthong [ɑw]with the colloquial arabic vowel[o:]</c:v>
                </c:pt>
                <c:pt idx="16">
                  <c:v>replace the Modern Standard Arabic consonant [q]with the colloquial arabic consonant [ʔ]</c:v>
                </c:pt>
                <c:pt idx="17">
                  <c:v>replace the Modern Standard Arabic consonant [ðˤ]with the colloquial arabic consonant [zˤ]</c:v>
                </c:pt>
                <c:pt idx="18">
                  <c:v>replace the Modern Standard Arabic consonant [ð]with the colloquial arabic consonant [d]</c:v>
                </c:pt>
                <c:pt idx="19">
                  <c:v>replace  the subject  with place</c:v>
                </c:pt>
                <c:pt idx="20">
                  <c:v>replace the Modern Standard Arabic noun with the Colloquial Arabic one</c:v>
                </c:pt>
              </c:strCache>
            </c:strRef>
          </c:cat>
          <c:val>
            <c:numRef>
              <c:f>Sheet3!$E$2:$E$22</c:f>
              <c:numCache>
                <c:formatCode>0.00%</c:formatCode>
                <c:ptCount val="21"/>
                <c:pt idx="2">
                  <c:v>0.3783783783783784</c:v>
                </c:pt>
                <c:pt idx="4">
                  <c:v>0.19230769230769232</c:v>
                </c:pt>
                <c:pt idx="7">
                  <c:v>1.9867549668874173E-2</c:v>
                </c:pt>
                <c:pt idx="8">
                  <c:v>0.33333333333333331</c:v>
                </c:pt>
                <c:pt idx="12">
                  <c:v>5.4054054054054057E-2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C-46FC-A0DD-77C59894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642848"/>
        <c:axId val="1217640352"/>
      </c:lineChart>
      <c:catAx>
        <c:axId val="12176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39104"/>
        <c:crosses val="autoZero"/>
        <c:auto val="1"/>
        <c:lblAlgn val="ctr"/>
        <c:lblOffset val="100"/>
        <c:noMultiLvlLbl val="0"/>
      </c:catAx>
      <c:valAx>
        <c:axId val="12176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650336"/>
        <c:crosses val="autoZero"/>
        <c:crossBetween val="between"/>
      </c:valAx>
      <c:valAx>
        <c:axId val="1217640352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217642848"/>
        <c:crosses val="max"/>
        <c:crossBetween val="between"/>
      </c:valAx>
      <c:catAx>
        <c:axId val="121764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76403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13854</xdr:colOff>
      <xdr:row>0</xdr:row>
      <xdr:rowOff>460664</xdr:rowOff>
    </xdr:from>
    <xdr:to>
      <xdr:col>15</xdr:col>
      <xdr:colOff>263236</xdr:colOff>
      <xdr:row>8</xdr:row>
      <xdr:rowOff>734291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31172</xdr:colOff>
      <xdr:row>10</xdr:row>
      <xdr:rowOff>41563</xdr:rowOff>
    </xdr:from>
    <xdr:to>
      <xdr:col>15</xdr:col>
      <xdr:colOff>280554</xdr:colOff>
      <xdr:row>19</xdr:row>
      <xdr:rowOff>554181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3464</xdr:colOff>
      <xdr:row>21</xdr:row>
      <xdr:rowOff>48492</xdr:rowOff>
    </xdr:from>
    <xdr:to>
      <xdr:col>15</xdr:col>
      <xdr:colOff>252846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24246</xdr:colOff>
      <xdr:row>24</xdr:row>
      <xdr:rowOff>34636</xdr:rowOff>
    </xdr:from>
    <xdr:to>
      <xdr:col>15</xdr:col>
      <xdr:colOff>273628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10391</xdr:colOff>
      <xdr:row>31</xdr:row>
      <xdr:rowOff>3464</xdr:rowOff>
    </xdr:from>
    <xdr:to>
      <xdr:col>15</xdr:col>
      <xdr:colOff>259773</xdr:colOff>
      <xdr:row>33</xdr:row>
      <xdr:rowOff>962891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10391</xdr:colOff>
      <xdr:row>35</xdr:row>
      <xdr:rowOff>10391</xdr:rowOff>
    </xdr:from>
    <xdr:to>
      <xdr:col>15</xdr:col>
      <xdr:colOff>259773</xdr:colOff>
      <xdr:row>35</xdr:row>
      <xdr:rowOff>1967346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10391</xdr:colOff>
      <xdr:row>37</xdr:row>
      <xdr:rowOff>76200</xdr:rowOff>
    </xdr:from>
    <xdr:to>
      <xdr:col>15</xdr:col>
      <xdr:colOff>259773</xdr:colOff>
      <xdr:row>41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10391</xdr:colOff>
      <xdr:row>42</xdr:row>
      <xdr:rowOff>34636</xdr:rowOff>
    </xdr:from>
    <xdr:to>
      <xdr:col>15</xdr:col>
      <xdr:colOff>259773</xdr:colOff>
      <xdr:row>44</xdr:row>
      <xdr:rowOff>1108363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17318</xdr:colOff>
      <xdr:row>46</xdr:row>
      <xdr:rowOff>13855</xdr:rowOff>
    </xdr:from>
    <xdr:to>
      <xdr:col>15</xdr:col>
      <xdr:colOff>266700</xdr:colOff>
      <xdr:row>47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24245</xdr:colOff>
      <xdr:row>48</xdr:row>
      <xdr:rowOff>3462</xdr:rowOff>
    </xdr:from>
    <xdr:to>
      <xdr:col>15</xdr:col>
      <xdr:colOff>273627</xdr:colOff>
      <xdr:row>54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10391</xdr:colOff>
      <xdr:row>56</xdr:row>
      <xdr:rowOff>6927</xdr:rowOff>
    </xdr:from>
    <xdr:to>
      <xdr:col>15</xdr:col>
      <xdr:colOff>259773</xdr:colOff>
      <xdr:row>56</xdr:row>
      <xdr:rowOff>1995054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10391</xdr:colOff>
      <xdr:row>58</xdr:row>
      <xdr:rowOff>20781</xdr:rowOff>
    </xdr:from>
    <xdr:to>
      <xdr:col>15</xdr:col>
      <xdr:colOff>259773</xdr:colOff>
      <xdr:row>58</xdr:row>
      <xdr:rowOff>1641764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10391</xdr:colOff>
      <xdr:row>60</xdr:row>
      <xdr:rowOff>10389</xdr:rowOff>
    </xdr:from>
    <xdr:to>
      <xdr:col>15</xdr:col>
      <xdr:colOff>259773</xdr:colOff>
      <xdr:row>62</xdr:row>
      <xdr:rowOff>1413163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17318</xdr:colOff>
      <xdr:row>64</xdr:row>
      <xdr:rowOff>55419</xdr:rowOff>
    </xdr:from>
    <xdr:to>
      <xdr:col>15</xdr:col>
      <xdr:colOff>266700</xdr:colOff>
      <xdr:row>68</xdr:row>
      <xdr:rowOff>2771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31173</xdr:colOff>
      <xdr:row>69</xdr:row>
      <xdr:rowOff>13853</xdr:rowOff>
    </xdr:from>
    <xdr:to>
      <xdr:col>15</xdr:col>
      <xdr:colOff>280555</xdr:colOff>
      <xdr:row>75</xdr:row>
      <xdr:rowOff>1032163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10391</xdr:colOff>
      <xdr:row>77</xdr:row>
      <xdr:rowOff>3463</xdr:rowOff>
    </xdr:from>
    <xdr:to>
      <xdr:col>15</xdr:col>
      <xdr:colOff>259773</xdr:colOff>
      <xdr:row>78</xdr:row>
      <xdr:rowOff>1149927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3464</xdr:colOff>
      <xdr:row>80</xdr:row>
      <xdr:rowOff>3464</xdr:rowOff>
    </xdr:from>
    <xdr:to>
      <xdr:col>15</xdr:col>
      <xdr:colOff>252846</xdr:colOff>
      <xdr:row>81</xdr:row>
      <xdr:rowOff>955964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10391</xdr:colOff>
      <xdr:row>83</xdr:row>
      <xdr:rowOff>41562</xdr:rowOff>
    </xdr:from>
    <xdr:to>
      <xdr:col>15</xdr:col>
      <xdr:colOff>259773</xdr:colOff>
      <xdr:row>88</xdr:row>
      <xdr:rowOff>457200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24246</xdr:colOff>
      <xdr:row>92</xdr:row>
      <xdr:rowOff>6927</xdr:rowOff>
    </xdr:from>
    <xdr:to>
      <xdr:col>15</xdr:col>
      <xdr:colOff>273628</xdr:colOff>
      <xdr:row>98</xdr:row>
      <xdr:rowOff>526473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55418</xdr:colOff>
      <xdr:row>100</xdr:row>
      <xdr:rowOff>6928</xdr:rowOff>
    </xdr:from>
    <xdr:to>
      <xdr:col>15</xdr:col>
      <xdr:colOff>335973</xdr:colOff>
      <xdr:row>101</xdr:row>
      <xdr:rowOff>755073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17318</xdr:colOff>
      <xdr:row>103</xdr:row>
      <xdr:rowOff>34636</xdr:rowOff>
    </xdr:from>
    <xdr:to>
      <xdr:col>15</xdr:col>
      <xdr:colOff>266700</xdr:colOff>
      <xdr:row>105</xdr:row>
      <xdr:rowOff>976745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20782</xdr:colOff>
      <xdr:row>107</xdr:row>
      <xdr:rowOff>187036</xdr:rowOff>
    </xdr:from>
    <xdr:to>
      <xdr:col>15</xdr:col>
      <xdr:colOff>270164</xdr:colOff>
      <xdr:row>110</xdr:row>
      <xdr:rowOff>720438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41564</xdr:colOff>
      <xdr:row>112</xdr:row>
      <xdr:rowOff>24247</xdr:rowOff>
    </xdr:from>
    <xdr:to>
      <xdr:col>15</xdr:col>
      <xdr:colOff>290946</xdr:colOff>
      <xdr:row>121</xdr:row>
      <xdr:rowOff>180109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13855</xdr:colOff>
      <xdr:row>122</xdr:row>
      <xdr:rowOff>55418</xdr:rowOff>
    </xdr:from>
    <xdr:to>
      <xdr:col>15</xdr:col>
      <xdr:colOff>263237</xdr:colOff>
      <xdr:row>127</xdr:row>
      <xdr:rowOff>872837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13855</xdr:colOff>
      <xdr:row>129</xdr:row>
      <xdr:rowOff>3463</xdr:rowOff>
    </xdr:from>
    <xdr:to>
      <xdr:col>15</xdr:col>
      <xdr:colOff>263237</xdr:colOff>
      <xdr:row>132</xdr:row>
      <xdr:rowOff>602672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6927</xdr:colOff>
      <xdr:row>134</xdr:row>
      <xdr:rowOff>62345</xdr:rowOff>
    </xdr:from>
    <xdr:to>
      <xdr:col>15</xdr:col>
      <xdr:colOff>256309</xdr:colOff>
      <xdr:row>136</xdr:row>
      <xdr:rowOff>755073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34636</xdr:colOff>
      <xdr:row>138</xdr:row>
      <xdr:rowOff>20782</xdr:rowOff>
    </xdr:from>
    <xdr:to>
      <xdr:col>15</xdr:col>
      <xdr:colOff>284018</xdr:colOff>
      <xdr:row>141</xdr:row>
      <xdr:rowOff>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38100</xdr:rowOff>
    </xdr:from>
    <xdr:to>
      <xdr:col>27</xdr:col>
      <xdr:colOff>259080</xdr:colOff>
      <xdr:row>40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19</xdr:col>
      <xdr:colOff>236220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0"/>
  <sheetViews>
    <sheetView tabSelected="1" zoomScale="110" zoomScaleNormal="110" workbookViewId="0">
      <selection sqref="A1:XFD1"/>
    </sheetView>
  </sheetViews>
  <sheetFormatPr defaultRowHeight="15.6" thickTop="1" thickBottom="1" outlineLevelRow="2" x14ac:dyDescent="0.35"/>
  <cols>
    <col min="2" max="3" width="11.21875" style="12" customWidth="1"/>
    <col min="4" max="4" width="15.88671875" style="12" customWidth="1"/>
    <col min="5" max="5" width="36.21875" style="15" customWidth="1"/>
    <col min="6" max="6" width="4.77734375" style="12" customWidth="1"/>
    <col min="7" max="7" width="11" style="12" customWidth="1"/>
    <col min="8" max="8" width="7.77734375" style="108" customWidth="1"/>
    <col min="9" max="9" width="9.6640625" style="9" customWidth="1"/>
  </cols>
  <sheetData>
    <row r="1" spans="2:8" s="1" customFormat="1" ht="36.6" customHeight="1" thickTop="1" thickBot="1" x14ac:dyDescent="0.45">
      <c r="B1" s="75" t="s">
        <v>158</v>
      </c>
      <c r="C1" s="75" t="s">
        <v>223</v>
      </c>
      <c r="D1" s="75" t="s">
        <v>159</v>
      </c>
      <c r="E1" s="76" t="s">
        <v>160</v>
      </c>
      <c r="F1" s="76" t="s">
        <v>266</v>
      </c>
      <c r="G1" s="76" t="s">
        <v>225</v>
      </c>
      <c r="H1" s="95" t="s">
        <v>267</v>
      </c>
    </row>
    <row r="2" spans="2:8" ht="23.4" customHeight="1" outlineLevel="2" thickTop="1" thickBot="1" x14ac:dyDescent="0.35">
      <c r="B2" s="177" t="s">
        <v>130</v>
      </c>
      <c r="C2" s="192">
        <v>239</v>
      </c>
      <c r="D2" s="189" t="s">
        <v>128</v>
      </c>
      <c r="E2" s="19" t="s">
        <v>171</v>
      </c>
      <c r="F2" s="20" t="s">
        <v>227</v>
      </c>
      <c r="G2" s="20">
        <v>112</v>
      </c>
      <c r="H2" s="96">
        <f>G2/239</f>
        <v>0.46861924686192469</v>
      </c>
    </row>
    <row r="3" spans="2:8" ht="23.4" customHeight="1" outlineLevel="2" thickTop="1" thickBot="1" x14ac:dyDescent="0.35">
      <c r="B3" s="177"/>
      <c r="C3" s="193"/>
      <c r="D3" s="189"/>
      <c r="E3" s="19" t="s">
        <v>210</v>
      </c>
      <c r="F3" s="20" t="s">
        <v>270</v>
      </c>
      <c r="G3" s="135">
        <v>17</v>
      </c>
      <c r="H3" s="96">
        <f t="shared" ref="H3:H9" si="0">G3/239</f>
        <v>7.1129707112970716E-2</v>
      </c>
    </row>
    <row r="4" spans="2:8" ht="23.4" customHeight="1" outlineLevel="2" thickTop="1" thickBot="1" x14ac:dyDescent="0.35">
      <c r="B4" s="177"/>
      <c r="C4" s="193"/>
      <c r="D4" s="189"/>
      <c r="E4" s="19" t="s">
        <v>168</v>
      </c>
      <c r="F4" s="20" t="s">
        <v>228</v>
      </c>
      <c r="G4" s="20">
        <v>5</v>
      </c>
      <c r="H4" s="96">
        <f t="shared" si="0"/>
        <v>2.0920502092050208E-2</v>
      </c>
    </row>
    <row r="5" spans="2:8" ht="15" customHeight="1" outlineLevel="2" thickTop="1" thickBot="1" x14ac:dyDescent="0.35">
      <c r="B5" s="177"/>
      <c r="C5" s="193"/>
      <c r="D5" s="189"/>
      <c r="E5" s="21" t="s">
        <v>12</v>
      </c>
      <c r="F5" s="20" t="s">
        <v>229</v>
      </c>
      <c r="G5" s="20">
        <v>5</v>
      </c>
      <c r="H5" s="96">
        <f t="shared" si="0"/>
        <v>2.0920502092050208E-2</v>
      </c>
    </row>
    <row r="6" spans="2:8" ht="15" customHeight="1" outlineLevel="2" thickTop="1" thickBot="1" x14ac:dyDescent="0.35">
      <c r="B6" s="177"/>
      <c r="C6" s="193"/>
      <c r="D6" s="189"/>
      <c r="E6" s="19" t="s">
        <v>69</v>
      </c>
      <c r="F6" s="20" t="s">
        <v>269</v>
      </c>
      <c r="G6" s="135">
        <v>2</v>
      </c>
      <c r="H6" s="96">
        <f>G6/239</f>
        <v>8.368200836820083E-3</v>
      </c>
    </row>
    <row r="7" spans="2:8" ht="24.6" customHeight="1" outlineLevel="2" thickTop="1" thickBot="1" x14ac:dyDescent="0.35">
      <c r="B7" s="177"/>
      <c r="C7" s="193"/>
      <c r="D7" s="189"/>
      <c r="E7" s="19" t="s">
        <v>209</v>
      </c>
      <c r="F7" s="20" t="s">
        <v>265</v>
      </c>
      <c r="G7" s="20">
        <v>2</v>
      </c>
      <c r="H7" s="96">
        <f t="shared" si="0"/>
        <v>8.368200836820083E-3</v>
      </c>
    </row>
    <row r="8" spans="2:8" ht="24.6" customHeight="1" outlineLevel="2" thickTop="1" thickBot="1" x14ac:dyDescent="0.35">
      <c r="B8" s="177"/>
      <c r="C8" s="193"/>
      <c r="D8" s="189"/>
      <c r="E8" s="19" t="s">
        <v>21</v>
      </c>
      <c r="F8" s="20" t="s">
        <v>230</v>
      </c>
      <c r="G8" s="20">
        <v>1</v>
      </c>
      <c r="H8" s="96">
        <f t="shared" si="0"/>
        <v>4.1841004184100415E-3</v>
      </c>
    </row>
    <row r="9" spans="2:8" ht="60.6" customHeight="1" outlineLevel="2" thickTop="1" thickBot="1" x14ac:dyDescent="0.35">
      <c r="B9" s="177"/>
      <c r="C9" s="193"/>
      <c r="D9" s="189"/>
      <c r="E9" s="19" t="s">
        <v>200</v>
      </c>
      <c r="F9" s="20" t="s">
        <v>231</v>
      </c>
      <c r="G9" s="20">
        <v>1</v>
      </c>
      <c r="H9" s="96">
        <f t="shared" si="0"/>
        <v>4.1841004184100415E-3</v>
      </c>
    </row>
    <row r="10" spans="2:8" ht="24.6" customHeight="1" outlineLevel="1" thickTop="1" thickBot="1" x14ac:dyDescent="0.35">
      <c r="B10" s="156" t="s">
        <v>271</v>
      </c>
      <c r="C10" s="154">
        <f>SUBTOTAL(9,C2:C9)</f>
        <v>239</v>
      </c>
      <c r="D10" s="150"/>
      <c r="E10" s="19"/>
      <c r="F10" s="20"/>
      <c r="G10" s="20">
        <f>SUBTOTAL(9,G2:G9)</f>
        <v>145</v>
      </c>
      <c r="H10" s="96">
        <f>SUBTOTAL(9,H2:H9)</f>
        <v>0.60669456066945604</v>
      </c>
    </row>
    <row r="11" spans="2:8" ht="23.4" customHeight="1" outlineLevel="2" thickTop="1" thickBot="1" x14ac:dyDescent="0.35">
      <c r="B11" s="176" t="s">
        <v>131</v>
      </c>
      <c r="C11" s="176">
        <v>330</v>
      </c>
      <c r="D11" s="182" t="s">
        <v>129</v>
      </c>
      <c r="E11" s="24" t="s">
        <v>13</v>
      </c>
      <c r="F11" s="25" t="s">
        <v>229</v>
      </c>
      <c r="G11" s="25">
        <v>13</v>
      </c>
      <c r="H11" s="97">
        <f>G11/330</f>
        <v>3.9393939393939391E-2</v>
      </c>
    </row>
    <row r="12" spans="2:8" outlineLevel="2" thickTop="1" thickBot="1" x14ac:dyDescent="0.35">
      <c r="B12" s="176"/>
      <c r="C12" s="176"/>
      <c r="D12" s="182"/>
      <c r="E12" s="24" t="s">
        <v>16</v>
      </c>
      <c r="F12" s="25" t="s">
        <v>232</v>
      </c>
      <c r="G12" s="25">
        <v>10</v>
      </c>
      <c r="H12" s="97">
        <f t="shared" ref="H12:H20" si="1">G12/330</f>
        <v>3.0303030303030304E-2</v>
      </c>
    </row>
    <row r="13" spans="2:8" ht="30" outlineLevel="2" thickTop="1" thickBot="1" x14ac:dyDescent="0.35">
      <c r="B13" s="176"/>
      <c r="C13" s="176"/>
      <c r="D13" s="182"/>
      <c r="E13" s="24" t="s">
        <v>177</v>
      </c>
      <c r="F13" s="25" t="s">
        <v>227</v>
      </c>
      <c r="G13" s="25">
        <v>5</v>
      </c>
      <c r="H13" s="97">
        <f t="shared" si="1"/>
        <v>1.5151515151515152E-2</v>
      </c>
    </row>
    <row r="14" spans="2:8" outlineLevel="2" thickTop="1" thickBot="1" x14ac:dyDescent="0.35">
      <c r="B14" s="176"/>
      <c r="C14" s="176"/>
      <c r="D14" s="182"/>
      <c r="E14" s="24" t="s">
        <v>5</v>
      </c>
      <c r="F14" s="25" t="s">
        <v>233</v>
      </c>
      <c r="G14" s="25">
        <v>2</v>
      </c>
      <c r="H14" s="97">
        <f t="shared" si="1"/>
        <v>6.0606060606060606E-3</v>
      </c>
    </row>
    <row r="15" spans="2:8" outlineLevel="2" thickTop="1" thickBot="1" x14ac:dyDescent="0.35">
      <c r="B15" s="176"/>
      <c r="C15" s="176"/>
      <c r="D15" s="182"/>
      <c r="E15" s="24" t="s">
        <v>42</v>
      </c>
      <c r="F15" s="25" t="s">
        <v>234</v>
      </c>
      <c r="G15" s="25">
        <v>1</v>
      </c>
      <c r="H15" s="97">
        <f t="shared" si="1"/>
        <v>3.0303030303030303E-3</v>
      </c>
    </row>
    <row r="16" spans="2:8" outlineLevel="2" thickTop="1" thickBot="1" x14ac:dyDescent="0.35">
      <c r="B16" s="176"/>
      <c r="C16" s="176"/>
      <c r="D16" s="182"/>
      <c r="E16" s="24" t="s">
        <v>82</v>
      </c>
      <c r="F16" s="25" t="s">
        <v>231</v>
      </c>
      <c r="G16" s="25">
        <v>1</v>
      </c>
      <c r="H16" s="97">
        <f t="shared" si="1"/>
        <v>3.0303030303030303E-3</v>
      </c>
    </row>
    <row r="17" spans="2:8" outlineLevel="2" thickTop="1" thickBot="1" x14ac:dyDescent="0.35">
      <c r="B17" s="176"/>
      <c r="C17" s="176"/>
      <c r="D17" s="182"/>
      <c r="E17" s="24" t="s">
        <v>214</v>
      </c>
      <c r="F17" s="25" t="s">
        <v>235</v>
      </c>
      <c r="G17" s="25">
        <v>1</v>
      </c>
      <c r="H17" s="97">
        <f t="shared" si="1"/>
        <v>3.0303030303030303E-3</v>
      </c>
    </row>
    <row r="18" spans="2:8" ht="44.4" outlineLevel="2" thickTop="1" thickBot="1" x14ac:dyDescent="0.35">
      <c r="B18" s="176"/>
      <c r="C18" s="176"/>
      <c r="D18" s="182"/>
      <c r="E18" s="24" t="s">
        <v>184</v>
      </c>
      <c r="F18" s="25" t="s">
        <v>236</v>
      </c>
      <c r="G18" s="25">
        <v>1</v>
      </c>
      <c r="H18" s="97">
        <f t="shared" si="1"/>
        <v>3.0303030303030303E-3</v>
      </c>
    </row>
    <row r="19" spans="2:8" ht="44.4" outlineLevel="2" thickTop="1" thickBot="1" x14ac:dyDescent="0.35">
      <c r="B19" s="176"/>
      <c r="C19" s="176"/>
      <c r="D19" s="182"/>
      <c r="E19" s="24" t="s">
        <v>195</v>
      </c>
      <c r="F19" s="25" t="s">
        <v>236</v>
      </c>
      <c r="G19" s="25">
        <v>1</v>
      </c>
      <c r="H19" s="97">
        <f t="shared" si="1"/>
        <v>3.0303030303030303E-3</v>
      </c>
    </row>
    <row r="20" spans="2:8" ht="44.4" outlineLevel="2" thickTop="1" thickBot="1" x14ac:dyDescent="0.35">
      <c r="B20" s="176"/>
      <c r="C20" s="176"/>
      <c r="D20" s="182"/>
      <c r="E20" s="24" t="s">
        <v>204</v>
      </c>
      <c r="F20" s="25" t="s">
        <v>237</v>
      </c>
      <c r="G20" s="25">
        <v>1</v>
      </c>
      <c r="H20" s="97">
        <f t="shared" si="1"/>
        <v>3.0303030303030303E-3</v>
      </c>
    </row>
    <row r="21" spans="2:8" outlineLevel="1" thickTop="1" thickBot="1" x14ac:dyDescent="0.35">
      <c r="B21" s="157" t="s">
        <v>272</v>
      </c>
      <c r="C21" s="137">
        <f>SUBTOTAL(9,C11:C20)</f>
        <v>330</v>
      </c>
      <c r="D21" s="144"/>
      <c r="E21" s="24"/>
      <c r="F21" s="25"/>
      <c r="G21" s="25">
        <f>SUBTOTAL(9,G11:G20)</f>
        <v>36</v>
      </c>
      <c r="H21" s="97">
        <f>SUBTOTAL(9,H11:H20)</f>
        <v>0.10909090909090913</v>
      </c>
    </row>
    <row r="22" spans="2:8" ht="82.8" customHeight="1" outlineLevel="2" thickTop="1" thickBot="1" x14ac:dyDescent="0.35">
      <c r="B22" s="175" t="s">
        <v>132</v>
      </c>
      <c r="C22" s="178">
        <v>134</v>
      </c>
      <c r="D22" s="180" t="s">
        <v>102</v>
      </c>
      <c r="E22" s="26" t="s">
        <v>161</v>
      </c>
      <c r="F22" s="27" t="s">
        <v>238</v>
      </c>
      <c r="G22" s="27">
        <v>1</v>
      </c>
      <c r="H22" s="98">
        <f>G22/134</f>
        <v>7.462686567164179E-3</v>
      </c>
    </row>
    <row r="23" spans="2:8" ht="75.599999999999994" customHeight="1" outlineLevel="2" thickTop="1" thickBot="1" x14ac:dyDescent="0.35">
      <c r="B23" s="175"/>
      <c r="C23" s="178"/>
      <c r="D23" s="180"/>
      <c r="E23" s="28" t="s">
        <v>211</v>
      </c>
      <c r="F23" s="27" t="s">
        <v>239</v>
      </c>
      <c r="G23" s="27">
        <v>1</v>
      </c>
      <c r="H23" s="98">
        <f>G23/134</f>
        <v>7.462686567164179E-3</v>
      </c>
    </row>
    <row r="24" spans="2:8" ht="24.6" customHeight="1" outlineLevel="1" thickTop="1" thickBot="1" x14ac:dyDescent="0.35">
      <c r="B24" s="158" t="s">
        <v>273</v>
      </c>
      <c r="C24" s="140">
        <f>SUBTOTAL(9,C22:C23)</f>
        <v>134</v>
      </c>
      <c r="D24" s="142"/>
      <c r="E24" s="28"/>
      <c r="F24" s="27"/>
      <c r="G24" s="27">
        <f>SUBTOTAL(9,G22:G23)</f>
        <v>2</v>
      </c>
      <c r="H24" s="98">
        <f>SUBTOTAL(9,H22:H23)</f>
        <v>1.4925373134328358E-2</v>
      </c>
    </row>
    <row r="25" spans="2:8" ht="30" outlineLevel="2" thickTop="1" thickBot="1" x14ac:dyDescent="0.35">
      <c r="B25" s="179" t="s">
        <v>133</v>
      </c>
      <c r="C25" s="179">
        <v>25</v>
      </c>
      <c r="D25" s="191" t="s">
        <v>103</v>
      </c>
      <c r="E25" s="34" t="s">
        <v>77</v>
      </c>
      <c r="F25" s="30" t="s">
        <v>243</v>
      </c>
      <c r="G25" s="30">
        <v>6</v>
      </c>
      <c r="H25" s="99">
        <f>G25/25</f>
        <v>0.24</v>
      </c>
    </row>
    <row r="26" spans="2:8" outlineLevel="2" thickTop="1" thickBot="1" x14ac:dyDescent="0.35">
      <c r="B26" s="179"/>
      <c r="C26" s="179"/>
      <c r="D26" s="191"/>
      <c r="E26" s="33" t="s">
        <v>169</v>
      </c>
      <c r="F26" s="32" t="s">
        <v>242</v>
      </c>
      <c r="G26" s="32">
        <v>4</v>
      </c>
      <c r="H26" s="99">
        <f t="shared" ref="H26:H30" si="2">G26/25</f>
        <v>0.16</v>
      </c>
    </row>
    <row r="27" spans="2:8" outlineLevel="2" thickTop="1" thickBot="1" x14ac:dyDescent="0.35">
      <c r="B27" s="179"/>
      <c r="C27" s="179"/>
      <c r="D27" s="191"/>
      <c r="E27" s="29" t="s">
        <v>48</v>
      </c>
      <c r="F27" s="30" t="s">
        <v>240</v>
      </c>
      <c r="G27" s="30">
        <v>1</v>
      </c>
      <c r="H27" s="99">
        <f t="shared" si="2"/>
        <v>0.04</v>
      </c>
    </row>
    <row r="28" spans="2:8" ht="30" outlineLevel="2" thickTop="1" thickBot="1" x14ac:dyDescent="0.35">
      <c r="B28" s="179"/>
      <c r="C28" s="179"/>
      <c r="D28" s="191"/>
      <c r="E28" s="31" t="s">
        <v>78</v>
      </c>
      <c r="F28" s="32" t="s">
        <v>241</v>
      </c>
      <c r="G28" s="32">
        <v>1</v>
      </c>
      <c r="H28" s="99">
        <f>G28/25</f>
        <v>0.04</v>
      </c>
    </row>
    <row r="29" spans="2:8" outlineLevel="2" thickTop="1" thickBot="1" x14ac:dyDescent="0.35">
      <c r="B29" s="179"/>
      <c r="C29" s="179"/>
      <c r="D29" s="191"/>
      <c r="E29" s="35" t="s">
        <v>221</v>
      </c>
      <c r="F29" s="30" t="s">
        <v>230</v>
      </c>
      <c r="G29" s="30">
        <v>1</v>
      </c>
      <c r="H29" s="99">
        <f t="shared" si="2"/>
        <v>0.04</v>
      </c>
    </row>
    <row r="30" spans="2:8" ht="24.6" customHeight="1" outlineLevel="2" thickTop="1" thickBot="1" x14ac:dyDescent="0.35">
      <c r="B30" s="179"/>
      <c r="C30" s="179"/>
      <c r="D30" s="191"/>
      <c r="E30" s="36" t="s">
        <v>222</v>
      </c>
      <c r="F30" s="32" t="s">
        <v>244</v>
      </c>
      <c r="G30" s="32">
        <v>1</v>
      </c>
      <c r="H30" s="99">
        <f t="shared" si="2"/>
        <v>0.04</v>
      </c>
    </row>
    <row r="31" spans="2:8" ht="24.6" customHeight="1" outlineLevel="1" thickTop="1" thickBot="1" x14ac:dyDescent="0.35">
      <c r="B31" s="159" t="s">
        <v>274</v>
      </c>
      <c r="C31" s="141">
        <f>SUBTOTAL(9,C25:C30)</f>
        <v>25</v>
      </c>
      <c r="D31" s="153"/>
      <c r="E31" s="36"/>
      <c r="F31" s="32"/>
      <c r="G31" s="32">
        <f>SUBTOTAL(9,G25:G30)</f>
        <v>14</v>
      </c>
      <c r="H31" s="99">
        <f>SUBTOTAL(9,H25:H30)</f>
        <v>0.56000000000000005</v>
      </c>
    </row>
    <row r="32" spans="2:8" ht="38.4" customHeight="1" outlineLevel="2" thickTop="1" thickBot="1" x14ac:dyDescent="0.35">
      <c r="B32" s="176" t="s">
        <v>134</v>
      </c>
      <c r="C32" s="176">
        <v>56</v>
      </c>
      <c r="D32" s="182" t="s">
        <v>104</v>
      </c>
      <c r="E32" s="39" t="s">
        <v>33</v>
      </c>
      <c r="F32" s="38" t="s">
        <v>245</v>
      </c>
      <c r="G32" s="38">
        <v>14</v>
      </c>
      <c r="H32" s="101">
        <f>G32/56</f>
        <v>0.25</v>
      </c>
    </row>
    <row r="33" spans="2:9" ht="36.6" customHeight="1" outlineLevel="2" thickTop="1" thickBot="1" x14ac:dyDescent="0.35">
      <c r="B33" s="176"/>
      <c r="C33" s="176"/>
      <c r="D33" s="182"/>
      <c r="E33" s="37" t="s">
        <v>15</v>
      </c>
      <c r="F33" s="38" t="s">
        <v>232</v>
      </c>
      <c r="G33" s="38">
        <v>1</v>
      </c>
      <c r="H33" s="101">
        <f>G33/56</f>
        <v>1.7857142857142856E-2</v>
      </c>
    </row>
    <row r="34" spans="2:9" ht="77.400000000000006" customHeight="1" outlineLevel="2" thickTop="1" thickBot="1" x14ac:dyDescent="0.35">
      <c r="B34" s="176"/>
      <c r="C34" s="176"/>
      <c r="D34" s="182"/>
      <c r="E34" s="37" t="s">
        <v>219</v>
      </c>
      <c r="F34" s="38" t="s">
        <v>246</v>
      </c>
      <c r="G34" s="38">
        <v>1</v>
      </c>
      <c r="H34" s="101">
        <f>G34/56</f>
        <v>1.7857142857142856E-2</v>
      </c>
    </row>
    <row r="35" spans="2:9" ht="33.6" customHeight="1" outlineLevel="1" thickTop="1" thickBot="1" x14ac:dyDescent="0.35">
      <c r="B35" s="157" t="s">
        <v>275</v>
      </c>
      <c r="C35" s="137">
        <f>SUBTOTAL(9,C32:C34)</f>
        <v>56</v>
      </c>
      <c r="D35" s="144"/>
      <c r="E35" s="37"/>
      <c r="F35" s="38"/>
      <c r="G35" s="38">
        <f>SUBTOTAL(9,G32:G34)</f>
        <v>16</v>
      </c>
      <c r="H35" s="101">
        <f>SUBTOTAL(9,H32:H34)</f>
        <v>0.2857142857142857</v>
      </c>
    </row>
    <row r="36" spans="2:9" ht="159" customHeight="1" outlineLevel="2" thickTop="1" thickBot="1" x14ac:dyDescent="0.35">
      <c r="B36" s="40" t="s">
        <v>135</v>
      </c>
      <c r="C36" s="40">
        <v>29</v>
      </c>
      <c r="D36" s="41" t="s">
        <v>105</v>
      </c>
      <c r="E36" s="42" t="s">
        <v>173</v>
      </c>
      <c r="F36" s="23" t="s">
        <v>247</v>
      </c>
      <c r="G36" s="23">
        <v>2</v>
      </c>
      <c r="H36" s="102">
        <f>G36/C36</f>
        <v>6.8965517241379309E-2</v>
      </c>
    </row>
    <row r="37" spans="2:9" ht="19.2" customHeight="1" outlineLevel="1" thickTop="1" thickBot="1" x14ac:dyDescent="0.35">
      <c r="B37" s="158" t="s">
        <v>276</v>
      </c>
      <c r="C37" s="136">
        <f>SUBTOTAL(9,C36:C36)</f>
        <v>29</v>
      </c>
      <c r="D37" s="142"/>
      <c r="E37" s="42"/>
      <c r="F37" s="23"/>
      <c r="G37" s="23">
        <f>SUBTOTAL(9,G36:G36)</f>
        <v>2</v>
      </c>
      <c r="H37" s="102">
        <f>SUBTOTAL(9,H36:H36)</f>
        <v>6.8965517241379309E-2</v>
      </c>
    </row>
    <row r="38" spans="2:9" ht="30" outlineLevel="2" thickTop="1" thickBot="1" x14ac:dyDescent="0.35">
      <c r="B38" s="177" t="s">
        <v>136</v>
      </c>
      <c r="C38" s="177">
        <v>18</v>
      </c>
      <c r="D38" s="189" t="s">
        <v>106</v>
      </c>
      <c r="E38" s="21" t="s">
        <v>60</v>
      </c>
      <c r="F38" s="20" t="s">
        <v>241</v>
      </c>
      <c r="G38" s="20">
        <v>3</v>
      </c>
      <c r="H38" s="96">
        <f>G38/18</f>
        <v>0.16666666666666666</v>
      </c>
    </row>
    <row r="39" spans="2:9" ht="30" outlineLevel="2" thickTop="1" thickBot="1" x14ac:dyDescent="0.35">
      <c r="B39" s="177"/>
      <c r="C39" s="177"/>
      <c r="D39" s="189"/>
      <c r="E39" s="21" t="s">
        <v>34</v>
      </c>
      <c r="F39" s="20" t="s">
        <v>243</v>
      </c>
      <c r="G39" s="20">
        <v>2</v>
      </c>
      <c r="H39" s="96">
        <f>G39/18</f>
        <v>0.1111111111111111</v>
      </c>
    </row>
    <row r="40" spans="2:9" ht="41.4" customHeight="1" outlineLevel="2" thickTop="1" thickBot="1" x14ac:dyDescent="0.35">
      <c r="B40" s="177"/>
      <c r="C40" s="177"/>
      <c r="D40" s="189"/>
      <c r="E40" s="19" t="s">
        <v>41</v>
      </c>
      <c r="F40" s="20" t="s">
        <v>248</v>
      </c>
      <c r="G40" s="20">
        <v>1</v>
      </c>
      <c r="H40" s="96">
        <f>G40/18</f>
        <v>5.5555555555555552E-2</v>
      </c>
    </row>
    <row r="41" spans="2:9" ht="58.2" customHeight="1" outlineLevel="2" thickTop="1" thickBot="1" x14ac:dyDescent="0.35">
      <c r="B41" s="177"/>
      <c r="C41" s="177"/>
      <c r="D41" s="189"/>
      <c r="E41" s="21" t="s">
        <v>80</v>
      </c>
      <c r="F41" s="20" t="s">
        <v>249</v>
      </c>
      <c r="G41" s="20">
        <v>1</v>
      </c>
      <c r="H41" s="96">
        <f>G41/18</f>
        <v>5.5555555555555552E-2</v>
      </c>
      <c r="I41" s="5"/>
    </row>
    <row r="42" spans="2:9" ht="25.2" customHeight="1" outlineLevel="1" thickTop="1" thickBot="1" x14ac:dyDescent="0.35">
      <c r="B42" s="156" t="s">
        <v>277</v>
      </c>
      <c r="C42" s="138">
        <f>SUBTOTAL(9,C38:C41)</f>
        <v>18</v>
      </c>
      <c r="D42" s="150"/>
      <c r="E42" s="21"/>
      <c r="F42" s="20"/>
      <c r="G42" s="20">
        <f>SUBTOTAL(9,G38:G41)</f>
        <v>7</v>
      </c>
      <c r="H42" s="96">
        <f>SUBTOTAL(9,H38:H41)</f>
        <v>0.38888888888888895</v>
      </c>
      <c r="I42" s="5"/>
    </row>
    <row r="43" spans="2:9" ht="43.2" customHeight="1" outlineLevel="2" thickTop="1" thickBot="1" x14ac:dyDescent="0.35">
      <c r="B43" s="179" t="s">
        <v>137</v>
      </c>
      <c r="C43" s="179">
        <v>39</v>
      </c>
      <c r="D43" s="179" t="s">
        <v>107</v>
      </c>
      <c r="E43" s="36" t="s">
        <v>218</v>
      </c>
      <c r="F43" s="32" t="s">
        <v>230</v>
      </c>
      <c r="G43" s="32">
        <v>4</v>
      </c>
      <c r="H43" s="100">
        <f>G43/39</f>
        <v>0.10256410256410256</v>
      </c>
      <c r="I43" s="5"/>
    </row>
    <row r="44" spans="2:9" ht="64.8" customHeight="1" outlineLevel="2" thickTop="1" thickBot="1" x14ac:dyDescent="0.35">
      <c r="B44" s="179"/>
      <c r="C44" s="179"/>
      <c r="D44" s="179"/>
      <c r="E44" s="33" t="s">
        <v>57</v>
      </c>
      <c r="F44" s="32" t="s">
        <v>227</v>
      </c>
      <c r="G44" s="32">
        <v>1</v>
      </c>
      <c r="H44" s="100">
        <f>G44/39</f>
        <v>2.564102564102564E-2</v>
      </c>
      <c r="I44" s="5"/>
    </row>
    <row r="45" spans="2:9" ht="91.8" customHeight="1" outlineLevel="2" thickTop="1" thickBot="1" x14ac:dyDescent="0.35">
      <c r="B45" s="179"/>
      <c r="C45" s="179"/>
      <c r="D45" s="179"/>
      <c r="E45" s="33" t="s">
        <v>58</v>
      </c>
      <c r="F45" s="32" t="s">
        <v>240</v>
      </c>
      <c r="G45" s="32">
        <v>1</v>
      </c>
      <c r="H45" s="100">
        <f>G45/39</f>
        <v>2.564102564102564E-2</v>
      </c>
      <c r="I45" s="6"/>
    </row>
    <row r="46" spans="2:9" ht="20.399999999999999" customHeight="1" outlineLevel="1" thickTop="1" thickBot="1" x14ac:dyDescent="0.35">
      <c r="B46" s="159" t="s">
        <v>278</v>
      </c>
      <c r="C46" s="141">
        <f>SUBTOTAL(9,C43:C45)</f>
        <v>39</v>
      </c>
      <c r="D46" s="141"/>
      <c r="E46" s="33"/>
      <c r="F46" s="32"/>
      <c r="G46" s="32">
        <f>SUBTOTAL(9,G43:G45)</f>
        <v>6</v>
      </c>
      <c r="H46" s="100">
        <f>SUBTOTAL(9,H43:H45)</f>
        <v>0.15384615384615383</v>
      </c>
      <c r="I46" s="6"/>
    </row>
    <row r="47" spans="2:9" ht="170.4" customHeight="1" outlineLevel="2" thickTop="1" thickBot="1" x14ac:dyDescent="0.35">
      <c r="B47" s="43" t="s">
        <v>138</v>
      </c>
      <c r="C47" s="43">
        <v>91</v>
      </c>
      <c r="D47" s="44" t="s">
        <v>108</v>
      </c>
      <c r="E47" s="45" t="s">
        <v>29</v>
      </c>
      <c r="F47" s="25" t="s">
        <v>250</v>
      </c>
      <c r="G47" s="25">
        <v>68</v>
      </c>
      <c r="H47" s="97">
        <f>G47/C47</f>
        <v>0.74725274725274726</v>
      </c>
      <c r="I47" s="6"/>
    </row>
    <row r="48" spans="2:9" ht="24" customHeight="1" outlineLevel="1" thickTop="1" thickBot="1" x14ac:dyDescent="0.35">
      <c r="B48" s="157" t="s">
        <v>279</v>
      </c>
      <c r="C48" s="137">
        <f>SUBTOTAL(9,C47:C47)</f>
        <v>91</v>
      </c>
      <c r="D48" s="144"/>
      <c r="E48" s="45"/>
      <c r="F48" s="25"/>
      <c r="G48" s="25">
        <f>SUBTOTAL(9,G47:G47)</f>
        <v>68</v>
      </c>
      <c r="H48" s="97">
        <f>SUBTOTAL(9,H47:H47)</f>
        <v>0.74725274725274726</v>
      </c>
      <c r="I48" s="6"/>
    </row>
    <row r="49" spans="2:9" ht="16.8" outlineLevel="2" thickTop="1" thickBot="1" x14ac:dyDescent="0.35">
      <c r="B49" s="175" t="s">
        <v>139</v>
      </c>
      <c r="C49" s="175">
        <v>78</v>
      </c>
      <c r="D49" s="180" t="s">
        <v>109</v>
      </c>
      <c r="E49" s="42" t="s">
        <v>38</v>
      </c>
      <c r="F49" s="23" t="s">
        <v>255</v>
      </c>
      <c r="G49" s="23">
        <v>25</v>
      </c>
      <c r="H49" s="98">
        <f>G49/78</f>
        <v>0.32051282051282054</v>
      </c>
      <c r="I49" s="6"/>
    </row>
    <row r="50" spans="2:9" outlineLevel="2" thickTop="1" thickBot="1" x14ac:dyDescent="0.35">
      <c r="B50" s="175"/>
      <c r="C50" s="175"/>
      <c r="D50" s="180"/>
      <c r="E50" s="42" t="s">
        <v>170</v>
      </c>
      <c r="F50" s="23" t="s">
        <v>252</v>
      </c>
      <c r="G50" s="23">
        <v>23</v>
      </c>
      <c r="H50" s="98">
        <f t="shared" ref="H50:H54" si="3">G50/78</f>
        <v>0.29487179487179488</v>
      </c>
    </row>
    <row r="51" spans="2:9" ht="30" outlineLevel="2" thickTop="1" thickBot="1" x14ac:dyDescent="0.35">
      <c r="B51" s="175"/>
      <c r="C51" s="175"/>
      <c r="D51" s="180"/>
      <c r="E51" s="42" t="s">
        <v>49</v>
      </c>
      <c r="F51" s="23" t="s">
        <v>254</v>
      </c>
      <c r="G51" s="23">
        <v>2</v>
      </c>
      <c r="H51" s="98">
        <f t="shared" si="3"/>
        <v>2.564102564102564E-2</v>
      </c>
      <c r="I51" s="6"/>
    </row>
    <row r="52" spans="2:9" ht="16.8" outlineLevel="2" thickTop="1" thickBot="1" x14ac:dyDescent="0.35">
      <c r="B52" s="175"/>
      <c r="C52" s="175"/>
      <c r="D52" s="180"/>
      <c r="E52" s="26" t="s">
        <v>174</v>
      </c>
      <c r="F52" s="27" t="s">
        <v>251</v>
      </c>
      <c r="G52" s="27">
        <v>1</v>
      </c>
      <c r="H52" s="98">
        <f t="shared" si="3"/>
        <v>1.282051282051282E-2</v>
      </c>
      <c r="I52" s="6"/>
    </row>
    <row r="53" spans="2:9" ht="50.4" customHeight="1" outlineLevel="2" thickTop="1" thickBot="1" x14ac:dyDescent="0.35">
      <c r="B53" s="175"/>
      <c r="C53" s="175"/>
      <c r="D53" s="180"/>
      <c r="E53" s="28" t="s">
        <v>54</v>
      </c>
      <c r="F53" s="27" t="s">
        <v>234</v>
      </c>
      <c r="G53" s="27">
        <v>1</v>
      </c>
      <c r="H53" s="98">
        <f t="shared" si="3"/>
        <v>1.282051282051282E-2</v>
      </c>
      <c r="I53" s="5"/>
    </row>
    <row r="54" spans="2:9" ht="90" customHeight="1" outlineLevel="2" thickTop="1" thickBot="1" x14ac:dyDescent="0.35">
      <c r="B54" s="175"/>
      <c r="C54" s="175"/>
      <c r="D54" s="180"/>
      <c r="E54" s="42" t="s">
        <v>47</v>
      </c>
      <c r="F54" s="23" t="s">
        <v>253</v>
      </c>
      <c r="G54" s="23">
        <v>1</v>
      </c>
      <c r="H54" s="98">
        <f t="shared" si="3"/>
        <v>1.282051282051282E-2</v>
      </c>
      <c r="I54" s="5"/>
    </row>
    <row r="55" spans="2:9" ht="0.6" customHeight="1" outlineLevel="2" thickTop="1" thickBot="1" x14ac:dyDescent="0.35">
      <c r="B55" s="175"/>
      <c r="C55" s="40"/>
      <c r="D55" s="180"/>
      <c r="E55" s="22"/>
      <c r="F55" s="23" t="e">
        <v>#VALUE!</v>
      </c>
      <c r="G55" s="23"/>
      <c r="H55" s="102"/>
      <c r="I55" s="5"/>
    </row>
    <row r="56" spans="2:9" ht="16.2" outlineLevel="1" thickTop="1" thickBot="1" x14ac:dyDescent="0.35">
      <c r="B56" s="158" t="s">
        <v>280</v>
      </c>
      <c r="C56" s="136">
        <f>SUBTOTAL(9,C49:C55)</f>
        <v>78</v>
      </c>
      <c r="D56" s="142"/>
      <c r="E56" s="22"/>
      <c r="F56" s="23"/>
      <c r="G56" s="23">
        <f>SUBTOTAL(9,G49:G55)</f>
        <v>53</v>
      </c>
      <c r="H56" s="102">
        <f>SUBTOTAL(9,H49:H55)</f>
        <v>0.6794871794871794</v>
      </c>
      <c r="I56" s="5"/>
    </row>
    <row r="57" spans="2:9" ht="157.80000000000001" customHeight="1" outlineLevel="2" thickTop="1" thickBot="1" x14ac:dyDescent="0.35">
      <c r="B57" s="46" t="s">
        <v>140</v>
      </c>
      <c r="C57" s="46">
        <v>57</v>
      </c>
      <c r="D57" s="47" t="s">
        <v>110</v>
      </c>
      <c r="E57" s="21" t="s">
        <v>22</v>
      </c>
      <c r="F57" s="20" t="s">
        <v>256</v>
      </c>
      <c r="G57" s="20">
        <v>17</v>
      </c>
      <c r="H57" s="96">
        <f>G57/C57</f>
        <v>0.2982456140350877</v>
      </c>
      <c r="I57" s="5"/>
    </row>
    <row r="58" spans="2:9" ht="22.8" customHeight="1" outlineLevel="1" thickTop="1" thickBot="1" x14ac:dyDescent="0.35">
      <c r="B58" s="156" t="s">
        <v>281</v>
      </c>
      <c r="C58" s="138">
        <f>SUBTOTAL(9,C57:C57)</f>
        <v>57</v>
      </c>
      <c r="D58" s="150"/>
      <c r="E58" s="21"/>
      <c r="F58" s="20"/>
      <c r="G58" s="20">
        <f>SUBTOTAL(9,G57:G57)</f>
        <v>17</v>
      </c>
      <c r="H58" s="160">
        <f>SUBTOTAL(9,H57:H57)</f>
        <v>0.2982456140350877</v>
      </c>
      <c r="I58" s="5"/>
    </row>
    <row r="59" spans="2:9" ht="130.19999999999999" customHeight="1" outlineLevel="2" thickTop="1" thickBot="1" x14ac:dyDescent="0.35">
      <c r="B59" s="48" t="s">
        <v>141</v>
      </c>
      <c r="C59" s="48">
        <v>53</v>
      </c>
      <c r="D59" s="49" t="s">
        <v>111</v>
      </c>
      <c r="E59" s="50" t="s">
        <v>216</v>
      </c>
      <c r="F59" s="51" t="s">
        <v>245</v>
      </c>
      <c r="G59" s="51">
        <v>4</v>
      </c>
      <c r="H59" s="124">
        <f>G59/C59</f>
        <v>7.5471698113207544E-2</v>
      </c>
      <c r="I59" s="5"/>
    </row>
    <row r="60" spans="2:9" ht="18.600000000000001" customHeight="1" outlineLevel="1" thickTop="1" thickBot="1" x14ac:dyDescent="0.35">
      <c r="B60" s="161" t="s">
        <v>282</v>
      </c>
      <c r="C60" s="139">
        <f>SUBTOTAL(9,C59:C59)</f>
        <v>53</v>
      </c>
      <c r="D60" s="149"/>
      <c r="E60" s="50"/>
      <c r="F60" s="51"/>
      <c r="G60" s="51">
        <f>SUBTOTAL(9,G59:G59)</f>
        <v>4</v>
      </c>
      <c r="H60" s="124">
        <f>SUBTOTAL(9,H59:H59)</f>
        <v>7.5471698113207544E-2</v>
      </c>
      <c r="I60" s="5"/>
    </row>
    <row r="61" spans="2:9" ht="60.6" customHeight="1" outlineLevel="2" thickTop="1" thickBot="1" x14ac:dyDescent="0.35">
      <c r="B61" s="176" t="s">
        <v>142</v>
      </c>
      <c r="C61" s="176">
        <v>45</v>
      </c>
      <c r="D61" s="182" t="s">
        <v>112</v>
      </c>
      <c r="E61" s="45" t="s">
        <v>28</v>
      </c>
      <c r="F61" s="25" t="s">
        <v>231</v>
      </c>
      <c r="G61" s="25">
        <v>16</v>
      </c>
      <c r="H61" s="97">
        <f>G61/45</f>
        <v>0.35555555555555557</v>
      </c>
    </row>
    <row r="62" spans="2:9" ht="76.2" customHeight="1" outlineLevel="2" thickTop="1" thickBot="1" x14ac:dyDescent="0.35">
      <c r="B62" s="176"/>
      <c r="C62" s="176"/>
      <c r="D62" s="182"/>
      <c r="E62" s="45" t="s">
        <v>163</v>
      </c>
      <c r="F62" s="25" t="s">
        <v>234</v>
      </c>
      <c r="G62" s="25">
        <v>4</v>
      </c>
      <c r="H62" s="97">
        <f>G62/45</f>
        <v>8.8888888888888892E-2</v>
      </c>
    </row>
    <row r="63" spans="2:9" ht="114.6" customHeight="1" outlineLevel="2" thickTop="1" thickBot="1" x14ac:dyDescent="0.35">
      <c r="B63" s="176"/>
      <c r="C63" s="176"/>
      <c r="D63" s="182"/>
      <c r="E63" s="45" t="s">
        <v>32</v>
      </c>
      <c r="F63" s="25" t="s">
        <v>237</v>
      </c>
      <c r="G63" s="25">
        <v>1</v>
      </c>
      <c r="H63" s="97">
        <f>G63/45</f>
        <v>2.2222222222222223E-2</v>
      </c>
    </row>
    <row r="64" spans="2:9" ht="29.4" customHeight="1" outlineLevel="1" thickTop="1" thickBot="1" x14ac:dyDescent="0.35">
      <c r="B64" s="157" t="s">
        <v>283</v>
      </c>
      <c r="C64" s="137">
        <f>SUBTOTAL(9,C61:C63)</f>
        <v>45</v>
      </c>
      <c r="D64" s="144"/>
      <c r="E64" s="45"/>
      <c r="F64" s="25"/>
      <c r="G64" s="25">
        <f>SUBTOTAL(9,G61:G63)</f>
        <v>21</v>
      </c>
      <c r="H64" s="97">
        <f>SUBTOTAL(9,H61:H63)</f>
        <v>0.46666666666666667</v>
      </c>
    </row>
    <row r="65" spans="2:9" ht="40.799999999999997" customHeight="1" outlineLevel="2" thickTop="1" thickBot="1" x14ac:dyDescent="0.35">
      <c r="B65" s="183" t="s">
        <v>143</v>
      </c>
      <c r="C65" s="183">
        <v>43</v>
      </c>
      <c r="D65" s="181" t="s">
        <v>113</v>
      </c>
      <c r="E65" s="52" t="s">
        <v>6</v>
      </c>
      <c r="F65" s="53" t="s">
        <v>233</v>
      </c>
      <c r="G65" s="53">
        <v>28</v>
      </c>
      <c r="H65" s="104">
        <f>G65/43</f>
        <v>0.65116279069767447</v>
      </c>
    </row>
    <row r="66" spans="2:9" ht="36" customHeight="1" outlineLevel="2" thickTop="1" thickBot="1" x14ac:dyDescent="0.35">
      <c r="B66" s="183"/>
      <c r="C66" s="183"/>
      <c r="D66" s="181"/>
      <c r="E66" s="52" t="s">
        <v>27</v>
      </c>
      <c r="F66" s="53" t="s">
        <v>257</v>
      </c>
      <c r="G66" s="53">
        <v>3</v>
      </c>
      <c r="H66" s="104">
        <f>G66/43</f>
        <v>6.9767441860465115E-2</v>
      </c>
    </row>
    <row r="67" spans="2:9" ht="69.599999999999994" customHeight="1" outlineLevel="2" thickTop="1" thickBot="1" x14ac:dyDescent="0.35">
      <c r="B67" s="183"/>
      <c r="C67" s="183"/>
      <c r="D67" s="181"/>
      <c r="E67" s="55" t="s">
        <v>213</v>
      </c>
      <c r="F67" s="53" t="s">
        <v>258</v>
      </c>
      <c r="G67" s="53">
        <v>2</v>
      </c>
      <c r="H67" s="104">
        <f>G67/43</f>
        <v>4.6511627906976744E-2</v>
      </c>
    </row>
    <row r="68" spans="2:9" ht="68.400000000000006" customHeight="1" outlineLevel="2" thickTop="1" thickBot="1" x14ac:dyDescent="0.35">
      <c r="B68" s="183"/>
      <c r="C68" s="183"/>
      <c r="D68" s="181"/>
      <c r="E68" s="54" t="s">
        <v>67</v>
      </c>
      <c r="F68" s="125" t="s">
        <v>265</v>
      </c>
      <c r="G68" s="53">
        <v>1</v>
      </c>
      <c r="H68" s="104">
        <f>G68/43</f>
        <v>2.3255813953488372E-2</v>
      </c>
    </row>
    <row r="69" spans="2:9" ht="19.8" customHeight="1" outlineLevel="1" thickTop="1" thickBot="1" x14ac:dyDescent="0.35">
      <c r="B69" s="162" t="s">
        <v>284</v>
      </c>
      <c r="C69" s="145">
        <f>SUBTOTAL(9,C65:C68)</f>
        <v>43</v>
      </c>
      <c r="D69" s="143"/>
      <c r="E69" s="54"/>
      <c r="F69" s="125"/>
      <c r="G69" s="53">
        <f>SUBTOTAL(9,G65:G68)</f>
        <v>34</v>
      </c>
      <c r="H69" s="104">
        <f>SUBTOTAL(9,H65:H68)</f>
        <v>0.79069767441860472</v>
      </c>
    </row>
    <row r="70" spans="2:9" ht="18" customHeight="1" outlineLevel="2" thickTop="1" thickBot="1" x14ac:dyDescent="0.35">
      <c r="B70" s="185" t="s">
        <v>144</v>
      </c>
      <c r="C70" s="185">
        <v>116</v>
      </c>
      <c r="D70" s="184" t="s">
        <v>114</v>
      </c>
      <c r="E70" s="56" t="s">
        <v>4</v>
      </c>
      <c r="F70" s="57" t="s">
        <v>233</v>
      </c>
      <c r="G70" s="57">
        <v>69</v>
      </c>
      <c r="H70" s="105">
        <f>G70/116</f>
        <v>0.59482758620689657</v>
      </c>
    </row>
    <row r="71" spans="2:9" ht="16.8" outlineLevel="2" thickTop="1" thickBot="1" x14ac:dyDescent="0.35">
      <c r="B71" s="185"/>
      <c r="C71" s="185"/>
      <c r="D71" s="184"/>
      <c r="E71" s="56" t="s">
        <v>63</v>
      </c>
      <c r="F71" s="57" t="s">
        <v>260</v>
      </c>
      <c r="G71" s="57">
        <v>3</v>
      </c>
      <c r="H71" s="105">
        <f t="shared" ref="H71:H75" si="4">G71/116</f>
        <v>2.5862068965517241E-2</v>
      </c>
      <c r="I71" s="6"/>
    </row>
    <row r="72" spans="2:9" ht="16.8" outlineLevel="2" thickTop="1" thickBot="1" x14ac:dyDescent="0.35">
      <c r="B72" s="185"/>
      <c r="C72" s="185"/>
      <c r="D72" s="184"/>
      <c r="E72" s="56" t="s">
        <v>45</v>
      </c>
      <c r="F72" s="57" t="s">
        <v>227</v>
      </c>
      <c r="G72" s="57">
        <v>1</v>
      </c>
      <c r="H72" s="105">
        <f t="shared" si="4"/>
        <v>8.6206896551724137E-3</v>
      </c>
      <c r="I72" s="6"/>
    </row>
    <row r="73" spans="2:9" ht="16.8" outlineLevel="2" thickTop="1" thickBot="1" x14ac:dyDescent="0.35">
      <c r="B73" s="185"/>
      <c r="C73" s="185"/>
      <c r="D73" s="184"/>
      <c r="E73" s="56" t="s">
        <v>176</v>
      </c>
      <c r="F73" s="57" t="s">
        <v>259</v>
      </c>
      <c r="G73" s="57">
        <v>1</v>
      </c>
      <c r="H73" s="105">
        <f t="shared" si="4"/>
        <v>8.6206896551724137E-3</v>
      </c>
      <c r="I73" s="6"/>
    </row>
    <row r="74" spans="2:9" ht="16.8" outlineLevel="2" thickTop="1" thickBot="1" x14ac:dyDescent="0.35">
      <c r="B74" s="185"/>
      <c r="C74" s="185"/>
      <c r="D74" s="184"/>
      <c r="E74" s="56" t="s">
        <v>175</v>
      </c>
      <c r="F74" s="57" t="s">
        <v>232</v>
      </c>
      <c r="G74" s="57">
        <v>1</v>
      </c>
      <c r="H74" s="105">
        <f t="shared" si="4"/>
        <v>8.6206896551724137E-3</v>
      </c>
      <c r="I74" s="6"/>
    </row>
    <row r="75" spans="2:9" ht="44.4" outlineLevel="2" thickTop="1" thickBot="1" x14ac:dyDescent="0.35">
      <c r="B75" s="185"/>
      <c r="C75" s="185"/>
      <c r="D75" s="184"/>
      <c r="E75" s="58" t="s">
        <v>183</v>
      </c>
      <c r="F75" s="57" t="s">
        <v>259</v>
      </c>
      <c r="G75" s="57">
        <v>1</v>
      </c>
      <c r="H75" s="105">
        <f t="shared" si="4"/>
        <v>8.6206896551724137E-3</v>
      </c>
      <c r="I75" s="6"/>
    </row>
    <row r="76" spans="2:9" ht="81.599999999999994" customHeight="1" outlineLevel="2" thickTop="1" thickBot="1" x14ac:dyDescent="0.35">
      <c r="B76" s="185"/>
      <c r="C76" s="185"/>
      <c r="D76" s="184"/>
      <c r="E76" s="58" t="s">
        <v>185</v>
      </c>
      <c r="F76" s="57" t="s">
        <v>227</v>
      </c>
      <c r="G76" s="57">
        <v>1</v>
      </c>
      <c r="H76" s="105">
        <f>G76/116</f>
        <v>8.6206896551724137E-3</v>
      </c>
      <c r="I76" s="6"/>
    </row>
    <row r="77" spans="2:9" ht="18.600000000000001" customHeight="1" outlineLevel="1" thickTop="1" thickBot="1" x14ac:dyDescent="0.35">
      <c r="B77" s="163" t="s">
        <v>285</v>
      </c>
      <c r="C77" s="147">
        <f>SUBTOTAL(9,C70:C76)</f>
        <v>116</v>
      </c>
      <c r="D77" s="146"/>
      <c r="E77" s="58"/>
      <c r="F77" s="57"/>
      <c r="G77" s="57">
        <f>SUBTOTAL(9,G70:G76)</f>
        <v>77</v>
      </c>
      <c r="H77" s="105">
        <f>SUBTOTAL(9,H70:H76)</f>
        <v>0.66379310344827569</v>
      </c>
      <c r="I77" s="6"/>
    </row>
    <row r="78" spans="2:9" ht="62.4" customHeight="1" outlineLevel="2" thickTop="1" thickBot="1" x14ac:dyDescent="0.35">
      <c r="B78" s="175" t="s">
        <v>145</v>
      </c>
      <c r="C78" s="175">
        <v>83</v>
      </c>
      <c r="D78" s="180" t="s">
        <v>115</v>
      </c>
      <c r="E78" s="42" t="s">
        <v>50</v>
      </c>
      <c r="F78" s="23" t="s">
        <v>251</v>
      </c>
      <c r="G78" s="23">
        <v>16</v>
      </c>
      <c r="H78" s="102">
        <f>G78/83</f>
        <v>0.19277108433734941</v>
      </c>
      <c r="I78" s="6"/>
    </row>
    <row r="79" spans="2:9" ht="91.8" customHeight="1" outlineLevel="2" thickTop="1" thickBot="1" x14ac:dyDescent="0.35">
      <c r="B79" s="175"/>
      <c r="C79" s="175"/>
      <c r="D79" s="180"/>
      <c r="E79" s="42" t="s">
        <v>52</v>
      </c>
      <c r="F79" s="23" t="s">
        <v>234</v>
      </c>
      <c r="G79" s="23">
        <v>10</v>
      </c>
      <c r="H79" s="102">
        <f>G79/83</f>
        <v>0.12048192771084337</v>
      </c>
      <c r="I79" s="5"/>
    </row>
    <row r="80" spans="2:9" ht="21" customHeight="1" outlineLevel="1" thickTop="1" thickBot="1" x14ac:dyDescent="0.35">
      <c r="B80" s="158" t="s">
        <v>286</v>
      </c>
      <c r="C80" s="136">
        <f>SUBTOTAL(9,C78:C79)</f>
        <v>83</v>
      </c>
      <c r="D80" s="142"/>
      <c r="E80" s="42"/>
      <c r="F80" s="23"/>
      <c r="G80" s="23">
        <f>SUBTOTAL(9,G78:G79)</f>
        <v>26</v>
      </c>
      <c r="H80" s="102">
        <f>SUBTOTAL(9,H78:H79)</f>
        <v>0.31325301204819278</v>
      </c>
      <c r="I80" s="5"/>
    </row>
    <row r="81" spans="2:9" ht="60.6" customHeight="1" outlineLevel="2" thickTop="1" thickBot="1" x14ac:dyDescent="0.35">
      <c r="B81" s="190" t="s">
        <v>146</v>
      </c>
      <c r="C81" s="190">
        <v>85</v>
      </c>
      <c r="D81" s="186" t="s">
        <v>116</v>
      </c>
      <c r="E81" s="59" t="s">
        <v>53</v>
      </c>
      <c r="F81" s="60" t="s">
        <v>231</v>
      </c>
      <c r="G81" s="60">
        <v>30</v>
      </c>
      <c r="H81" s="106">
        <f>G81/85</f>
        <v>0.35294117647058826</v>
      </c>
      <c r="I81" s="5"/>
    </row>
    <row r="82" spans="2:9" ht="79.8" customHeight="1" outlineLevel="2" thickTop="1" thickBot="1" x14ac:dyDescent="0.35">
      <c r="B82" s="190"/>
      <c r="C82" s="190"/>
      <c r="D82" s="186"/>
      <c r="E82" s="59" t="s">
        <v>51</v>
      </c>
      <c r="F82" s="60" t="s">
        <v>251</v>
      </c>
      <c r="G82" s="60">
        <v>18</v>
      </c>
      <c r="H82" s="106">
        <f>G82/85</f>
        <v>0.21176470588235294</v>
      </c>
      <c r="I82" s="6"/>
    </row>
    <row r="83" spans="2:9" ht="22.8" customHeight="1" outlineLevel="1" thickTop="1" thickBot="1" x14ac:dyDescent="0.35">
      <c r="B83" s="164" t="s">
        <v>287</v>
      </c>
      <c r="C83" s="152">
        <f>SUBTOTAL(9,C81:C82)</f>
        <v>85</v>
      </c>
      <c r="D83" s="148"/>
      <c r="E83" s="59"/>
      <c r="F83" s="60"/>
      <c r="G83" s="60">
        <f>SUBTOTAL(9,G81:G82)</f>
        <v>48</v>
      </c>
      <c r="H83" s="106">
        <f>SUBTOTAL(9,H81:H82)</f>
        <v>0.56470588235294117</v>
      </c>
      <c r="I83" s="6"/>
    </row>
    <row r="84" spans="2:9" ht="30" outlineLevel="2" thickTop="1" thickBot="1" x14ac:dyDescent="0.35">
      <c r="B84" s="176" t="s">
        <v>147</v>
      </c>
      <c r="C84" s="176">
        <v>231</v>
      </c>
      <c r="D84" s="182" t="s">
        <v>117</v>
      </c>
      <c r="E84" s="24" t="s">
        <v>66</v>
      </c>
      <c r="F84" s="25" t="s">
        <v>233</v>
      </c>
      <c r="G84" s="25">
        <v>9</v>
      </c>
      <c r="H84" s="97">
        <f>G84/231</f>
        <v>3.896103896103896E-2</v>
      </c>
      <c r="I84" s="5"/>
    </row>
    <row r="85" spans="2:9" ht="16.2" outlineLevel="2" thickTop="1" thickBot="1" x14ac:dyDescent="0.35">
      <c r="B85" s="176"/>
      <c r="C85" s="176"/>
      <c r="D85" s="182"/>
      <c r="E85" s="24" t="s">
        <v>11</v>
      </c>
      <c r="F85" s="25" t="s">
        <v>257</v>
      </c>
      <c r="G85" s="25">
        <v>2</v>
      </c>
      <c r="H85" s="97">
        <f t="shared" ref="H85:H89" si="5">G85/231</f>
        <v>8.658008658008658E-3</v>
      </c>
      <c r="I85" s="5"/>
    </row>
    <row r="86" spans="2:9" ht="16.8" outlineLevel="2" thickTop="1" thickBot="1" x14ac:dyDescent="0.35">
      <c r="B86" s="176"/>
      <c r="C86" s="176"/>
      <c r="D86" s="182"/>
      <c r="E86" s="24" t="s">
        <v>81</v>
      </c>
      <c r="F86" s="25" t="s">
        <v>231</v>
      </c>
      <c r="G86" s="25">
        <v>2</v>
      </c>
      <c r="H86" s="97">
        <f t="shared" si="5"/>
        <v>8.658008658008658E-3</v>
      </c>
      <c r="I86" s="8"/>
    </row>
    <row r="87" spans="2:9" ht="36" customHeight="1" outlineLevel="2" thickTop="1" thickBot="1" x14ac:dyDescent="0.35">
      <c r="B87" s="176"/>
      <c r="C87" s="176"/>
      <c r="D87" s="182"/>
      <c r="E87" s="24" t="s">
        <v>19</v>
      </c>
      <c r="F87" s="25" t="s">
        <v>259</v>
      </c>
      <c r="G87" s="25">
        <v>1</v>
      </c>
      <c r="H87" s="97">
        <f t="shared" si="5"/>
        <v>4.329004329004329E-3</v>
      </c>
      <c r="I87" s="8"/>
    </row>
    <row r="88" spans="2:9" ht="16.8" outlineLevel="2" thickTop="1" thickBot="1" x14ac:dyDescent="0.35">
      <c r="B88" s="176"/>
      <c r="C88" s="176"/>
      <c r="D88" s="182"/>
      <c r="E88" s="24" t="s">
        <v>20</v>
      </c>
      <c r="F88" s="25" t="s">
        <v>236</v>
      </c>
      <c r="G88" s="25">
        <v>1</v>
      </c>
      <c r="H88" s="97">
        <f t="shared" si="5"/>
        <v>4.329004329004329E-3</v>
      </c>
      <c r="I88" s="8"/>
    </row>
    <row r="89" spans="2:9" ht="37.799999999999997" customHeight="1" outlineLevel="2" thickTop="1" thickBot="1" x14ac:dyDescent="0.35">
      <c r="B89" s="176"/>
      <c r="C89" s="176"/>
      <c r="D89" s="182"/>
      <c r="E89" s="24" t="s">
        <v>188</v>
      </c>
      <c r="F89" s="25" t="s">
        <v>233</v>
      </c>
      <c r="G89" s="25">
        <v>1</v>
      </c>
      <c r="H89" s="97">
        <f t="shared" si="5"/>
        <v>4.329004329004329E-3</v>
      </c>
      <c r="I89" s="8"/>
    </row>
    <row r="90" spans="2:9" ht="37.799999999999997" customHeight="1" outlineLevel="1" thickTop="1" thickBot="1" x14ac:dyDescent="0.35">
      <c r="B90" s="157" t="s">
        <v>288</v>
      </c>
      <c r="C90" s="137">
        <f>SUBTOTAL(9,C84:C89)</f>
        <v>231</v>
      </c>
      <c r="D90" s="144"/>
      <c r="E90" s="24"/>
      <c r="F90" s="25"/>
      <c r="G90" s="25">
        <f>SUBTOTAL(9,G84:G89)</f>
        <v>16</v>
      </c>
      <c r="H90" s="97">
        <f>SUBTOTAL(9,H84:H89)</f>
        <v>6.9264069264069264E-2</v>
      </c>
      <c r="I90" s="8"/>
    </row>
    <row r="91" spans="2:9" ht="16.2" outlineLevel="2" thickTop="1" thickBot="1" x14ac:dyDescent="0.35">
      <c r="B91" s="46" t="s">
        <v>148</v>
      </c>
      <c r="C91" s="46">
        <v>132</v>
      </c>
      <c r="D91" s="47" t="s">
        <v>118</v>
      </c>
      <c r="E91" s="19" t="s">
        <v>17</v>
      </c>
      <c r="F91" s="20" t="s">
        <v>259</v>
      </c>
      <c r="G91" s="20">
        <v>0</v>
      </c>
      <c r="H91" s="96">
        <v>0</v>
      </c>
      <c r="I91" s="5"/>
    </row>
    <row r="92" spans="2:9" ht="16.2" outlineLevel="1" thickTop="1" thickBot="1" x14ac:dyDescent="0.35">
      <c r="B92" s="156" t="s">
        <v>289</v>
      </c>
      <c r="C92" s="138">
        <f>SUBTOTAL(9,C91:C91)</f>
        <v>132</v>
      </c>
      <c r="D92" s="150"/>
      <c r="E92" s="19"/>
      <c r="F92" s="20"/>
      <c r="G92" s="20">
        <f>SUBTOTAL(9,G91:G91)</f>
        <v>0</v>
      </c>
      <c r="H92" s="96">
        <f>SUBTOTAL(9,H91:H91)</f>
        <v>0</v>
      </c>
      <c r="I92" s="5"/>
    </row>
    <row r="93" spans="2:9" ht="30" outlineLevel="2" thickTop="1" thickBot="1" x14ac:dyDescent="0.35">
      <c r="B93" s="169" t="s">
        <v>149</v>
      </c>
      <c r="C93" s="169">
        <v>170</v>
      </c>
      <c r="D93" s="172" t="s">
        <v>119</v>
      </c>
      <c r="E93" s="61" t="s">
        <v>166</v>
      </c>
      <c r="F93" s="51" t="s">
        <v>236</v>
      </c>
      <c r="G93" s="51">
        <v>4</v>
      </c>
      <c r="H93" s="103">
        <f>G93/170</f>
        <v>2.3529411764705882E-2</v>
      </c>
      <c r="I93" s="5"/>
    </row>
    <row r="94" spans="2:9" ht="30" outlineLevel="2" thickTop="1" thickBot="1" x14ac:dyDescent="0.35">
      <c r="B94" s="170"/>
      <c r="C94" s="170"/>
      <c r="D94" s="173"/>
      <c r="E94" s="50" t="s">
        <v>73</v>
      </c>
      <c r="F94" s="51" t="s">
        <v>265</v>
      </c>
      <c r="G94" s="51">
        <v>2</v>
      </c>
      <c r="H94" s="103">
        <f t="shared" ref="H94:H100" si="6">G94/170</f>
        <v>1.1764705882352941E-2</v>
      </c>
      <c r="I94" s="6"/>
    </row>
    <row r="95" spans="2:9" ht="16.8" outlineLevel="2" thickTop="1" thickBot="1" x14ac:dyDescent="0.35">
      <c r="B95" s="170"/>
      <c r="C95" s="170"/>
      <c r="D95" s="173"/>
      <c r="E95" s="61" t="s">
        <v>8</v>
      </c>
      <c r="F95" s="51" t="s">
        <v>233</v>
      </c>
      <c r="G95" s="51">
        <v>1</v>
      </c>
      <c r="H95" s="103">
        <f t="shared" si="6"/>
        <v>5.8823529411764705E-3</v>
      </c>
      <c r="I95" s="6"/>
    </row>
    <row r="96" spans="2:9" ht="16.8" outlineLevel="2" thickTop="1" thickBot="1" x14ac:dyDescent="0.35">
      <c r="B96" s="170"/>
      <c r="C96" s="170"/>
      <c r="D96" s="173"/>
      <c r="E96" s="50" t="s">
        <v>207</v>
      </c>
      <c r="F96" s="51" t="s">
        <v>227</v>
      </c>
      <c r="G96" s="51">
        <v>1</v>
      </c>
      <c r="H96" s="103">
        <f>G96/170</f>
        <v>5.8823529411764705E-3</v>
      </c>
      <c r="I96" s="6"/>
    </row>
    <row r="97" spans="2:9" ht="16.8" outlineLevel="1" thickTop="1" thickBot="1" x14ac:dyDescent="0.35">
      <c r="B97" s="170"/>
      <c r="C97" s="170"/>
      <c r="D97" s="173"/>
      <c r="E97" s="61" t="s">
        <v>18</v>
      </c>
      <c r="F97" s="51" t="s">
        <v>249</v>
      </c>
      <c r="G97" s="51">
        <v>1</v>
      </c>
      <c r="H97" s="103">
        <f t="shared" si="6"/>
        <v>5.8823529411764705E-3</v>
      </c>
      <c r="I97" s="6"/>
    </row>
    <row r="98" spans="2:9" ht="44.4" outlineLevel="1" thickTop="1" thickBot="1" x14ac:dyDescent="0.35">
      <c r="B98" s="170"/>
      <c r="C98" s="170"/>
      <c r="D98" s="173"/>
      <c r="E98" s="61" t="s">
        <v>196</v>
      </c>
      <c r="F98" s="51" t="s">
        <v>243</v>
      </c>
      <c r="G98" s="51">
        <v>1</v>
      </c>
      <c r="H98" s="103">
        <f t="shared" si="6"/>
        <v>5.8823529411764705E-3</v>
      </c>
      <c r="I98" s="6"/>
    </row>
    <row r="99" spans="2:9" ht="44.4" outlineLevel="1" thickTop="1" thickBot="1" x14ac:dyDescent="0.35">
      <c r="B99" s="171"/>
      <c r="C99" s="171"/>
      <c r="D99" s="174"/>
      <c r="E99" s="61" t="s">
        <v>197</v>
      </c>
      <c r="F99" s="51" t="s">
        <v>264</v>
      </c>
      <c r="G99" s="51">
        <v>1</v>
      </c>
      <c r="H99" s="103">
        <f t="shared" si="6"/>
        <v>5.8823529411764705E-3</v>
      </c>
      <c r="I99" s="6"/>
    </row>
    <row r="100" spans="2:9" ht="16.8" outlineLevel="1" thickTop="1" thickBot="1" x14ac:dyDescent="0.35">
      <c r="B100" s="168" t="s">
        <v>290</v>
      </c>
      <c r="C100" s="166">
        <v>170</v>
      </c>
      <c r="D100" s="167"/>
      <c r="E100" s="61"/>
      <c r="F100" s="51"/>
      <c r="G100" s="51">
        <f>SUM(G93:G99)</f>
        <v>11</v>
      </c>
      <c r="H100" s="103">
        <f t="shared" si="6"/>
        <v>6.4705882352941183E-2</v>
      </c>
      <c r="I100" s="6"/>
    </row>
    <row r="101" spans="2:9" ht="66" customHeight="1" outlineLevel="2" thickTop="1" thickBot="1" x14ac:dyDescent="0.35">
      <c r="B101" s="175" t="s">
        <v>150</v>
      </c>
      <c r="C101" s="175">
        <v>212</v>
      </c>
      <c r="D101" s="180" t="s">
        <v>120</v>
      </c>
      <c r="E101" s="22" t="s">
        <v>201</v>
      </c>
      <c r="F101" s="23" t="s">
        <v>233</v>
      </c>
      <c r="G101" s="23">
        <v>1</v>
      </c>
      <c r="H101" s="102">
        <f>G101/212</f>
        <v>4.7169811320754715E-3</v>
      </c>
      <c r="I101" s="6"/>
    </row>
    <row r="102" spans="2:9" ht="61.2" customHeight="1" outlineLevel="2" thickTop="1" thickBot="1" x14ac:dyDescent="0.35">
      <c r="B102" s="175"/>
      <c r="C102" s="175"/>
      <c r="D102" s="180"/>
      <c r="E102" s="22" t="s">
        <v>220</v>
      </c>
      <c r="F102" s="23" t="s">
        <v>230</v>
      </c>
      <c r="G102" s="23">
        <v>1</v>
      </c>
      <c r="H102" s="102">
        <f>G102/212</f>
        <v>4.7169811320754715E-3</v>
      </c>
      <c r="I102" s="6"/>
    </row>
    <row r="103" spans="2:9" ht="28.2" customHeight="1" outlineLevel="1" thickTop="1" thickBot="1" x14ac:dyDescent="0.35">
      <c r="B103" s="158" t="s">
        <v>291</v>
      </c>
      <c r="C103" s="165">
        <f>SUBTOTAL(9,C101:C102)</f>
        <v>212</v>
      </c>
      <c r="D103" s="142"/>
      <c r="E103" s="22"/>
      <c r="F103" s="23"/>
      <c r="G103" s="23">
        <f>SUBTOTAL(9,G101:G102)</f>
        <v>2</v>
      </c>
      <c r="H103" s="102">
        <f>SUBTOTAL(9,H101:H102)</f>
        <v>9.433962264150943E-3</v>
      </c>
      <c r="I103" s="6"/>
    </row>
    <row r="104" spans="2:9" ht="48.6" customHeight="1" outlineLevel="2" thickTop="1" thickBot="1" x14ac:dyDescent="0.35">
      <c r="B104" s="177" t="s">
        <v>151</v>
      </c>
      <c r="C104" s="194">
        <v>183</v>
      </c>
      <c r="D104" s="189" t="s">
        <v>121</v>
      </c>
      <c r="E104" s="21" t="s">
        <v>64</v>
      </c>
      <c r="F104" s="20" t="s">
        <v>261</v>
      </c>
      <c r="G104" s="20">
        <v>23</v>
      </c>
      <c r="H104" s="96">
        <f>G104/183</f>
        <v>0.12568306010928962</v>
      </c>
      <c r="I104" s="6"/>
    </row>
    <row r="105" spans="2:9" ht="48" customHeight="1" outlineLevel="2" thickTop="1" thickBot="1" x14ac:dyDescent="0.35">
      <c r="B105" s="177"/>
      <c r="C105" s="195"/>
      <c r="D105" s="189"/>
      <c r="E105" s="19" t="s">
        <v>9</v>
      </c>
      <c r="F105" s="20" t="s">
        <v>233</v>
      </c>
      <c r="G105" s="20">
        <v>1</v>
      </c>
      <c r="H105" s="96">
        <f t="shared" ref="H105" si="7">G105/183</f>
        <v>5.4644808743169399E-3</v>
      </c>
      <c r="I105" s="6"/>
    </row>
    <row r="106" spans="2:9" ht="80.400000000000006" customHeight="1" outlineLevel="2" thickTop="1" thickBot="1" x14ac:dyDescent="0.35">
      <c r="B106" s="177"/>
      <c r="C106" s="196"/>
      <c r="D106" s="189"/>
      <c r="E106" s="19" t="s">
        <v>199</v>
      </c>
      <c r="F106" s="20" t="s">
        <v>236</v>
      </c>
      <c r="G106" s="20">
        <v>1</v>
      </c>
      <c r="H106" s="96">
        <f>G106/183</f>
        <v>5.4644808743169399E-3</v>
      </c>
      <c r="I106" s="6"/>
    </row>
    <row r="107" spans="2:9" ht="14.4" customHeight="1" outlineLevel="1" thickTop="1" thickBot="1" x14ac:dyDescent="0.35">
      <c r="B107" s="156" t="s">
        <v>292</v>
      </c>
      <c r="C107" s="155">
        <f>SUBTOTAL(9,C104:C106)</f>
        <v>183</v>
      </c>
      <c r="D107" s="150"/>
      <c r="E107" s="19"/>
      <c r="F107" s="20"/>
      <c r="G107" s="20">
        <f>SUBTOTAL(9,G104:G106)</f>
        <v>25</v>
      </c>
      <c r="H107" s="96">
        <f>SUBTOTAL(9,H104:H106)</f>
        <v>0.13661202185792351</v>
      </c>
      <c r="I107" s="6"/>
    </row>
    <row r="108" spans="2:9" ht="30" outlineLevel="2" thickTop="1" thickBot="1" x14ac:dyDescent="0.35">
      <c r="B108" s="176" t="s">
        <v>152</v>
      </c>
      <c r="C108" s="176">
        <v>61</v>
      </c>
      <c r="D108" s="182" t="s">
        <v>122</v>
      </c>
      <c r="E108" s="45" t="s">
        <v>162</v>
      </c>
      <c r="F108" s="25" t="s">
        <v>254</v>
      </c>
      <c r="G108" s="25">
        <v>10</v>
      </c>
      <c r="H108" s="97">
        <f>G108/61</f>
        <v>0.16393442622950818</v>
      </c>
      <c r="I108" s="6"/>
    </row>
    <row r="109" spans="2:9" ht="30" outlineLevel="2" thickTop="1" thickBot="1" x14ac:dyDescent="0.35">
      <c r="B109" s="176"/>
      <c r="C109" s="176"/>
      <c r="D109" s="182"/>
      <c r="E109" s="45" t="s">
        <v>37</v>
      </c>
      <c r="F109" s="25" t="s">
        <v>249</v>
      </c>
      <c r="G109" s="25">
        <v>3</v>
      </c>
      <c r="H109" s="97">
        <f t="shared" ref="H109:H111" si="8">G109/61</f>
        <v>4.9180327868852458E-2</v>
      </c>
      <c r="I109" s="6"/>
    </row>
    <row r="110" spans="2:9" ht="16.2" outlineLevel="2" thickTop="1" thickBot="1" x14ac:dyDescent="0.35">
      <c r="B110" s="176"/>
      <c r="C110" s="176"/>
      <c r="D110" s="182"/>
      <c r="E110" s="45" t="s">
        <v>31</v>
      </c>
      <c r="F110" s="25" t="s">
        <v>255</v>
      </c>
      <c r="G110" s="25">
        <v>1</v>
      </c>
      <c r="H110" s="97">
        <f t="shared" si="8"/>
        <v>1.6393442622950821E-2</v>
      </c>
      <c r="I110" s="5"/>
    </row>
    <row r="111" spans="2:9" ht="58.8" outlineLevel="2" thickTop="1" thickBot="1" x14ac:dyDescent="0.35">
      <c r="B111" s="176"/>
      <c r="C111" s="176"/>
      <c r="D111" s="182"/>
      <c r="E111" s="24" t="s">
        <v>198</v>
      </c>
      <c r="F111" s="25" t="s">
        <v>248</v>
      </c>
      <c r="G111" s="25">
        <v>1</v>
      </c>
      <c r="H111" s="97">
        <f t="shared" si="8"/>
        <v>1.6393442622950821E-2</v>
      </c>
      <c r="I111" s="5"/>
    </row>
    <row r="112" spans="2:9" ht="16.2" outlineLevel="1" thickTop="1" thickBot="1" x14ac:dyDescent="0.35">
      <c r="B112" s="157" t="s">
        <v>293</v>
      </c>
      <c r="C112" s="137">
        <f>SUBTOTAL(9,C108:C111)</f>
        <v>61</v>
      </c>
      <c r="D112" s="144"/>
      <c r="E112" s="24"/>
      <c r="F112" s="25"/>
      <c r="G112" s="25">
        <f>SUBTOTAL(9,G108:G111)</f>
        <v>15</v>
      </c>
      <c r="H112" s="97">
        <f>SUBTOTAL(9,H108:H111)</f>
        <v>0.24590163934426226</v>
      </c>
      <c r="I112" s="5"/>
    </row>
    <row r="113" spans="2:9" ht="16.2" outlineLevel="2" thickTop="1" thickBot="1" x14ac:dyDescent="0.35">
      <c r="B113" s="177" t="s">
        <v>153</v>
      </c>
      <c r="C113" s="177">
        <v>150</v>
      </c>
      <c r="D113" s="189" t="s">
        <v>123</v>
      </c>
      <c r="E113" s="21" t="s">
        <v>30</v>
      </c>
      <c r="F113" s="20" t="s">
        <v>249</v>
      </c>
      <c r="G113" s="20">
        <v>78</v>
      </c>
      <c r="H113" s="107">
        <f>G113/150</f>
        <v>0.52</v>
      </c>
      <c r="I113" s="5"/>
    </row>
    <row r="114" spans="2:9" ht="30" outlineLevel="2" thickTop="1" thickBot="1" x14ac:dyDescent="0.35">
      <c r="B114" s="177"/>
      <c r="C114" s="177"/>
      <c r="D114" s="189"/>
      <c r="E114" s="19" t="s">
        <v>203</v>
      </c>
      <c r="F114" s="20" t="s">
        <v>265</v>
      </c>
      <c r="G114" s="20">
        <v>2</v>
      </c>
      <c r="H114" s="107">
        <f t="shared" ref="H114:H121" si="9">G114/150</f>
        <v>1.3333333333333334E-2</v>
      </c>
      <c r="I114" s="5"/>
    </row>
    <row r="115" spans="2:9" ht="30" outlineLevel="2" thickTop="1" thickBot="1" x14ac:dyDescent="0.35">
      <c r="B115" s="177"/>
      <c r="C115" s="177"/>
      <c r="D115" s="189"/>
      <c r="E115" s="21" t="s">
        <v>35</v>
      </c>
      <c r="F115" s="62" t="s">
        <v>246</v>
      </c>
      <c r="G115" s="62">
        <v>1</v>
      </c>
      <c r="H115" s="107">
        <f t="shared" si="9"/>
        <v>6.6666666666666671E-3</v>
      </c>
      <c r="I115" s="5"/>
    </row>
    <row r="116" spans="2:9" ht="16.8" outlineLevel="2" thickTop="1" thickBot="1" x14ac:dyDescent="0.35">
      <c r="B116" s="177"/>
      <c r="C116" s="177"/>
      <c r="D116" s="189"/>
      <c r="E116" s="19" t="s">
        <v>14</v>
      </c>
      <c r="F116" s="20" t="s">
        <v>232</v>
      </c>
      <c r="G116" s="20">
        <v>1</v>
      </c>
      <c r="H116" s="107">
        <f>G116/150</f>
        <v>6.6666666666666671E-3</v>
      </c>
      <c r="I116" s="6"/>
    </row>
    <row r="117" spans="2:9" outlineLevel="2" thickTop="1" thickBot="1" x14ac:dyDescent="0.35">
      <c r="B117" s="177"/>
      <c r="C117" s="177"/>
      <c r="D117" s="189"/>
      <c r="E117" s="19" t="s">
        <v>23</v>
      </c>
      <c r="F117" s="20" t="s">
        <v>230</v>
      </c>
      <c r="G117" s="20">
        <v>1</v>
      </c>
      <c r="H117" s="107">
        <f t="shared" si="9"/>
        <v>6.6666666666666671E-3</v>
      </c>
    </row>
    <row r="118" spans="2:9" outlineLevel="2" thickTop="1" thickBot="1" x14ac:dyDescent="0.35">
      <c r="B118" s="177"/>
      <c r="C118" s="177"/>
      <c r="D118" s="189"/>
      <c r="E118" s="19" t="s">
        <v>193</v>
      </c>
      <c r="F118" s="20" t="s">
        <v>262</v>
      </c>
      <c r="G118" s="20">
        <v>1</v>
      </c>
      <c r="H118" s="107">
        <f t="shared" si="9"/>
        <v>6.6666666666666671E-3</v>
      </c>
    </row>
    <row r="119" spans="2:9" ht="44.4" outlineLevel="2" thickTop="1" thickBot="1" x14ac:dyDescent="0.35">
      <c r="B119" s="177"/>
      <c r="C119" s="177"/>
      <c r="D119" s="189"/>
      <c r="E119" s="19" t="s">
        <v>181</v>
      </c>
      <c r="F119" s="20" t="s">
        <v>262</v>
      </c>
      <c r="G119" s="20">
        <v>1</v>
      </c>
      <c r="H119" s="107">
        <f t="shared" si="9"/>
        <v>6.6666666666666671E-3</v>
      </c>
    </row>
    <row r="120" spans="2:9" outlineLevel="2" thickTop="1" thickBot="1" x14ac:dyDescent="0.35">
      <c r="B120" s="177"/>
      <c r="C120" s="177"/>
      <c r="D120" s="189"/>
      <c r="E120" s="19" t="s">
        <v>212</v>
      </c>
      <c r="F120" s="20" t="s">
        <v>256</v>
      </c>
      <c r="G120" s="20">
        <v>1</v>
      </c>
      <c r="H120" s="107">
        <f t="shared" si="9"/>
        <v>6.6666666666666671E-3</v>
      </c>
    </row>
    <row r="121" spans="2:9" outlineLevel="2" thickTop="1" thickBot="1" x14ac:dyDescent="0.35">
      <c r="B121" s="177"/>
      <c r="C121" s="177"/>
      <c r="D121" s="189"/>
      <c r="E121" s="19" t="s">
        <v>217</v>
      </c>
      <c r="F121" s="20" t="s">
        <v>262</v>
      </c>
      <c r="G121" s="20">
        <v>1</v>
      </c>
      <c r="H121" s="107">
        <f t="shared" si="9"/>
        <v>6.6666666666666671E-3</v>
      </c>
    </row>
    <row r="122" spans="2:9" outlineLevel="1" thickTop="1" thickBot="1" x14ac:dyDescent="0.35">
      <c r="B122" s="156" t="s">
        <v>294</v>
      </c>
      <c r="C122" s="138">
        <f>SUBTOTAL(9,C113:C121)</f>
        <v>150</v>
      </c>
      <c r="D122" s="150"/>
      <c r="E122" s="19"/>
      <c r="F122" s="20"/>
      <c r="G122" s="20">
        <f>SUBTOTAL(9,G113:G121)</f>
        <v>87</v>
      </c>
      <c r="H122" s="107">
        <f>SUBTOTAL(9,H113:H121)</f>
        <v>0.58000000000000029</v>
      </c>
    </row>
    <row r="123" spans="2:9" outlineLevel="2" thickTop="1" thickBot="1" x14ac:dyDescent="0.35">
      <c r="B123" s="175" t="s">
        <v>154</v>
      </c>
      <c r="C123" s="175">
        <v>144</v>
      </c>
      <c r="D123" s="180" t="s">
        <v>124</v>
      </c>
      <c r="E123" s="42" t="s">
        <v>164</v>
      </c>
      <c r="F123" s="23" t="s">
        <v>263</v>
      </c>
      <c r="G123" s="23">
        <v>24</v>
      </c>
      <c r="H123" s="102">
        <f t="shared" ref="H123:H128" si="10">G123/144</f>
        <v>0.16666666666666666</v>
      </c>
    </row>
    <row r="124" spans="2:9" ht="16.2" outlineLevel="2" thickTop="1" thickBot="1" x14ac:dyDescent="0.35">
      <c r="B124" s="175"/>
      <c r="C124" s="175"/>
      <c r="D124" s="180"/>
      <c r="E124" s="22" t="s">
        <v>62</v>
      </c>
      <c r="F124" s="23" t="s">
        <v>254</v>
      </c>
      <c r="G124" s="23">
        <v>13</v>
      </c>
      <c r="H124" s="102">
        <f t="shared" si="10"/>
        <v>9.0277777777777776E-2</v>
      </c>
      <c r="I124" s="5"/>
    </row>
    <row r="125" spans="2:9" outlineLevel="2" thickTop="1" thickBot="1" x14ac:dyDescent="0.35">
      <c r="B125" s="175"/>
      <c r="C125" s="175"/>
      <c r="D125" s="180"/>
      <c r="E125" s="22" t="s">
        <v>75</v>
      </c>
      <c r="F125" s="23" t="s">
        <v>236</v>
      </c>
      <c r="G125" s="23">
        <v>2</v>
      </c>
      <c r="H125" s="102">
        <f t="shared" si="10"/>
        <v>1.3888888888888888E-2</v>
      </c>
    </row>
    <row r="126" spans="2:9" ht="24.6" outlineLevel="2" thickTop="1" thickBot="1" x14ac:dyDescent="0.35">
      <c r="B126" s="175"/>
      <c r="C126" s="175"/>
      <c r="D126" s="180"/>
      <c r="E126" s="22" t="s">
        <v>61</v>
      </c>
      <c r="F126" s="23" t="s">
        <v>227</v>
      </c>
      <c r="G126" s="23">
        <v>2</v>
      </c>
      <c r="H126" s="102">
        <f>G126/144</f>
        <v>1.3888888888888888E-2</v>
      </c>
      <c r="I126" s="7"/>
    </row>
    <row r="127" spans="2:9" ht="55.8" customHeight="1" outlineLevel="2" thickTop="1" thickBot="1" x14ac:dyDescent="0.35">
      <c r="B127" s="175"/>
      <c r="C127" s="175"/>
      <c r="D127" s="180"/>
      <c r="E127" s="22" t="s">
        <v>59</v>
      </c>
      <c r="F127" s="23" t="s">
        <v>262</v>
      </c>
      <c r="G127" s="23">
        <v>2</v>
      </c>
      <c r="H127" s="102">
        <f>G127/144</f>
        <v>1.3888888888888888E-2</v>
      </c>
      <c r="I127" s="7"/>
    </row>
    <row r="128" spans="2:9" ht="69" customHeight="1" outlineLevel="2" thickTop="1" thickBot="1" x14ac:dyDescent="0.35">
      <c r="B128" s="175"/>
      <c r="C128" s="175"/>
      <c r="D128" s="180"/>
      <c r="E128" s="22" t="s">
        <v>65</v>
      </c>
      <c r="F128" s="23" t="s">
        <v>249</v>
      </c>
      <c r="G128" s="23">
        <v>1</v>
      </c>
      <c r="H128" s="102">
        <f t="shared" si="10"/>
        <v>6.9444444444444441E-3</v>
      </c>
    </row>
    <row r="129" spans="2:9" ht="22.2" customHeight="1" outlineLevel="1" thickTop="1" thickBot="1" x14ac:dyDescent="0.35">
      <c r="B129" s="158" t="s">
        <v>295</v>
      </c>
      <c r="C129" s="165">
        <f>SUBTOTAL(9,C123:C128)</f>
        <v>144</v>
      </c>
      <c r="D129" s="142"/>
      <c r="E129" s="22"/>
      <c r="F129" s="23"/>
      <c r="G129" s="23">
        <f>SUBTOTAL(9,G123:G128)</f>
        <v>44</v>
      </c>
      <c r="H129" s="102">
        <f>SUBTOTAL(9,H123:H128)</f>
        <v>0.30555555555555552</v>
      </c>
    </row>
    <row r="130" spans="2:9" ht="45.6" customHeight="1" outlineLevel="2" thickTop="1" thickBot="1" x14ac:dyDescent="0.35">
      <c r="B130" s="187" t="s">
        <v>155</v>
      </c>
      <c r="C130" s="169">
        <v>30</v>
      </c>
      <c r="D130" s="188" t="s">
        <v>125</v>
      </c>
      <c r="E130" s="63" t="s">
        <v>165</v>
      </c>
      <c r="F130" s="51" t="s">
        <v>246</v>
      </c>
      <c r="G130" s="51">
        <v>8</v>
      </c>
      <c r="H130" s="103">
        <f>G130/30</f>
        <v>0.26666666666666666</v>
      </c>
      <c r="I130" s="6"/>
    </row>
    <row r="131" spans="2:9" ht="64.8" customHeight="1" outlineLevel="2" thickTop="1" thickBot="1" x14ac:dyDescent="0.35">
      <c r="B131" s="187"/>
      <c r="C131" s="170"/>
      <c r="D131" s="188"/>
      <c r="E131" s="63" t="s">
        <v>39</v>
      </c>
      <c r="F131" s="51" t="s">
        <v>254</v>
      </c>
      <c r="G131" s="51">
        <v>3</v>
      </c>
      <c r="H131" s="103">
        <f>G131/30</f>
        <v>0.1</v>
      </c>
      <c r="I131" s="6"/>
    </row>
    <row r="132" spans="2:9" ht="60.6" customHeight="1" outlineLevel="2" thickTop="1" thickBot="1" x14ac:dyDescent="0.35">
      <c r="B132" s="187"/>
      <c r="C132" s="170"/>
      <c r="D132" s="188"/>
      <c r="E132" s="63" t="s">
        <v>36</v>
      </c>
      <c r="F132" s="51" t="s">
        <v>230</v>
      </c>
      <c r="G132" s="51">
        <v>2</v>
      </c>
      <c r="H132" s="103">
        <f>G132/30</f>
        <v>6.6666666666666666E-2</v>
      </c>
      <c r="I132" s="6"/>
    </row>
    <row r="133" spans="2:9" ht="51" customHeight="1" outlineLevel="2" thickTop="1" thickBot="1" x14ac:dyDescent="0.35">
      <c r="B133" s="187"/>
      <c r="C133" s="170"/>
      <c r="D133" s="188"/>
      <c r="E133" s="63" t="s">
        <v>40</v>
      </c>
      <c r="F133" s="51" t="s">
        <v>238</v>
      </c>
      <c r="G133" s="51">
        <v>2</v>
      </c>
      <c r="H133" s="103">
        <f>G133/30</f>
        <v>6.6666666666666666E-2</v>
      </c>
      <c r="I133" s="6"/>
    </row>
    <row r="134" spans="2:9" ht="24" customHeight="1" outlineLevel="1" thickTop="1" thickBot="1" x14ac:dyDescent="0.35">
      <c r="B134" s="161" t="s">
        <v>296</v>
      </c>
      <c r="C134" s="151">
        <f>SUBTOTAL(9,C130:C133)</f>
        <v>30</v>
      </c>
      <c r="D134" s="149"/>
      <c r="E134" s="63"/>
      <c r="F134" s="51"/>
      <c r="G134" s="51">
        <f>SUBTOTAL(9,G130:G133)</f>
        <v>15</v>
      </c>
      <c r="H134" s="103">
        <f>SUBTOTAL(9,H130:H133)</f>
        <v>0.5</v>
      </c>
      <c r="I134" s="6"/>
    </row>
    <row r="135" spans="2:9" ht="32.4" customHeight="1" outlineLevel="2" thickTop="1" thickBot="1" x14ac:dyDescent="0.35">
      <c r="B135" s="177" t="s">
        <v>156</v>
      </c>
      <c r="C135" s="177">
        <v>100</v>
      </c>
      <c r="D135" s="189" t="s">
        <v>126</v>
      </c>
      <c r="E135" s="19" t="s">
        <v>7</v>
      </c>
      <c r="F135" s="20" t="s">
        <v>233</v>
      </c>
      <c r="G135" s="20">
        <v>2</v>
      </c>
      <c r="H135" s="109">
        <f>G135/100</f>
        <v>0.02</v>
      </c>
      <c r="I135" s="6"/>
    </row>
    <row r="136" spans="2:9" ht="33" customHeight="1" outlineLevel="2" thickTop="1" thickBot="1" x14ac:dyDescent="0.35">
      <c r="B136" s="177"/>
      <c r="C136" s="177"/>
      <c r="D136" s="189"/>
      <c r="E136" s="64" t="s">
        <v>191</v>
      </c>
      <c r="F136" s="65" t="s">
        <v>227</v>
      </c>
      <c r="G136" s="65">
        <v>1</v>
      </c>
      <c r="H136" s="109">
        <f>G136/100</f>
        <v>0.01</v>
      </c>
      <c r="I136" s="5"/>
    </row>
    <row r="137" spans="2:9" ht="61.8" customHeight="1" outlineLevel="2" thickTop="1" thickBot="1" x14ac:dyDescent="0.35">
      <c r="B137" s="177"/>
      <c r="C137" s="177"/>
      <c r="D137" s="189"/>
      <c r="E137" s="19" t="s">
        <v>186</v>
      </c>
      <c r="F137" s="20" t="s">
        <v>227</v>
      </c>
      <c r="G137" s="20">
        <v>1</v>
      </c>
      <c r="H137" s="109">
        <f>G137/100</f>
        <v>0.01</v>
      </c>
      <c r="I137" s="5"/>
    </row>
    <row r="138" spans="2:9" ht="61.8" customHeight="1" outlineLevel="1" thickTop="1" thickBot="1" x14ac:dyDescent="0.35">
      <c r="B138" s="156" t="s">
        <v>297</v>
      </c>
      <c r="C138" s="138">
        <f>SUBTOTAL(9,C135:C137)</f>
        <v>100</v>
      </c>
      <c r="D138" s="150"/>
      <c r="E138" s="19"/>
      <c r="F138" s="20"/>
      <c r="G138" s="20">
        <f>SUBTOTAL(9,G135:G137)</f>
        <v>4</v>
      </c>
      <c r="H138" s="109">
        <f>SUBTOTAL(9,H135:H137)</f>
        <v>0.04</v>
      </c>
      <c r="I138" s="5"/>
    </row>
    <row r="139" spans="2:9" ht="50.4" customHeight="1" outlineLevel="2" thickTop="1" thickBot="1" x14ac:dyDescent="0.35">
      <c r="B139" s="176" t="s">
        <v>157</v>
      </c>
      <c r="C139" s="176">
        <v>110</v>
      </c>
      <c r="D139" s="182" t="s">
        <v>127</v>
      </c>
      <c r="E139" s="24" t="s">
        <v>189</v>
      </c>
      <c r="F139" s="25" t="s">
        <v>262</v>
      </c>
      <c r="G139" s="25">
        <v>2</v>
      </c>
      <c r="H139" s="97">
        <f>G139/110</f>
        <v>1.8181818181818181E-2</v>
      </c>
    </row>
    <row r="140" spans="2:9" ht="72" customHeight="1" outlineLevel="2" thickTop="1" thickBot="1" x14ac:dyDescent="0.35">
      <c r="B140" s="176"/>
      <c r="C140" s="176"/>
      <c r="D140" s="182"/>
      <c r="E140" s="37" t="s">
        <v>194</v>
      </c>
      <c r="F140" s="25" t="s">
        <v>245</v>
      </c>
      <c r="G140" s="25">
        <v>1</v>
      </c>
      <c r="H140" s="97">
        <f>G140/110</f>
        <v>9.0909090909090905E-3</v>
      </c>
      <c r="I140" s="5"/>
    </row>
    <row r="141" spans="2:9" ht="34.200000000000003" customHeight="1" outlineLevel="1" thickTop="1" thickBot="1" x14ac:dyDescent="0.35">
      <c r="B141" s="157" t="s">
        <v>298</v>
      </c>
      <c r="C141" s="137">
        <f>SUBTOTAL(9,C139:C140)</f>
        <v>110</v>
      </c>
      <c r="D141" s="144"/>
      <c r="E141" s="37"/>
      <c r="F141" s="25"/>
      <c r="G141" s="25">
        <f>SUBTOTAL(9,G139:G140)</f>
        <v>3</v>
      </c>
      <c r="H141" s="97">
        <f>SUBTOTAL(9,H139:H140)</f>
        <v>2.7272727272727271E-2</v>
      </c>
      <c r="I141" s="5"/>
    </row>
    <row r="142" spans="2:9" ht="16.2" thickTop="1" thickBot="1" x14ac:dyDescent="0.35">
      <c r="B142" s="43"/>
      <c r="C142" s="43"/>
      <c r="D142" s="44"/>
      <c r="E142" s="37"/>
      <c r="F142" s="25"/>
      <c r="G142" s="25"/>
      <c r="H142" s="97"/>
      <c r="I142" s="5"/>
    </row>
    <row r="143" spans="2:9" thickTop="1" x14ac:dyDescent="0.3">
      <c r="B143" s="77"/>
      <c r="C143" s="77"/>
      <c r="D143" s="78"/>
      <c r="E143" s="79"/>
      <c r="F143" s="80"/>
      <c r="G143" s="80">
        <f>SUM(G1:G142)</f>
        <v>1596</v>
      </c>
      <c r="H143" s="110"/>
      <c r="I143" s="5"/>
    </row>
    <row r="144" spans="2:9" ht="15" x14ac:dyDescent="0.3">
      <c r="B144" s="2"/>
      <c r="C144" s="2"/>
      <c r="D144" s="3"/>
      <c r="E144" s="85"/>
      <c r="F144" s="4"/>
      <c r="G144" s="4"/>
      <c r="H144" s="111"/>
      <c r="I144" s="5"/>
    </row>
    <row r="145" spans="2:9" ht="15" x14ac:dyDescent="0.3">
      <c r="B145" s="2"/>
      <c r="C145" s="2"/>
      <c r="D145" s="3"/>
      <c r="E145" s="85"/>
      <c r="F145" s="4"/>
      <c r="G145" s="4"/>
      <c r="H145" s="111"/>
      <c r="I145" s="5"/>
    </row>
    <row r="146" spans="2:9" ht="15" x14ac:dyDescent="0.3">
      <c r="B146" s="2"/>
      <c r="C146" s="2"/>
      <c r="D146" s="3"/>
      <c r="E146" s="85"/>
      <c r="F146" s="4"/>
      <c r="G146" s="4"/>
      <c r="H146" s="111"/>
      <c r="I146" s="5"/>
    </row>
    <row r="147" spans="2:9" ht="15" x14ac:dyDescent="0.3">
      <c r="B147" s="84"/>
      <c r="C147" s="84"/>
      <c r="D147" s="84"/>
      <c r="E147" s="86"/>
      <c r="F147" s="87"/>
      <c r="G147" s="87"/>
      <c r="H147" s="112"/>
    </row>
    <row r="148" spans="2:9" ht="14.4" x14ac:dyDescent="0.3">
      <c r="B148" s="84"/>
      <c r="C148" s="84"/>
      <c r="D148" s="84"/>
      <c r="E148" s="88"/>
      <c r="F148" s="84"/>
      <c r="G148" s="84"/>
      <c r="H148" s="113"/>
    </row>
    <row r="149" spans="2:9" ht="14.4" x14ac:dyDescent="0.3">
      <c r="B149" s="84"/>
      <c r="C149" s="84"/>
      <c r="D149" s="84"/>
      <c r="E149" s="88"/>
      <c r="F149" s="84"/>
      <c r="G149" s="84"/>
      <c r="H149" s="113"/>
    </row>
    <row r="150" spans="2:9" ht="14.4" x14ac:dyDescent="0.3">
      <c r="B150" s="84"/>
      <c r="C150" s="84"/>
      <c r="D150" s="84"/>
      <c r="E150" s="88"/>
      <c r="F150" s="84"/>
      <c r="G150" s="84"/>
      <c r="H150" s="113"/>
    </row>
    <row r="151" spans="2:9" ht="14.4" x14ac:dyDescent="0.3">
      <c r="B151" s="84"/>
      <c r="C151" s="84"/>
      <c r="D151" s="84"/>
      <c r="E151" s="88"/>
      <c r="F151" s="84"/>
      <c r="G151" s="84"/>
      <c r="H151" s="113"/>
    </row>
    <row r="152" spans="2:9" ht="14.4" x14ac:dyDescent="0.3">
      <c r="B152" s="84"/>
      <c r="C152" s="84"/>
      <c r="D152" s="84"/>
      <c r="E152" s="88"/>
      <c r="F152" s="84"/>
      <c r="G152" s="84"/>
      <c r="H152" s="113"/>
    </row>
    <row r="153" spans="2:9" ht="23.4" x14ac:dyDescent="0.3">
      <c r="B153" s="84"/>
      <c r="C153" s="84"/>
      <c r="D153" s="84"/>
      <c r="E153" s="88"/>
      <c r="F153" s="84"/>
      <c r="G153" s="84"/>
      <c r="H153" s="113"/>
      <c r="I153" s="7"/>
    </row>
    <row r="154" spans="2:9" ht="23.4" x14ac:dyDescent="0.3">
      <c r="B154" s="84"/>
      <c r="C154" s="84"/>
      <c r="D154" s="84"/>
      <c r="E154" s="88"/>
      <c r="F154" s="84"/>
      <c r="G154" s="84"/>
      <c r="H154" s="113"/>
      <c r="I154" s="7"/>
    </row>
    <row r="155" spans="2:9" ht="23.4" x14ac:dyDescent="0.3">
      <c r="B155" s="84"/>
      <c r="C155" s="84"/>
      <c r="D155" s="84"/>
      <c r="E155" s="88"/>
      <c r="F155" s="84"/>
      <c r="G155" s="84"/>
      <c r="H155" s="113"/>
      <c r="I155" s="7"/>
    </row>
    <row r="156" spans="2:9" ht="23.4" x14ac:dyDescent="0.3">
      <c r="B156" s="84"/>
      <c r="C156" s="84"/>
      <c r="D156" s="84"/>
      <c r="E156" s="88"/>
      <c r="F156" s="84"/>
      <c r="G156" s="84"/>
      <c r="H156" s="113"/>
      <c r="I156" s="7"/>
    </row>
    <row r="157" spans="2:9" ht="14.4" x14ac:dyDescent="0.3">
      <c r="B157" s="84"/>
      <c r="C157" s="84"/>
      <c r="D157" s="84"/>
      <c r="E157" s="88"/>
      <c r="F157" s="84"/>
      <c r="G157" s="84"/>
      <c r="H157" s="113"/>
    </row>
    <row r="158" spans="2:9" ht="14.4" x14ac:dyDescent="0.3">
      <c r="B158" s="84"/>
      <c r="C158" s="84"/>
      <c r="D158" s="84"/>
      <c r="E158" s="88"/>
      <c r="F158" s="84"/>
      <c r="G158" s="84"/>
      <c r="H158" s="113"/>
    </row>
    <row r="159" spans="2:9" ht="14.4" x14ac:dyDescent="0.3">
      <c r="B159" s="84"/>
      <c r="C159" s="84"/>
      <c r="D159" s="84"/>
      <c r="E159" s="88"/>
      <c r="F159" s="84"/>
      <c r="G159" s="84"/>
      <c r="H159" s="113"/>
    </row>
    <row r="160" spans="2:9" ht="14.4" x14ac:dyDescent="0.3">
      <c r="B160" s="84"/>
      <c r="C160" s="84"/>
      <c r="D160" s="84"/>
      <c r="E160" s="88"/>
      <c r="F160" s="84"/>
      <c r="G160" s="84"/>
      <c r="H160" s="113"/>
    </row>
    <row r="161" spans="2:9" ht="23.4" x14ac:dyDescent="0.3">
      <c r="B161" s="84"/>
      <c r="C161" s="84"/>
      <c r="D161" s="84"/>
      <c r="E161" s="88"/>
      <c r="F161" s="84"/>
      <c r="G161" s="84"/>
      <c r="H161" s="113"/>
      <c r="I161" s="7"/>
    </row>
    <row r="162" spans="2:9" ht="14.4" x14ac:dyDescent="0.3">
      <c r="B162" s="84"/>
      <c r="C162" s="84"/>
      <c r="D162" s="84"/>
      <c r="E162" s="88"/>
      <c r="F162" s="84"/>
      <c r="G162" s="84"/>
      <c r="H162" s="113"/>
    </row>
    <row r="163" spans="2:9" ht="14.4" x14ac:dyDescent="0.3">
      <c r="B163" s="84"/>
      <c r="C163" s="84"/>
      <c r="D163" s="84"/>
      <c r="E163" s="88"/>
      <c r="F163" s="84"/>
      <c r="G163" s="84"/>
      <c r="H163" s="113"/>
    </row>
    <row r="164" spans="2:9" ht="14.4" x14ac:dyDescent="0.3">
      <c r="B164" s="84"/>
      <c r="C164" s="84"/>
      <c r="D164" s="84"/>
      <c r="E164" s="88"/>
      <c r="F164" s="84"/>
      <c r="G164" s="84"/>
      <c r="H164" s="113"/>
    </row>
    <row r="165" spans="2:9" x14ac:dyDescent="0.3">
      <c r="B165" s="84"/>
      <c r="C165" s="84"/>
      <c r="D165" s="84"/>
      <c r="E165" s="88"/>
      <c r="F165" s="84"/>
      <c r="G165" s="84"/>
      <c r="H165" s="113"/>
      <c r="I165" s="6"/>
    </row>
    <row r="166" spans="2:9" ht="14.4" x14ac:dyDescent="0.3">
      <c r="B166" s="84"/>
      <c r="C166" s="84"/>
      <c r="D166" s="84"/>
      <c r="E166" s="88"/>
      <c r="F166" s="84"/>
      <c r="G166" s="84"/>
      <c r="H166" s="113"/>
    </row>
    <row r="167" spans="2:9" ht="14.4" x14ac:dyDescent="0.3">
      <c r="B167" s="84"/>
      <c r="C167" s="84"/>
      <c r="D167" s="84"/>
      <c r="E167" s="88"/>
      <c r="F167" s="84"/>
      <c r="G167" s="84"/>
      <c r="H167" s="113"/>
    </row>
    <row r="168" spans="2:9" x14ac:dyDescent="0.3">
      <c r="B168" s="84"/>
      <c r="C168" s="84"/>
      <c r="D168" s="84"/>
      <c r="E168" s="88"/>
      <c r="F168" s="84"/>
      <c r="G168" s="84"/>
      <c r="H168" s="113"/>
      <c r="I168" s="6"/>
    </row>
    <row r="169" spans="2:9" x14ac:dyDescent="0.3">
      <c r="B169" s="84"/>
      <c r="C169" s="84"/>
      <c r="D169" s="84"/>
      <c r="E169" s="88"/>
      <c r="F169" s="84"/>
      <c r="G169" s="84"/>
      <c r="H169" s="113"/>
      <c r="I169" s="6"/>
    </row>
    <row r="170" spans="2:9" x14ac:dyDescent="0.3">
      <c r="B170" s="84"/>
      <c r="C170" s="84"/>
      <c r="D170" s="84"/>
      <c r="E170" s="88"/>
      <c r="F170" s="84"/>
      <c r="G170" s="84"/>
      <c r="H170" s="113"/>
      <c r="I170" s="6"/>
    </row>
    <row r="171" spans="2:9" x14ac:dyDescent="0.3">
      <c r="B171" s="84"/>
      <c r="C171" s="84"/>
      <c r="D171" s="84"/>
      <c r="E171" s="88"/>
      <c r="F171" s="84"/>
      <c r="G171" s="84"/>
      <c r="H171" s="113"/>
      <c r="I171" s="6"/>
    </row>
    <row r="172" spans="2:9" x14ac:dyDescent="0.3">
      <c r="B172" s="84"/>
      <c r="C172" s="84"/>
      <c r="D172" s="84"/>
      <c r="E172" s="88"/>
      <c r="F172" s="84"/>
      <c r="G172" s="84"/>
      <c r="H172" s="113"/>
      <c r="I172" s="6"/>
    </row>
    <row r="173" spans="2:9" ht="14.4" x14ac:dyDescent="0.3">
      <c r="B173" s="84"/>
      <c r="C173" s="84"/>
      <c r="D173" s="84"/>
      <c r="E173" s="88"/>
      <c r="F173" s="84"/>
      <c r="G173" s="84"/>
      <c r="H173" s="113"/>
    </row>
    <row r="174" spans="2:9" ht="14.4" x14ac:dyDescent="0.3">
      <c r="B174" s="84"/>
      <c r="C174" s="84"/>
      <c r="D174" s="84"/>
      <c r="E174" s="88"/>
      <c r="F174" s="84"/>
      <c r="G174" s="84"/>
      <c r="H174" s="113"/>
    </row>
    <row r="175" spans="2:9" ht="15" x14ac:dyDescent="0.3">
      <c r="B175" s="84"/>
      <c r="C175" s="84"/>
      <c r="D175" s="84"/>
      <c r="E175" s="88"/>
      <c r="F175" s="84"/>
      <c r="G175" s="84"/>
      <c r="H175" s="113"/>
      <c r="I175" s="5"/>
    </row>
    <row r="176" spans="2:9" ht="14.4" x14ac:dyDescent="0.3">
      <c r="B176" s="84"/>
      <c r="C176" s="84"/>
      <c r="D176" s="84"/>
      <c r="E176" s="88"/>
      <c r="F176" s="84"/>
      <c r="G176" s="84"/>
      <c r="H176" s="113"/>
    </row>
    <row r="177" spans="2:9" ht="14.4" x14ac:dyDescent="0.3">
      <c r="B177" s="84"/>
      <c r="C177" s="84"/>
      <c r="D177" s="84"/>
      <c r="E177" s="88"/>
      <c r="F177" s="84"/>
      <c r="G177" s="84"/>
      <c r="H177" s="113"/>
    </row>
    <row r="178" spans="2:9" x14ac:dyDescent="0.3">
      <c r="B178" s="84"/>
      <c r="C178" s="84"/>
      <c r="D178" s="84"/>
      <c r="E178" s="88"/>
      <c r="F178" s="84"/>
      <c r="G178" s="84"/>
      <c r="H178" s="113"/>
      <c r="I178" s="6"/>
    </row>
    <row r="179" spans="2:9" ht="14.4" x14ac:dyDescent="0.3">
      <c r="B179" s="84"/>
      <c r="C179" s="84"/>
      <c r="D179" s="84"/>
      <c r="E179" s="88"/>
      <c r="F179" s="84"/>
      <c r="G179" s="84"/>
      <c r="H179" s="113"/>
    </row>
    <row r="180" spans="2:9" ht="14.4" x14ac:dyDescent="0.3">
      <c r="B180" s="84"/>
      <c r="C180" s="84"/>
      <c r="D180" s="84"/>
      <c r="E180" s="88"/>
      <c r="F180" s="84"/>
      <c r="G180" s="84"/>
      <c r="H180" s="113"/>
    </row>
    <row r="181" spans="2:9" x14ac:dyDescent="0.3">
      <c r="B181" s="84"/>
      <c r="C181" s="84"/>
      <c r="D181" s="84"/>
      <c r="E181" s="88"/>
      <c r="F181" s="84"/>
      <c r="G181" s="84"/>
      <c r="H181" s="113"/>
      <c r="I181" s="6"/>
    </row>
    <row r="182" spans="2:9" ht="14.4" x14ac:dyDescent="0.3">
      <c r="B182" s="84"/>
      <c r="C182" s="84"/>
      <c r="D182" s="84"/>
      <c r="E182" s="88"/>
      <c r="F182" s="84"/>
      <c r="G182" s="84"/>
      <c r="H182" s="113"/>
    </row>
    <row r="183" spans="2:9" ht="14.4" x14ac:dyDescent="0.3">
      <c r="B183" s="84"/>
      <c r="C183" s="84"/>
      <c r="D183" s="84"/>
      <c r="E183" s="88"/>
      <c r="F183" s="84"/>
      <c r="G183" s="84"/>
      <c r="H183" s="113"/>
    </row>
    <row r="184" spans="2:9" ht="14.4" x14ac:dyDescent="0.3">
      <c r="B184" s="84"/>
      <c r="C184" s="84"/>
      <c r="D184" s="84"/>
      <c r="E184" s="88"/>
      <c r="F184" s="84"/>
      <c r="G184" s="84"/>
      <c r="H184" s="113"/>
    </row>
    <row r="185" spans="2:9" ht="14.4" x14ac:dyDescent="0.3">
      <c r="B185" s="84"/>
      <c r="C185" s="84"/>
      <c r="D185" s="84"/>
      <c r="E185" s="88"/>
      <c r="F185" s="84"/>
      <c r="G185" s="84"/>
      <c r="H185" s="113"/>
    </row>
    <row r="186" spans="2:9" ht="14.4" x14ac:dyDescent="0.3">
      <c r="B186" s="84"/>
      <c r="C186" s="84"/>
      <c r="D186" s="84"/>
      <c r="E186" s="88"/>
      <c r="F186" s="84"/>
      <c r="G186" s="84"/>
      <c r="H186" s="113"/>
    </row>
    <row r="187" spans="2:9" ht="14.4" x14ac:dyDescent="0.3">
      <c r="B187" s="84"/>
      <c r="C187" s="84"/>
      <c r="D187" s="84"/>
      <c r="E187" s="88"/>
      <c r="F187" s="84"/>
      <c r="G187" s="84"/>
      <c r="H187" s="113"/>
    </row>
    <row r="188" spans="2:9" ht="14.4" x14ac:dyDescent="0.3">
      <c r="B188" s="84"/>
      <c r="C188" s="84"/>
      <c r="D188" s="84"/>
      <c r="E188" s="88"/>
      <c r="F188" s="84"/>
      <c r="G188" s="84"/>
      <c r="H188" s="113"/>
    </row>
    <row r="189" spans="2:9" ht="15" x14ac:dyDescent="0.3">
      <c r="B189" s="84"/>
      <c r="C189" s="84"/>
      <c r="D189" s="84"/>
      <c r="E189" s="86"/>
      <c r="F189" s="87"/>
      <c r="G189" s="87"/>
      <c r="H189" s="112"/>
    </row>
    <row r="190" spans="2:9" ht="15" x14ac:dyDescent="0.3">
      <c r="B190" s="84"/>
      <c r="C190" s="84"/>
      <c r="D190" s="84"/>
      <c r="E190" s="86"/>
      <c r="F190" s="87"/>
      <c r="G190" s="87"/>
      <c r="H190" s="112"/>
    </row>
    <row r="191" spans="2:9" ht="15" x14ac:dyDescent="0.3">
      <c r="B191" s="84"/>
      <c r="C191" s="84"/>
      <c r="D191" s="84"/>
      <c r="E191" s="86"/>
      <c r="F191" s="87"/>
      <c r="G191" s="87"/>
      <c r="H191" s="112"/>
    </row>
    <row r="192" spans="2:9" ht="15" x14ac:dyDescent="0.3">
      <c r="B192" s="84"/>
      <c r="C192" s="84"/>
      <c r="D192" s="84"/>
      <c r="E192" s="86"/>
      <c r="F192" s="87"/>
      <c r="G192" s="87"/>
      <c r="H192" s="112"/>
    </row>
    <row r="193" spans="2:9" ht="15" x14ac:dyDescent="0.3">
      <c r="B193" s="84"/>
      <c r="C193" s="84"/>
      <c r="D193" s="84"/>
      <c r="E193" s="86"/>
      <c r="F193" s="87"/>
      <c r="G193" s="87"/>
      <c r="H193" s="112"/>
    </row>
    <row r="194" spans="2:9" ht="15" x14ac:dyDescent="0.3">
      <c r="B194" s="84"/>
      <c r="C194" s="84"/>
      <c r="D194" s="84"/>
      <c r="E194" s="86"/>
      <c r="F194" s="87"/>
      <c r="G194" s="87"/>
      <c r="H194" s="112"/>
    </row>
    <row r="195" spans="2:9" ht="15" x14ac:dyDescent="0.3">
      <c r="B195" s="84"/>
      <c r="C195" s="84"/>
      <c r="D195" s="84"/>
      <c r="E195" s="86"/>
      <c r="F195" s="87"/>
      <c r="G195" s="87"/>
      <c r="H195" s="112"/>
    </row>
    <row r="196" spans="2:9" ht="15" x14ac:dyDescent="0.3">
      <c r="B196" s="84"/>
      <c r="C196" s="84"/>
      <c r="D196" s="84"/>
      <c r="E196" s="86"/>
      <c r="F196" s="87"/>
      <c r="G196" s="87"/>
      <c r="H196" s="112"/>
    </row>
    <row r="197" spans="2:9" ht="15" x14ac:dyDescent="0.3">
      <c r="B197" s="84"/>
      <c r="C197" s="84"/>
      <c r="D197" s="84"/>
      <c r="E197" s="86"/>
      <c r="F197" s="87"/>
      <c r="G197" s="87"/>
      <c r="H197" s="112"/>
    </row>
    <row r="198" spans="2:9" ht="15" x14ac:dyDescent="0.3">
      <c r="B198" s="84"/>
      <c r="C198" s="84"/>
      <c r="D198" s="84"/>
      <c r="E198" s="86"/>
      <c r="F198" s="87"/>
      <c r="G198" s="87"/>
      <c r="H198" s="112"/>
    </row>
    <row r="199" spans="2:9" ht="15" x14ac:dyDescent="0.3">
      <c r="B199" s="84"/>
      <c r="C199" s="84"/>
      <c r="D199" s="84"/>
      <c r="E199" s="86"/>
      <c r="F199" s="87"/>
      <c r="G199" s="87"/>
      <c r="H199" s="112"/>
    </row>
    <row r="200" spans="2:9" x14ac:dyDescent="0.3">
      <c r="B200" s="84"/>
      <c r="C200" s="84"/>
      <c r="D200" s="84"/>
      <c r="E200" s="89"/>
      <c r="F200" s="87"/>
      <c r="G200" s="87"/>
      <c r="H200" s="112"/>
    </row>
    <row r="201" spans="2:9" x14ac:dyDescent="0.3">
      <c r="B201" s="84"/>
      <c r="C201" s="84"/>
      <c r="D201" s="84"/>
      <c r="E201" s="89"/>
      <c r="F201" s="90"/>
      <c r="G201" s="90"/>
      <c r="H201" s="114"/>
    </row>
    <row r="202" spans="2:9" x14ac:dyDescent="0.3">
      <c r="B202" s="84"/>
      <c r="C202" s="84"/>
      <c r="D202" s="84"/>
      <c r="E202" s="89"/>
      <c r="F202" s="90"/>
      <c r="G202" s="90"/>
      <c r="H202" s="114"/>
      <c r="I202" s="5"/>
    </row>
    <row r="203" spans="2:9" x14ac:dyDescent="0.3">
      <c r="B203" s="84"/>
      <c r="C203" s="84"/>
      <c r="D203" s="84"/>
      <c r="E203" s="89"/>
      <c r="F203" s="90"/>
      <c r="G203" s="90"/>
      <c r="H203" s="114"/>
      <c r="I203" s="5"/>
    </row>
    <row r="204" spans="2:9" x14ac:dyDescent="0.3">
      <c r="B204" s="84"/>
      <c r="C204" s="84"/>
      <c r="D204" s="84"/>
      <c r="E204" s="89"/>
      <c r="F204" s="90"/>
      <c r="G204" s="90"/>
      <c r="H204" s="114"/>
      <c r="I204" s="10"/>
    </row>
    <row r="205" spans="2:9" x14ac:dyDescent="0.3">
      <c r="B205" s="84"/>
      <c r="C205" s="84"/>
      <c r="D205" s="84"/>
      <c r="E205" s="86"/>
      <c r="F205" s="90"/>
      <c r="G205" s="90"/>
      <c r="H205" s="114"/>
    </row>
    <row r="206" spans="2:9" ht="15" x14ac:dyDescent="0.3">
      <c r="B206" s="84"/>
      <c r="C206" s="84"/>
      <c r="D206" s="84"/>
      <c r="E206" s="86"/>
      <c r="F206" s="87"/>
      <c r="G206" s="87"/>
      <c r="H206" s="112"/>
    </row>
    <row r="207" spans="2:9" ht="15" x14ac:dyDescent="0.3">
      <c r="B207" s="84"/>
      <c r="C207" s="84"/>
      <c r="D207" s="84"/>
      <c r="E207" s="86"/>
      <c r="F207" s="87"/>
      <c r="G207" s="87"/>
      <c r="H207" s="112"/>
    </row>
    <row r="208" spans="2:9" ht="15" x14ac:dyDescent="0.3">
      <c r="B208" s="84"/>
      <c r="C208" s="84"/>
      <c r="D208" s="84"/>
      <c r="E208" s="86"/>
      <c r="F208" s="87"/>
      <c r="G208" s="87"/>
      <c r="H208" s="112"/>
    </row>
    <row r="209" spans="2:9" x14ac:dyDescent="0.3">
      <c r="B209" s="84"/>
      <c r="C209" s="84"/>
      <c r="D209" s="84"/>
      <c r="E209" s="89"/>
      <c r="F209" s="87"/>
      <c r="G209" s="87"/>
      <c r="H209" s="112"/>
    </row>
    <row r="210" spans="2:9" x14ac:dyDescent="0.3">
      <c r="B210" s="84"/>
      <c r="C210" s="84"/>
      <c r="D210" s="84"/>
      <c r="E210" s="89"/>
      <c r="F210" s="90"/>
      <c r="G210" s="90"/>
      <c r="H210" s="114"/>
    </row>
    <row r="211" spans="2:9" x14ac:dyDescent="0.3">
      <c r="B211" s="84"/>
      <c r="C211" s="84"/>
      <c r="D211" s="84"/>
      <c r="E211" s="86"/>
      <c r="F211" s="90"/>
      <c r="G211" s="90"/>
      <c r="H211" s="114"/>
    </row>
    <row r="212" spans="2:9" x14ac:dyDescent="0.3">
      <c r="B212" s="84"/>
      <c r="C212" s="84"/>
      <c r="D212" s="84"/>
      <c r="E212" s="89"/>
      <c r="F212" s="87"/>
      <c r="G212" s="87"/>
      <c r="H212" s="112"/>
    </row>
    <row r="213" spans="2:9" x14ac:dyDescent="0.3">
      <c r="B213" s="84"/>
      <c r="C213" s="84"/>
      <c r="D213" s="84"/>
      <c r="E213" s="91"/>
      <c r="F213" s="90"/>
      <c r="G213" s="90"/>
      <c r="H213" s="114"/>
    </row>
    <row r="214" spans="2:9" x14ac:dyDescent="0.3">
      <c r="B214" s="84"/>
      <c r="C214" s="84"/>
      <c r="D214" s="84"/>
      <c r="E214" s="89"/>
      <c r="F214" s="92"/>
      <c r="G214" s="92"/>
      <c r="H214" s="115"/>
    </row>
    <row r="215" spans="2:9" x14ac:dyDescent="0.3">
      <c r="B215" s="84"/>
      <c r="C215" s="84"/>
      <c r="D215" s="84"/>
      <c r="E215" s="89"/>
      <c r="F215" s="90"/>
      <c r="G215" s="90"/>
      <c r="H215" s="114"/>
    </row>
    <row r="216" spans="2:9" x14ac:dyDescent="0.3">
      <c r="B216" s="84"/>
      <c r="C216" s="84"/>
      <c r="D216" s="84"/>
      <c r="E216" s="89"/>
      <c r="F216" s="90"/>
      <c r="G216" s="90"/>
      <c r="H216" s="114"/>
    </row>
    <row r="217" spans="2:9" x14ac:dyDescent="0.3">
      <c r="B217" s="84"/>
      <c r="C217" s="84"/>
      <c r="D217" s="84"/>
      <c r="E217" s="86"/>
      <c r="F217" s="90"/>
      <c r="G217" s="90"/>
      <c r="H217" s="114"/>
    </row>
    <row r="218" spans="2:9" x14ac:dyDescent="0.3">
      <c r="B218" s="84"/>
      <c r="C218" s="84"/>
      <c r="D218" s="84"/>
      <c r="E218" s="86"/>
      <c r="F218" s="87"/>
      <c r="G218" s="87"/>
      <c r="H218" s="112"/>
      <c r="I218" s="6"/>
    </row>
    <row r="219" spans="2:9" x14ac:dyDescent="0.3">
      <c r="B219" s="84"/>
      <c r="C219" s="84"/>
      <c r="D219" s="84"/>
      <c r="E219" s="86"/>
      <c r="F219" s="87"/>
      <c r="G219" s="87"/>
      <c r="H219" s="112"/>
      <c r="I219" s="6"/>
    </row>
    <row r="220" spans="2:9" x14ac:dyDescent="0.3">
      <c r="B220" s="84"/>
      <c r="C220" s="84"/>
      <c r="D220" s="84"/>
      <c r="E220" s="86"/>
      <c r="F220" s="87"/>
      <c r="G220" s="87"/>
      <c r="H220" s="112"/>
      <c r="I220" s="6"/>
    </row>
    <row r="221" spans="2:9" x14ac:dyDescent="0.3">
      <c r="B221" s="84"/>
      <c r="C221" s="84"/>
      <c r="D221" s="84"/>
      <c r="E221" s="86"/>
      <c r="F221" s="87"/>
      <c r="G221" s="87"/>
      <c r="H221" s="112"/>
      <c r="I221" s="6"/>
    </row>
    <row r="222" spans="2:9" x14ac:dyDescent="0.3">
      <c r="B222" s="84"/>
      <c r="C222" s="84"/>
      <c r="D222" s="84"/>
      <c r="E222" s="91"/>
      <c r="F222" s="87"/>
      <c r="G222" s="87"/>
      <c r="H222" s="112"/>
    </row>
    <row r="223" spans="2:9" x14ac:dyDescent="0.3">
      <c r="B223" s="84"/>
      <c r="C223" s="84"/>
      <c r="D223" s="84"/>
      <c r="E223" s="91"/>
      <c r="F223" s="92"/>
      <c r="G223" s="92"/>
      <c r="H223" s="115"/>
    </row>
    <row r="224" spans="2:9" x14ac:dyDescent="0.3">
      <c r="B224" s="84"/>
      <c r="C224" s="84"/>
      <c r="D224" s="84"/>
      <c r="E224" s="86"/>
      <c r="F224" s="92"/>
      <c r="G224" s="92"/>
      <c r="H224" s="115"/>
    </row>
    <row r="225" spans="2:8" x14ac:dyDescent="0.3">
      <c r="B225" s="84"/>
      <c r="C225" s="84"/>
      <c r="D225" s="84"/>
      <c r="E225" s="89"/>
      <c r="F225" s="87"/>
      <c r="G225" s="87"/>
      <c r="H225" s="112"/>
    </row>
    <row r="226" spans="2:8" x14ac:dyDescent="0.3">
      <c r="B226" s="84"/>
      <c r="C226" s="84"/>
      <c r="D226" s="84"/>
      <c r="E226" s="89"/>
      <c r="F226" s="90"/>
      <c r="G226" s="90"/>
      <c r="H226" s="114"/>
    </row>
    <row r="227" spans="2:8" x14ac:dyDescent="0.3">
      <c r="B227" s="84"/>
      <c r="C227" s="84"/>
      <c r="D227" s="84"/>
      <c r="E227" s="86"/>
      <c r="F227" s="90"/>
      <c r="G227" s="90"/>
      <c r="H227" s="114"/>
    </row>
    <row r="228" spans="2:8" ht="15" x14ac:dyDescent="0.3">
      <c r="B228" s="84"/>
      <c r="C228" s="84"/>
      <c r="D228" s="84"/>
      <c r="E228" s="86"/>
      <c r="F228" s="87"/>
      <c r="G228" s="87"/>
      <c r="H228" s="112"/>
    </row>
    <row r="229" spans="2:8" ht="15" x14ac:dyDescent="0.3">
      <c r="B229" s="84"/>
      <c r="C229" s="84"/>
      <c r="D229" s="84"/>
      <c r="E229" s="86"/>
      <c r="F229" s="87"/>
      <c r="G229" s="87"/>
      <c r="H229" s="112"/>
    </row>
    <row r="230" spans="2:8" ht="15" x14ac:dyDescent="0.3">
      <c r="B230" s="84"/>
      <c r="C230" s="84"/>
      <c r="D230" s="84"/>
      <c r="E230" s="86"/>
      <c r="F230" s="87"/>
      <c r="G230" s="87"/>
      <c r="H230" s="112"/>
    </row>
    <row r="231" spans="2:8" x14ac:dyDescent="0.3">
      <c r="B231" s="84"/>
      <c r="C231" s="84"/>
      <c r="D231" s="84"/>
      <c r="E231" s="89"/>
      <c r="F231" s="87"/>
      <c r="G231" s="87"/>
      <c r="H231" s="112"/>
    </row>
    <row r="232" spans="2:8" ht="16.2" thickBot="1" x14ac:dyDescent="0.35">
      <c r="B232" s="81"/>
      <c r="C232" s="81"/>
      <c r="D232" s="81"/>
      <c r="E232" s="82"/>
      <c r="F232" s="83"/>
      <c r="G232" s="83"/>
      <c r="H232" s="116"/>
    </row>
    <row r="233" spans="2:8" ht="16.8" thickTop="1" thickBot="1" x14ac:dyDescent="0.35">
      <c r="E233" s="13"/>
      <c r="F233" s="66"/>
      <c r="G233" s="66"/>
      <c r="H233" s="117"/>
    </row>
    <row r="234" spans="2:8" ht="16.8" thickTop="1" thickBot="1" x14ac:dyDescent="0.35">
      <c r="E234" s="13"/>
      <c r="F234" s="67"/>
      <c r="G234" s="67"/>
      <c r="H234" s="118"/>
    </row>
    <row r="235" spans="2:8" ht="16.8" thickTop="1" thickBot="1" x14ac:dyDescent="0.35">
      <c r="E235" s="13"/>
      <c r="F235" s="67"/>
      <c r="G235" s="67"/>
      <c r="H235" s="118"/>
    </row>
    <row r="236" spans="2:8" ht="16.8" thickTop="1" thickBot="1" x14ac:dyDescent="0.35">
      <c r="E236" s="14"/>
      <c r="F236" s="67"/>
      <c r="G236" s="67"/>
      <c r="H236" s="118"/>
    </row>
    <row r="237" spans="2:8" ht="16.8" thickTop="1" thickBot="1" x14ac:dyDescent="0.35">
      <c r="E237" s="13"/>
      <c r="F237" s="66"/>
      <c r="G237" s="66"/>
      <c r="H237" s="117"/>
    </row>
    <row r="238" spans="2:8" ht="16.8" thickTop="1" thickBot="1" x14ac:dyDescent="0.35">
      <c r="E238" s="14"/>
      <c r="F238" s="67"/>
      <c r="G238" s="67"/>
      <c r="H238" s="118"/>
    </row>
    <row r="239" spans="2:8" ht="16.8" thickTop="1" thickBot="1" x14ac:dyDescent="0.35">
      <c r="E239" s="13"/>
      <c r="F239" s="66"/>
      <c r="G239" s="66"/>
      <c r="H239" s="117"/>
    </row>
    <row r="240" spans="2:8" ht="16.8" thickTop="1" thickBot="1" x14ac:dyDescent="0.35">
      <c r="E240" s="13"/>
      <c r="F240" s="67"/>
      <c r="G240" s="67"/>
      <c r="H240" s="118"/>
    </row>
    <row r="241" spans="5:8" ht="16.8" thickTop="1" thickBot="1" x14ac:dyDescent="0.35">
      <c r="E241" s="14"/>
      <c r="F241" s="67"/>
      <c r="G241" s="67"/>
      <c r="H241" s="118"/>
    </row>
    <row r="242" spans="5:8" ht="16.2" thickTop="1" thickBot="1" x14ac:dyDescent="0.35">
      <c r="E242" s="14"/>
      <c r="F242" s="66"/>
      <c r="G242" s="66"/>
      <c r="H242" s="117"/>
    </row>
    <row r="243" spans="5:8" ht="16.2" thickTop="1" thickBot="1" x14ac:dyDescent="0.35">
      <c r="E243" s="14"/>
      <c r="F243" s="66"/>
      <c r="G243" s="66"/>
      <c r="H243" s="117"/>
    </row>
    <row r="244" spans="5:8" ht="16.2" thickTop="1" thickBot="1" x14ac:dyDescent="0.35">
      <c r="E244" s="14"/>
      <c r="F244" s="66"/>
      <c r="G244" s="66"/>
      <c r="H244" s="117"/>
    </row>
    <row r="245" spans="5:8" ht="16.8" thickTop="1" thickBot="1" x14ac:dyDescent="0.35">
      <c r="E245" s="13"/>
      <c r="F245" s="66"/>
      <c r="G245" s="66"/>
      <c r="H245" s="117"/>
    </row>
    <row r="246" spans="5:8" ht="16.8" thickTop="1" thickBot="1" x14ac:dyDescent="0.35">
      <c r="E246" s="13"/>
      <c r="F246" s="67"/>
      <c r="G246" s="67"/>
      <c r="H246" s="118"/>
    </row>
    <row r="247" spans="5:8" ht="16.8" thickTop="1" thickBot="1" x14ac:dyDescent="0.35">
      <c r="E247" s="13"/>
      <c r="F247" s="67"/>
      <c r="G247" s="67"/>
      <c r="H247" s="118"/>
    </row>
    <row r="248" spans="5:8" ht="16.8" thickTop="1" thickBot="1" x14ac:dyDescent="0.35">
      <c r="E248" s="13"/>
      <c r="F248" s="67"/>
      <c r="G248" s="67"/>
      <c r="H248" s="118"/>
    </row>
    <row r="249" spans="5:8" ht="16.8" thickTop="1" thickBot="1" x14ac:dyDescent="0.35">
      <c r="E249" s="14"/>
      <c r="F249" s="67"/>
      <c r="G249" s="67"/>
      <c r="H249" s="118"/>
    </row>
    <row r="250" spans="5:8" ht="16.8" thickTop="1" thickBot="1" x14ac:dyDescent="0.35">
      <c r="E250" s="13"/>
      <c r="F250" s="66"/>
      <c r="G250" s="66"/>
      <c r="H250" s="117"/>
    </row>
    <row r="251" spans="5:8" ht="16.8" thickTop="1" thickBot="1" x14ac:dyDescent="0.35">
      <c r="E251" s="13"/>
      <c r="F251" s="67"/>
      <c r="G251" s="67"/>
      <c r="H251" s="118"/>
    </row>
    <row r="252" spans="5:8" ht="16.8" thickTop="1" thickBot="1" x14ac:dyDescent="0.35">
      <c r="E252" s="13"/>
      <c r="F252" s="67"/>
      <c r="G252" s="67"/>
      <c r="H252" s="118"/>
    </row>
    <row r="253" spans="5:8" ht="16.8" thickTop="1" thickBot="1" x14ac:dyDescent="0.35">
      <c r="E253" s="13"/>
      <c r="F253" s="67"/>
      <c r="G253" s="67"/>
      <c r="H253" s="118"/>
    </row>
    <row r="254" spans="5:8" ht="16.8" thickTop="1" thickBot="1" x14ac:dyDescent="0.35">
      <c r="E254" s="13"/>
      <c r="F254" s="67"/>
      <c r="G254" s="67"/>
      <c r="H254" s="118"/>
    </row>
    <row r="255" spans="5:8" ht="16.8" thickTop="1" thickBot="1" x14ac:dyDescent="0.35">
      <c r="E255" s="14"/>
      <c r="F255" s="67"/>
      <c r="G255" s="67"/>
      <c r="H255" s="118"/>
    </row>
    <row r="256" spans="5:8" ht="16.8" thickTop="1" thickBot="1" x14ac:dyDescent="0.35">
      <c r="E256" s="13"/>
      <c r="F256" s="66"/>
      <c r="G256" s="66"/>
      <c r="H256" s="117"/>
    </row>
    <row r="257" spans="5:8" ht="16.8" thickTop="1" thickBot="1" x14ac:dyDescent="0.35">
      <c r="E257" s="13"/>
      <c r="F257" s="67"/>
      <c r="G257" s="67"/>
      <c r="H257" s="118"/>
    </row>
    <row r="258" spans="5:8" ht="16.8" thickTop="1" thickBot="1" x14ac:dyDescent="0.35">
      <c r="E258" s="13"/>
      <c r="F258" s="67"/>
      <c r="G258" s="67"/>
      <c r="H258" s="118"/>
    </row>
    <row r="259" spans="5:8" ht="16.8" thickTop="1" thickBot="1" x14ac:dyDescent="0.35">
      <c r="E259" s="13"/>
      <c r="F259" s="67"/>
      <c r="G259" s="67"/>
      <c r="H259" s="118"/>
    </row>
    <row r="260" spans="5:8" ht="16.8" thickTop="1" thickBot="1" x14ac:dyDescent="0.35">
      <c r="E260" s="13"/>
      <c r="F260" s="67"/>
      <c r="G260" s="67"/>
      <c r="H260" s="118"/>
    </row>
    <row r="261" spans="5:8" ht="16.8" thickTop="1" thickBot="1" x14ac:dyDescent="0.35">
      <c r="E261" s="14"/>
      <c r="F261" s="67"/>
      <c r="G261" s="67"/>
      <c r="H261" s="118"/>
    </row>
    <row r="262" spans="5:8" ht="16.8" thickTop="1" thickBot="1" x14ac:dyDescent="0.35">
      <c r="E262" s="13"/>
      <c r="F262" s="66"/>
      <c r="G262" s="66"/>
      <c r="H262" s="117"/>
    </row>
    <row r="263" spans="5:8" ht="16.8" thickTop="1" thickBot="1" x14ac:dyDescent="0.35">
      <c r="E263" s="14"/>
      <c r="F263" s="67"/>
      <c r="G263" s="67"/>
      <c r="H263" s="118"/>
    </row>
    <row r="264" spans="5:8" ht="16.2" thickTop="1" thickBot="1" x14ac:dyDescent="0.35">
      <c r="E264" s="14"/>
      <c r="F264" s="66"/>
      <c r="G264" s="66"/>
      <c r="H264" s="117"/>
    </row>
    <row r="265" spans="5:8" ht="16.2" thickTop="1" thickBot="1" x14ac:dyDescent="0.35">
      <c r="E265" s="14"/>
      <c r="F265" s="66"/>
      <c r="G265" s="66"/>
      <c r="H265" s="117"/>
    </row>
    <row r="266" spans="5:8" ht="16.2" thickTop="1" thickBot="1" x14ac:dyDescent="0.35">
      <c r="E266" s="14"/>
      <c r="F266" s="66"/>
      <c r="G266" s="66"/>
      <c r="H266" s="117"/>
    </row>
    <row r="267" spans="5:8" ht="16.2" thickTop="1" thickBot="1" x14ac:dyDescent="0.35">
      <c r="E267" s="14"/>
      <c r="F267" s="66"/>
      <c r="G267" s="66"/>
      <c r="H267" s="117"/>
    </row>
    <row r="268" spans="5:8" ht="16.2" thickTop="1" thickBot="1" x14ac:dyDescent="0.35">
      <c r="E268" s="14"/>
      <c r="F268" s="66"/>
      <c r="G268" s="66"/>
      <c r="H268" s="117"/>
    </row>
    <row r="269" spans="5:8" ht="16.2" thickTop="1" thickBot="1" x14ac:dyDescent="0.35">
      <c r="E269" s="14"/>
      <c r="F269" s="66"/>
      <c r="G269" s="66"/>
      <c r="H269" s="117"/>
    </row>
    <row r="270" spans="5:8" ht="16.8" thickTop="1" thickBot="1" x14ac:dyDescent="0.35">
      <c r="E270" s="13"/>
      <c r="F270" s="66"/>
      <c r="G270" s="66"/>
      <c r="H270" s="117"/>
    </row>
    <row r="271" spans="5:8" ht="16.8" thickTop="1" thickBot="1" x14ac:dyDescent="0.35">
      <c r="E271" s="13"/>
      <c r="F271" s="67"/>
      <c r="G271" s="67"/>
      <c r="H271" s="118"/>
    </row>
    <row r="272" spans="5:8" ht="16.8" thickTop="1" thickBot="1" x14ac:dyDescent="0.35">
      <c r="E272" s="13"/>
      <c r="F272" s="67"/>
      <c r="G272" s="67"/>
      <c r="H272" s="118"/>
    </row>
    <row r="273" spans="5:8" ht="16.8" thickTop="1" thickBot="1" x14ac:dyDescent="0.35">
      <c r="E273" s="14"/>
      <c r="F273" s="67"/>
      <c r="G273" s="67"/>
      <c r="H273" s="118"/>
    </row>
    <row r="274" spans="5:8" ht="16.8" thickTop="1" thickBot="1" x14ac:dyDescent="0.35">
      <c r="E274" s="13"/>
      <c r="F274" s="66"/>
      <c r="G274" s="66"/>
      <c r="H274" s="117"/>
    </row>
    <row r="275" spans="5:8" ht="24.6" thickTop="1" thickBot="1" x14ac:dyDescent="0.35">
      <c r="E275" s="18"/>
      <c r="F275" s="67"/>
      <c r="G275" s="67"/>
      <c r="H275" s="118"/>
    </row>
    <row r="276" spans="5:8" ht="24.6" thickTop="1" thickBot="1" x14ac:dyDescent="0.35">
      <c r="E276" s="18"/>
      <c r="F276" s="68"/>
      <c r="G276" s="68"/>
      <c r="H276" s="119"/>
    </row>
    <row r="277" spans="5:8" ht="24.6" thickTop="1" thickBot="1" x14ac:dyDescent="0.35">
      <c r="E277" s="18"/>
      <c r="F277" s="68"/>
      <c r="G277" s="68"/>
      <c r="H277" s="119"/>
    </row>
    <row r="278" spans="5:8" ht="24.6" thickTop="1" thickBot="1" x14ac:dyDescent="0.35">
      <c r="E278" s="18"/>
      <c r="F278" s="68"/>
      <c r="G278" s="68"/>
      <c r="H278" s="119"/>
    </row>
    <row r="279" spans="5:8" ht="24.6" thickTop="1" thickBot="1" x14ac:dyDescent="0.35">
      <c r="E279" s="18"/>
      <c r="F279" s="68"/>
      <c r="G279" s="68"/>
      <c r="H279" s="119"/>
    </row>
    <row r="280" spans="5:8" ht="24.6" thickTop="1" thickBot="1" x14ac:dyDescent="0.35">
      <c r="E280" s="18"/>
      <c r="F280" s="68"/>
      <c r="G280" s="68"/>
      <c r="H280" s="119"/>
    </row>
    <row r="281" spans="5:8" ht="24.6" thickTop="1" thickBot="1" x14ac:dyDescent="0.35">
      <c r="E281" s="18"/>
      <c r="F281" s="68"/>
      <c r="G281" s="68"/>
      <c r="H281" s="119"/>
    </row>
    <row r="282" spans="5:8" ht="24.6" thickTop="1" thickBot="1" x14ac:dyDescent="0.35">
      <c r="E282" s="18"/>
      <c r="F282" s="68"/>
      <c r="G282" s="68"/>
      <c r="H282" s="119"/>
    </row>
    <row r="283" spans="5:8" ht="24.6" thickTop="1" thickBot="1" x14ac:dyDescent="0.35">
      <c r="E283" s="18"/>
      <c r="F283" s="68"/>
      <c r="G283" s="68"/>
      <c r="H283" s="119"/>
    </row>
    <row r="284" spans="5:8" ht="24.6" thickTop="1" thickBot="1" x14ac:dyDescent="0.35">
      <c r="E284" s="18"/>
      <c r="F284" s="68"/>
      <c r="G284" s="68"/>
      <c r="H284" s="119"/>
    </row>
    <row r="285" spans="5:8" ht="24.6" thickTop="1" thickBot="1" x14ac:dyDescent="0.35">
      <c r="E285" s="13"/>
      <c r="F285" s="68"/>
      <c r="G285" s="68"/>
      <c r="H285" s="119"/>
    </row>
    <row r="286" spans="5:8" ht="16.8" thickTop="1" thickBot="1" x14ac:dyDescent="0.35">
      <c r="E286" s="13"/>
      <c r="F286" s="67"/>
      <c r="G286" s="67"/>
      <c r="H286" s="118"/>
    </row>
    <row r="287" spans="5:8" ht="16.8" thickTop="1" thickBot="1" x14ac:dyDescent="0.35">
      <c r="E287" s="14"/>
      <c r="F287" s="67"/>
      <c r="G287" s="67"/>
      <c r="H287" s="118"/>
    </row>
    <row r="288" spans="5:8" ht="16.8" thickTop="1" thickBot="1" x14ac:dyDescent="0.35">
      <c r="E288" s="13"/>
      <c r="F288" s="66"/>
      <c r="G288" s="66"/>
      <c r="H288" s="117"/>
    </row>
    <row r="289" spans="5:8" ht="16.8" thickTop="1" thickBot="1" x14ac:dyDescent="0.35">
      <c r="E289" s="13"/>
      <c r="F289" s="67"/>
      <c r="G289" s="67"/>
      <c r="H289" s="118"/>
    </row>
    <row r="290" spans="5:8" ht="16.8" thickTop="1" thickBot="1" x14ac:dyDescent="0.35">
      <c r="E290" s="13"/>
      <c r="F290" s="67"/>
      <c r="G290" s="67"/>
      <c r="H290" s="118"/>
    </row>
    <row r="291" spans="5:8" ht="16.8" thickTop="1" thickBot="1" x14ac:dyDescent="0.35">
      <c r="E291" s="13"/>
      <c r="F291" s="67"/>
      <c r="G291" s="67"/>
      <c r="H291" s="118"/>
    </row>
    <row r="292" spans="5:8" ht="16.8" thickTop="1" thickBot="1" x14ac:dyDescent="0.35">
      <c r="E292" s="13"/>
      <c r="F292" s="67"/>
      <c r="G292" s="67"/>
      <c r="H292" s="118"/>
    </row>
    <row r="293" spans="5:8" ht="16.8" thickTop="1" thickBot="1" x14ac:dyDescent="0.35">
      <c r="E293" s="13"/>
      <c r="F293" s="67"/>
      <c r="G293" s="67"/>
      <c r="H293" s="118"/>
    </row>
    <row r="294" spans="5:8" ht="16.8" thickTop="1" thickBot="1" x14ac:dyDescent="0.35">
      <c r="E294" s="13"/>
      <c r="F294" s="67"/>
      <c r="G294" s="67"/>
      <c r="H294" s="118"/>
    </row>
    <row r="295" spans="5:8" ht="16.8" thickTop="1" thickBot="1" x14ac:dyDescent="0.35">
      <c r="E295" s="13"/>
      <c r="F295" s="67"/>
      <c r="G295" s="67"/>
      <c r="H295" s="118"/>
    </row>
    <row r="296" spans="5:8" ht="16.8" thickTop="1" thickBot="1" x14ac:dyDescent="0.35">
      <c r="E296" s="13"/>
      <c r="F296" s="67"/>
      <c r="G296" s="67"/>
      <c r="H296" s="118"/>
    </row>
    <row r="297" spans="5:8" ht="16.8" thickTop="1" thickBot="1" x14ac:dyDescent="0.35">
      <c r="E297" s="13"/>
      <c r="F297" s="67"/>
      <c r="G297" s="67"/>
      <c r="H297" s="118"/>
    </row>
    <row r="298" spans="5:8" ht="16.8" thickTop="1" thickBot="1" x14ac:dyDescent="0.35">
      <c r="E298" s="14"/>
      <c r="F298" s="67"/>
      <c r="G298" s="67"/>
      <c r="H298" s="118"/>
    </row>
    <row r="299" spans="5:8" ht="16.2" thickTop="1" thickBot="1" x14ac:dyDescent="0.35">
      <c r="E299" s="14"/>
      <c r="F299" s="66"/>
      <c r="G299" s="66"/>
      <c r="H299" s="117"/>
    </row>
    <row r="300" spans="5:8" ht="16.2" thickTop="1" thickBot="1" x14ac:dyDescent="0.35">
      <c r="E300" s="14"/>
      <c r="F300" s="66"/>
      <c r="G300" s="66"/>
      <c r="H300" s="117"/>
    </row>
    <row r="301" spans="5:8" ht="16.8" thickTop="1" thickBot="1" x14ac:dyDescent="0.35">
      <c r="E301" s="13"/>
      <c r="F301" s="66"/>
      <c r="G301" s="66"/>
      <c r="H301" s="117"/>
    </row>
    <row r="302" spans="5:8" ht="16.8" thickTop="1" thickBot="1" x14ac:dyDescent="0.35">
      <c r="E302" s="13"/>
      <c r="F302" s="67"/>
      <c r="G302" s="67"/>
      <c r="H302" s="118"/>
    </row>
    <row r="303" spans="5:8" ht="16.8" thickTop="1" thickBot="1" x14ac:dyDescent="0.35">
      <c r="E303" s="17"/>
      <c r="F303" s="67"/>
      <c r="G303" s="67"/>
      <c r="H303" s="118"/>
    </row>
    <row r="304" spans="5:8" ht="16.8" thickTop="1" thickBot="1" x14ac:dyDescent="0.35">
      <c r="E304" s="13"/>
      <c r="F304" s="69"/>
      <c r="G304" s="69"/>
      <c r="H304" s="120"/>
    </row>
    <row r="305" spans="5:8" ht="16.8" thickTop="1" thickBot="1" x14ac:dyDescent="0.35">
      <c r="E305" s="13"/>
      <c r="F305" s="67"/>
      <c r="G305" s="67"/>
      <c r="H305" s="118"/>
    </row>
    <row r="306" spans="5:8" ht="16.8" thickTop="1" thickBot="1" x14ac:dyDescent="0.35">
      <c r="E306" s="14"/>
      <c r="F306" s="67"/>
      <c r="G306" s="67"/>
      <c r="H306" s="118"/>
    </row>
    <row r="307" spans="5:8" ht="16.8" thickTop="1" thickBot="1" x14ac:dyDescent="0.35">
      <c r="E307" s="13"/>
      <c r="F307" s="66"/>
      <c r="G307" s="66"/>
      <c r="H307" s="117"/>
    </row>
    <row r="308" spans="5:8" ht="16.8" thickTop="1" thickBot="1" x14ac:dyDescent="0.35">
      <c r="E308" s="13"/>
      <c r="F308" s="67"/>
      <c r="G308" s="67"/>
      <c r="H308" s="118"/>
    </row>
    <row r="309" spans="5:8" ht="16.8" thickTop="1" thickBot="1" x14ac:dyDescent="0.35">
      <c r="E309" s="14"/>
      <c r="F309" s="67"/>
      <c r="G309" s="67"/>
      <c r="H309" s="118"/>
    </row>
    <row r="310" spans="5:8" ht="16.2" thickTop="1" thickBot="1" x14ac:dyDescent="0.35">
      <c r="E310" s="14"/>
      <c r="F310" s="66"/>
      <c r="G310" s="66"/>
      <c r="H310" s="117"/>
    </row>
    <row r="311" spans="5:8" ht="16.2" thickTop="1" thickBot="1" x14ac:dyDescent="0.35">
      <c r="E311" s="16"/>
      <c r="F311" s="66"/>
      <c r="G311" s="66"/>
      <c r="H311" s="117"/>
    </row>
    <row r="312" spans="5:8" ht="16.2" thickTop="1" thickBot="1" x14ac:dyDescent="0.35">
      <c r="E312" s="16"/>
      <c r="F312" s="70"/>
      <c r="G312" s="70"/>
      <c r="H312" s="121"/>
    </row>
    <row r="313" spans="5:8" ht="16.8" thickTop="1" thickBot="1" x14ac:dyDescent="0.35">
      <c r="E313" s="13"/>
      <c r="F313" s="70"/>
      <c r="G313" s="70"/>
      <c r="H313" s="121"/>
    </row>
    <row r="314" spans="5:8" ht="16.8" thickTop="1" thickBot="1" x14ac:dyDescent="0.35">
      <c r="E314" s="13"/>
      <c r="F314" s="67"/>
      <c r="G314" s="67"/>
      <c r="H314" s="118"/>
    </row>
    <row r="315" spans="5:8" ht="16.8" thickTop="1" thickBot="1" x14ac:dyDescent="0.35">
      <c r="E315" s="13"/>
      <c r="F315" s="67"/>
      <c r="G315" s="67"/>
      <c r="H315" s="118"/>
    </row>
    <row r="316" spans="5:8" ht="16.8" thickTop="1" thickBot="1" x14ac:dyDescent="0.35">
      <c r="E316" s="13"/>
      <c r="F316" s="67"/>
      <c r="G316" s="67"/>
      <c r="H316" s="118"/>
    </row>
    <row r="317" spans="5:8" ht="16.8" thickTop="1" thickBot="1" x14ac:dyDescent="0.35">
      <c r="E317" s="13"/>
      <c r="F317" s="67"/>
      <c r="G317" s="67"/>
      <c r="H317" s="118"/>
    </row>
    <row r="318" spans="5:8" ht="16.8" thickTop="1" thickBot="1" x14ac:dyDescent="0.35">
      <c r="E318" s="13"/>
      <c r="F318" s="67"/>
      <c r="G318" s="67"/>
      <c r="H318" s="118"/>
    </row>
    <row r="319" spans="5:8" ht="16.8" thickTop="1" thickBot="1" x14ac:dyDescent="0.35">
      <c r="E319" s="13"/>
      <c r="F319" s="67"/>
      <c r="G319" s="67"/>
      <c r="H319" s="118"/>
    </row>
    <row r="320" spans="5:8" ht="16.8" thickTop="1" thickBot="1" x14ac:dyDescent="0.35">
      <c r="E320" s="13"/>
      <c r="F320" s="67"/>
      <c r="G320" s="67"/>
      <c r="H320" s="118"/>
    </row>
    <row r="321" spans="5:8" ht="16.8" thickTop="1" thickBot="1" x14ac:dyDescent="0.35">
      <c r="E321" s="13"/>
      <c r="F321" s="67"/>
      <c r="G321" s="67"/>
      <c r="H321" s="118"/>
    </row>
    <row r="322" spans="5:8" ht="16.8" thickTop="1" thickBot="1" x14ac:dyDescent="0.35">
      <c r="E322" s="13"/>
      <c r="F322" s="67"/>
      <c r="G322" s="67"/>
      <c r="H322" s="118"/>
    </row>
    <row r="323" spans="5:8" ht="16.8" thickTop="1" thickBot="1" x14ac:dyDescent="0.35">
      <c r="E323" s="13"/>
      <c r="F323" s="67"/>
      <c r="G323" s="67"/>
      <c r="H323" s="118"/>
    </row>
    <row r="324" spans="5:8" ht="16.8" thickTop="1" thickBot="1" x14ac:dyDescent="0.35">
      <c r="E324" s="14"/>
      <c r="F324" s="67"/>
      <c r="G324" s="67"/>
      <c r="H324" s="118"/>
    </row>
    <row r="325" spans="5:8" ht="16.2" thickTop="1" thickBot="1" x14ac:dyDescent="0.35">
      <c r="E325" s="14"/>
      <c r="F325" s="66"/>
      <c r="G325" s="66"/>
      <c r="H325" s="117"/>
    </row>
    <row r="326" spans="5:8" ht="16.2" thickTop="1" thickBot="1" x14ac:dyDescent="0.35">
      <c r="E326" s="14"/>
      <c r="F326" s="66"/>
      <c r="G326" s="66"/>
      <c r="H326" s="117"/>
    </row>
    <row r="327" spans="5:8" ht="16.2" thickTop="1" thickBot="1" x14ac:dyDescent="0.35">
      <c r="E327" s="71"/>
      <c r="F327" s="66"/>
      <c r="G327" s="66"/>
      <c r="H327" s="117"/>
    </row>
    <row r="328" spans="5:8" ht="16.2" thickTop="1" thickBot="1" x14ac:dyDescent="0.35">
      <c r="E328" s="14"/>
      <c r="F328" s="72"/>
      <c r="G328" s="72"/>
      <c r="H328" s="122"/>
    </row>
    <row r="329" spans="5:8" ht="16.2" thickTop="1" thickBot="1" x14ac:dyDescent="0.35">
      <c r="E329" s="14"/>
      <c r="F329" s="66"/>
      <c r="G329" s="66"/>
      <c r="H329" s="117"/>
    </row>
    <row r="330" spans="5:8" ht="16.2" thickTop="1" thickBot="1" x14ac:dyDescent="0.35">
      <c r="E330" s="14"/>
      <c r="F330" s="66"/>
      <c r="G330" s="66"/>
      <c r="H330" s="117"/>
    </row>
    <row r="331" spans="5:8" ht="16.2" thickTop="1" thickBot="1" x14ac:dyDescent="0.35">
      <c r="E331" s="14"/>
      <c r="F331" s="66"/>
      <c r="G331" s="66"/>
      <c r="H331" s="117"/>
    </row>
    <row r="332" spans="5:8" ht="16.2" thickTop="1" thickBot="1" x14ac:dyDescent="0.35">
      <c r="E332" s="14"/>
      <c r="F332" s="66"/>
      <c r="G332" s="66"/>
      <c r="H332" s="117"/>
    </row>
    <row r="333" spans="5:8" ht="16.8" thickTop="1" thickBot="1" x14ac:dyDescent="0.35">
      <c r="E333" s="13"/>
      <c r="F333" s="66"/>
      <c r="G333" s="66"/>
      <c r="H333" s="117"/>
    </row>
    <row r="334" spans="5:8" ht="16.8" thickTop="1" thickBot="1" x14ac:dyDescent="0.35">
      <c r="E334" s="13"/>
      <c r="F334" s="67"/>
      <c r="G334" s="67"/>
      <c r="H334" s="118"/>
    </row>
    <row r="335" spans="5:8" ht="16.8" thickTop="1" thickBot="1" x14ac:dyDescent="0.35">
      <c r="E335" s="13"/>
      <c r="F335" s="67"/>
      <c r="G335" s="67"/>
      <c r="H335" s="118"/>
    </row>
    <row r="336" spans="5:8" ht="16.8" thickTop="1" thickBot="1" x14ac:dyDescent="0.35">
      <c r="E336" s="13"/>
      <c r="F336" s="67"/>
      <c r="G336" s="67"/>
      <c r="H336" s="118"/>
    </row>
    <row r="337" spans="5:8" ht="16.8" thickTop="1" thickBot="1" x14ac:dyDescent="0.35">
      <c r="E337" s="13"/>
      <c r="F337" s="67"/>
      <c r="G337" s="67"/>
      <c r="H337" s="118"/>
    </row>
    <row r="338" spans="5:8" ht="16.8" thickTop="1" thickBot="1" x14ac:dyDescent="0.35">
      <c r="E338" s="13"/>
      <c r="F338" s="67"/>
      <c r="G338" s="67"/>
      <c r="H338" s="118"/>
    </row>
    <row r="339" spans="5:8" ht="16.8" thickTop="1" thickBot="1" x14ac:dyDescent="0.35">
      <c r="E339" s="13"/>
      <c r="F339" s="67"/>
      <c r="G339" s="67"/>
      <c r="H339" s="118"/>
    </row>
    <row r="340" spans="5:8" ht="16.8" thickTop="1" thickBot="1" x14ac:dyDescent="0.35">
      <c r="E340" s="14"/>
      <c r="F340" s="67"/>
      <c r="G340" s="67"/>
      <c r="H340" s="118"/>
    </row>
    <row r="341" spans="5:8" ht="16.8" thickTop="1" thickBot="1" x14ac:dyDescent="0.35">
      <c r="E341" s="13"/>
      <c r="F341" s="66"/>
      <c r="G341" s="66"/>
      <c r="H341" s="117"/>
    </row>
    <row r="342" spans="5:8" ht="16.8" thickTop="1" thickBot="1" x14ac:dyDescent="0.35">
      <c r="E342" s="13"/>
      <c r="F342" s="67"/>
      <c r="G342" s="67"/>
      <c r="H342" s="118"/>
    </row>
    <row r="343" spans="5:8" ht="16.8" thickTop="1" thickBot="1" x14ac:dyDescent="0.35">
      <c r="E343" s="13"/>
      <c r="F343" s="67"/>
      <c r="G343" s="67"/>
      <c r="H343" s="118"/>
    </row>
    <row r="344" spans="5:8" ht="16.8" thickTop="1" thickBot="1" x14ac:dyDescent="0.35">
      <c r="E344" s="13"/>
      <c r="F344" s="67"/>
      <c r="G344" s="67"/>
      <c r="H344" s="118"/>
    </row>
    <row r="345" spans="5:8" ht="16.8" thickTop="1" thickBot="1" x14ac:dyDescent="0.35">
      <c r="E345" s="13"/>
      <c r="F345" s="67"/>
      <c r="G345" s="67"/>
      <c r="H345" s="118"/>
    </row>
    <row r="346" spans="5:8" ht="16.8" thickTop="1" thickBot="1" x14ac:dyDescent="0.35">
      <c r="E346" s="13"/>
      <c r="F346" s="67"/>
      <c r="G346" s="67"/>
      <c r="H346" s="118"/>
    </row>
    <row r="347" spans="5:8" ht="16.8" thickTop="1" thickBot="1" x14ac:dyDescent="0.35">
      <c r="E347" s="13"/>
      <c r="F347" s="67"/>
      <c r="G347" s="67"/>
      <c r="H347" s="118"/>
    </row>
    <row r="348" spans="5:8" ht="16.8" thickTop="1" thickBot="1" x14ac:dyDescent="0.35">
      <c r="E348" s="13"/>
      <c r="F348" s="67"/>
      <c r="G348" s="67"/>
      <c r="H348" s="118"/>
    </row>
    <row r="349" spans="5:8" ht="16.8" thickTop="1" thickBot="1" x14ac:dyDescent="0.35">
      <c r="E349" s="13"/>
      <c r="F349" s="67"/>
      <c r="G349" s="67"/>
      <c r="H349" s="118"/>
    </row>
    <row r="350" spans="5:8" ht="16.8" thickTop="1" thickBot="1" x14ac:dyDescent="0.35">
      <c r="E350" s="13"/>
      <c r="F350" s="67"/>
      <c r="G350" s="67"/>
      <c r="H350" s="118"/>
    </row>
    <row r="351" spans="5:8" ht="16.8" thickTop="1" thickBot="1" x14ac:dyDescent="0.35">
      <c r="E351" s="14"/>
      <c r="F351" s="67"/>
      <c r="G351" s="67"/>
      <c r="H351" s="118"/>
    </row>
    <row r="352" spans="5:8" ht="16.8" thickTop="1" thickBot="1" x14ac:dyDescent="0.35">
      <c r="E352" s="13"/>
      <c r="F352" s="66"/>
      <c r="G352" s="66"/>
      <c r="H352" s="117"/>
    </row>
    <row r="353" spans="5:8" ht="16.8" thickTop="1" thickBot="1" x14ac:dyDescent="0.35">
      <c r="E353" s="13"/>
      <c r="F353" s="67"/>
      <c r="G353" s="67"/>
      <c r="H353" s="118"/>
    </row>
    <row r="354" spans="5:8" ht="16.8" thickTop="1" thickBot="1" x14ac:dyDescent="0.35">
      <c r="E354" s="13"/>
      <c r="F354" s="67"/>
      <c r="G354" s="67"/>
      <c r="H354" s="118"/>
    </row>
    <row r="355" spans="5:8" ht="16.8" thickTop="1" thickBot="1" x14ac:dyDescent="0.35">
      <c r="E355" s="13"/>
      <c r="F355" s="67"/>
      <c r="G355" s="67"/>
      <c r="H355" s="118"/>
    </row>
    <row r="356" spans="5:8" ht="16.8" thickTop="1" thickBot="1" x14ac:dyDescent="0.35">
      <c r="E356" s="13"/>
      <c r="F356" s="67"/>
      <c r="G356" s="67"/>
      <c r="H356" s="118"/>
    </row>
    <row r="357" spans="5:8" ht="16.8" thickTop="1" thickBot="1" x14ac:dyDescent="0.35">
      <c r="E357" s="13"/>
      <c r="F357" s="67"/>
      <c r="G357" s="67"/>
      <c r="H357" s="118"/>
    </row>
    <row r="358" spans="5:8" ht="16.8" thickTop="1" thickBot="1" x14ac:dyDescent="0.35">
      <c r="E358" s="13"/>
      <c r="F358" s="67"/>
      <c r="G358" s="67"/>
      <c r="H358" s="118"/>
    </row>
    <row r="359" spans="5:8" ht="16.8" thickTop="1" thickBot="1" x14ac:dyDescent="0.35">
      <c r="E359" s="13"/>
      <c r="F359" s="67"/>
      <c r="G359" s="67"/>
      <c r="H359" s="118"/>
    </row>
    <row r="360" spans="5:8" ht="16.8" thickTop="1" thickBot="1" x14ac:dyDescent="0.35">
      <c r="E360" s="14"/>
      <c r="F360" s="67"/>
      <c r="G360" s="67"/>
      <c r="H360" s="118"/>
    </row>
    <row r="361" spans="5:8" ht="16.2" thickTop="1" thickBot="1" x14ac:dyDescent="0.35">
      <c r="E361" s="14"/>
      <c r="F361" s="66"/>
      <c r="G361" s="66"/>
      <c r="H361" s="117"/>
    </row>
    <row r="362" spans="5:8" ht="16.2" thickTop="1" thickBot="1" x14ac:dyDescent="0.35">
      <c r="E362" s="14"/>
      <c r="F362" s="66"/>
      <c r="G362" s="66"/>
      <c r="H362" s="117"/>
    </row>
    <row r="363" spans="5:8" ht="16.2" thickTop="1" thickBot="1" x14ac:dyDescent="0.35">
      <c r="E363" s="14"/>
      <c r="F363" s="66"/>
      <c r="G363" s="66"/>
      <c r="H363" s="117"/>
    </row>
    <row r="364" spans="5:8" ht="16.2" thickTop="1" thickBot="1" x14ac:dyDescent="0.35">
      <c r="E364" s="14"/>
      <c r="F364" s="66"/>
      <c r="G364" s="66"/>
      <c r="H364" s="117"/>
    </row>
    <row r="365" spans="5:8" ht="16.8" thickTop="1" thickBot="1" x14ac:dyDescent="0.35">
      <c r="E365" s="13"/>
      <c r="F365" s="66"/>
      <c r="G365" s="66"/>
      <c r="H365" s="117"/>
    </row>
    <row r="366" spans="5:8" ht="16.8" thickTop="1" thickBot="1" x14ac:dyDescent="0.35">
      <c r="E366" s="13"/>
      <c r="F366" s="67"/>
      <c r="G366" s="67"/>
      <c r="H366" s="118"/>
    </row>
    <row r="367" spans="5:8" ht="22.2" thickTop="1" thickBot="1" x14ac:dyDescent="0.35">
      <c r="E367" s="73"/>
      <c r="F367" s="67"/>
      <c r="G367" s="67"/>
      <c r="H367" s="118"/>
    </row>
    <row r="368" spans="5:8" ht="22.2" thickTop="1" thickBot="1" x14ac:dyDescent="0.35">
      <c r="E368" s="13"/>
      <c r="F368" s="74"/>
      <c r="G368" s="74"/>
      <c r="H368" s="123"/>
    </row>
    <row r="369" spans="5:8" ht="16.8" thickTop="1" thickBot="1" x14ac:dyDescent="0.35">
      <c r="E369" s="13"/>
      <c r="F369" s="67"/>
      <c r="G369" s="67"/>
      <c r="H369" s="118"/>
    </row>
    <row r="370" spans="5:8" ht="16.8" thickTop="1" thickBot="1" x14ac:dyDescent="0.35">
      <c r="E370" s="13"/>
      <c r="F370" s="67"/>
      <c r="G370" s="67"/>
      <c r="H370" s="118"/>
    </row>
    <row r="371" spans="5:8" ht="16.8" thickTop="1" thickBot="1" x14ac:dyDescent="0.35">
      <c r="E371" s="13"/>
      <c r="F371" s="67"/>
      <c r="G371" s="67"/>
      <c r="H371" s="118"/>
    </row>
    <row r="372" spans="5:8" ht="16.8" thickTop="1" thickBot="1" x14ac:dyDescent="0.35">
      <c r="E372" s="13"/>
      <c r="F372" s="67"/>
      <c r="G372" s="67"/>
      <c r="H372" s="118"/>
    </row>
    <row r="373" spans="5:8" ht="16.8" thickTop="1" thickBot="1" x14ac:dyDescent="0.35">
      <c r="E373" s="13"/>
      <c r="F373" s="67"/>
      <c r="G373" s="67"/>
      <c r="H373" s="118"/>
    </row>
    <row r="374" spans="5:8" ht="16.8" thickTop="1" thickBot="1" x14ac:dyDescent="0.35">
      <c r="E374" s="13"/>
      <c r="F374" s="67"/>
      <c r="G374" s="67"/>
      <c r="H374" s="118"/>
    </row>
    <row r="375" spans="5:8" ht="16.8" thickTop="1" thickBot="1" x14ac:dyDescent="0.35">
      <c r="E375" s="13"/>
      <c r="F375" s="67"/>
      <c r="G375" s="67"/>
      <c r="H375" s="118"/>
    </row>
    <row r="376" spans="5:8" ht="16.8" thickTop="1" thickBot="1" x14ac:dyDescent="0.35">
      <c r="E376" s="14"/>
      <c r="F376" s="67"/>
      <c r="G376" s="67"/>
      <c r="H376" s="118"/>
    </row>
    <row r="377" spans="5:8" ht="16.8" thickTop="1" thickBot="1" x14ac:dyDescent="0.35">
      <c r="E377" s="13"/>
      <c r="F377" s="66"/>
      <c r="G377" s="66"/>
      <c r="H377" s="117"/>
    </row>
    <row r="378" spans="5:8" ht="16.8" thickTop="1" thickBot="1" x14ac:dyDescent="0.35">
      <c r="E378" s="14"/>
      <c r="F378" s="67"/>
      <c r="G378" s="67"/>
      <c r="H378" s="118"/>
    </row>
    <row r="379" spans="5:8" ht="16.2" thickTop="1" thickBot="1" x14ac:dyDescent="0.35">
      <c r="E379" s="14"/>
      <c r="F379" s="66"/>
      <c r="G379" s="66"/>
      <c r="H379" s="117"/>
    </row>
    <row r="380" spans="5:8" ht="16.8" thickTop="1" thickBot="1" x14ac:dyDescent="0.35">
      <c r="E380" s="13"/>
      <c r="F380" s="66"/>
      <c r="G380" s="66"/>
      <c r="H380" s="117"/>
    </row>
    <row r="381" spans="5:8" ht="16.8" thickTop="1" thickBot="1" x14ac:dyDescent="0.35">
      <c r="E381" s="13"/>
      <c r="F381" s="67"/>
      <c r="G381" s="67"/>
      <c r="H381" s="118"/>
    </row>
    <row r="382" spans="5:8" ht="16.8" thickTop="1" thickBot="1" x14ac:dyDescent="0.35">
      <c r="E382" s="13"/>
      <c r="F382" s="67"/>
      <c r="G382" s="67"/>
      <c r="H382" s="118"/>
    </row>
    <row r="383" spans="5:8" ht="16.8" thickTop="1" thickBot="1" x14ac:dyDescent="0.35">
      <c r="E383" s="13"/>
      <c r="F383" s="67"/>
      <c r="G383" s="67"/>
      <c r="H383" s="118"/>
    </row>
    <row r="384" spans="5:8" ht="16.8" thickTop="1" thickBot="1" x14ac:dyDescent="0.35">
      <c r="E384" s="13"/>
      <c r="F384" s="67"/>
      <c r="G384" s="67"/>
      <c r="H384" s="118"/>
    </row>
    <row r="385" spans="5:8" ht="16.8" thickTop="1" thickBot="1" x14ac:dyDescent="0.35">
      <c r="E385" s="13"/>
      <c r="F385" s="67"/>
      <c r="G385" s="67"/>
      <c r="H385" s="118"/>
    </row>
    <row r="386" spans="5:8" ht="16.8" thickTop="1" thickBot="1" x14ac:dyDescent="0.35">
      <c r="E386" s="13"/>
      <c r="F386" s="67"/>
      <c r="G386" s="67"/>
      <c r="H386" s="118"/>
    </row>
    <row r="387" spans="5:8" ht="16.8" thickTop="1" thickBot="1" x14ac:dyDescent="0.35">
      <c r="E387" s="13"/>
      <c r="F387" s="67"/>
      <c r="G387" s="67"/>
      <c r="H387" s="118"/>
    </row>
    <row r="388" spans="5:8" ht="16.8" thickTop="1" thickBot="1" x14ac:dyDescent="0.35">
      <c r="E388" s="13"/>
      <c r="F388" s="67"/>
      <c r="G388" s="67"/>
      <c r="H388" s="118"/>
    </row>
    <row r="389" spans="5:8" ht="16.8" thickTop="1" thickBot="1" x14ac:dyDescent="0.35">
      <c r="E389" s="13"/>
      <c r="F389" s="67"/>
      <c r="G389" s="67"/>
      <c r="H389" s="118"/>
    </row>
    <row r="390" spans="5:8" ht="16.8" thickTop="1" thickBot="1" x14ac:dyDescent="0.35">
      <c r="E390" s="14"/>
      <c r="F390" s="67"/>
      <c r="G390" s="67"/>
      <c r="H390" s="118"/>
    </row>
    <row r="391" spans="5:8" ht="16.8" thickTop="1" thickBot="1" x14ac:dyDescent="0.35">
      <c r="E391" s="13"/>
      <c r="F391" s="66"/>
      <c r="G391" s="66"/>
      <c r="H391" s="117"/>
    </row>
    <row r="392" spans="5:8" ht="16.8" thickTop="1" thickBot="1" x14ac:dyDescent="0.35">
      <c r="E392" s="13"/>
      <c r="F392" s="67"/>
      <c r="G392" s="67"/>
      <c r="H392" s="118"/>
    </row>
    <row r="393" spans="5:8" ht="16.8" thickTop="1" thickBot="1" x14ac:dyDescent="0.35">
      <c r="E393" s="13"/>
      <c r="F393" s="67"/>
      <c r="G393" s="67"/>
      <c r="H393" s="118"/>
    </row>
    <row r="394" spans="5:8" ht="16.8" thickTop="1" thickBot="1" x14ac:dyDescent="0.35">
      <c r="E394" s="13"/>
      <c r="F394" s="67"/>
      <c r="G394" s="67"/>
      <c r="H394" s="118"/>
    </row>
    <row r="395" spans="5:8" ht="16.8" thickTop="1" thickBot="1" x14ac:dyDescent="0.35">
      <c r="E395" s="13"/>
      <c r="F395" s="67"/>
      <c r="G395" s="67"/>
      <c r="H395" s="118"/>
    </row>
    <row r="396" spans="5:8" ht="16.8" thickTop="1" thickBot="1" x14ac:dyDescent="0.35">
      <c r="E396" s="14"/>
      <c r="F396" s="67"/>
      <c r="G396" s="67"/>
      <c r="H396" s="118"/>
    </row>
    <row r="397" spans="5:8" ht="16.8" thickTop="1" thickBot="1" x14ac:dyDescent="0.35">
      <c r="E397" s="13"/>
      <c r="F397" s="66"/>
      <c r="G397" s="66"/>
      <c r="H397" s="117"/>
    </row>
    <row r="398" spans="5:8" ht="16.8" thickTop="1" thickBot="1" x14ac:dyDescent="0.35">
      <c r="E398" s="13"/>
      <c r="F398" s="67"/>
      <c r="G398" s="67"/>
      <c r="H398" s="118"/>
    </row>
    <row r="399" spans="5:8" ht="16.8" thickTop="1" thickBot="1" x14ac:dyDescent="0.35">
      <c r="E399" s="13"/>
      <c r="F399" s="67"/>
      <c r="G399" s="67"/>
      <c r="H399" s="118"/>
    </row>
    <row r="400" spans="5:8" ht="16.8" thickTop="1" thickBot="1" x14ac:dyDescent="0.35">
      <c r="E400" s="14"/>
      <c r="F400" s="67"/>
      <c r="G400" s="67"/>
      <c r="H400" s="118"/>
    </row>
    <row r="401" spans="5:8" ht="16.8" thickTop="1" thickBot="1" x14ac:dyDescent="0.35">
      <c r="E401" s="13"/>
      <c r="F401" s="66"/>
      <c r="G401" s="66"/>
      <c r="H401" s="117"/>
    </row>
    <row r="402" spans="5:8" ht="16.8" thickTop="1" thickBot="1" x14ac:dyDescent="0.35">
      <c r="E402" s="14"/>
      <c r="F402" s="67"/>
      <c r="G402" s="67"/>
      <c r="H402" s="118"/>
    </row>
    <row r="403" spans="5:8" ht="16.2" thickTop="1" thickBot="1" x14ac:dyDescent="0.35">
      <c r="E403" s="14"/>
      <c r="F403" s="66"/>
      <c r="G403" s="66"/>
      <c r="H403" s="117"/>
    </row>
    <row r="404" spans="5:8" ht="16.2" thickTop="1" thickBot="1" x14ac:dyDescent="0.35">
      <c r="E404" s="14"/>
      <c r="F404" s="66"/>
      <c r="G404" s="66"/>
      <c r="H404" s="117"/>
    </row>
    <row r="405" spans="5:8" ht="16.2" thickTop="1" thickBot="1" x14ac:dyDescent="0.35">
      <c r="E405" s="14"/>
      <c r="F405" s="66"/>
      <c r="G405" s="66"/>
      <c r="H405" s="117"/>
    </row>
    <row r="406" spans="5:8" ht="16.2" thickTop="1" thickBot="1" x14ac:dyDescent="0.35">
      <c r="E406" s="14"/>
      <c r="F406" s="66"/>
      <c r="G406" s="66"/>
      <c r="H406" s="117"/>
    </row>
    <row r="407" spans="5:8" ht="16.2" thickTop="1" thickBot="1" x14ac:dyDescent="0.35">
      <c r="F407" s="66"/>
      <c r="G407" s="66"/>
      <c r="H407" s="117"/>
    </row>
    <row r="408" spans="5:8" ht="14.4" x14ac:dyDescent="0.3"/>
    <row r="409" spans="5:8" ht="14.4" x14ac:dyDescent="0.3"/>
    <row r="410" spans="5:8" ht="14.4" x14ac:dyDescent="0.3"/>
    <row r="411" spans="5:8" ht="14.4" x14ac:dyDescent="0.3"/>
    <row r="412" spans="5:8" ht="14.4" x14ac:dyDescent="0.3"/>
    <row r="413" spans="5:8" ht="14.4" x14ac:dyDescent="0.3"/>
    <row r="414" spans="5:8" ht="14.4" x14ac:dyDescent="0.3"/>
    <row r="415" spans="5:8" ht="14.4" x14ac:dyDescent="0.3"/>
    <row r="416" spans="5:8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</sheetData>
  <sortState ref="E52:H62">
    <sortCondition descending="1" ref="H112:H113"/>
  </sortState>
  <mergeCells count="69">
    <mergeCell ref="D2:D9"/>
    <mergeCell ref="B2:B9"/>
    <mergeCell ref="D11:D20"/>
    <mergeCell ref="B11:B20"/>
    <mergeCell ref="D25:D30"/>
    <mergeCell ref="B25:B30"/>
    <mergeCell ref="D22:D23"/>
    <mergeCell ref="B22:B23"/>
    <mergeCell ref="C2:C9"/>
    <mergeCell ref="D84:D89"/>
    <mergeCell ref="B84:B89"/>
    <mergeCell ref="B78:B79"/>
    <mergeCell ref="D78:D79"/>
    <mergeCell ref="C78:C79"/>
    <mergeCell ref="C81:C82"/>
    <mergeCell ref="C84:C89"/>
    <mergeCell ref="B81:B82"/>
    <mergeCell ref="B139:B140"/>
    <mergeCell ref="D139:D140"/>
    <mergeCell ref="B123:B128"/>
    <mergeCell ref="D123:D128"/>
    <mergeCell ref="B130:B133"/>
    <mergeCell ref="D130:D133"/>
    <mergeCell ref="B135:B137"/>
    <mergeCell ref="D135:D137"/>
    <mergeCell ref="C139:C140"/>
    <mergeCell ref="C130:C133"/>
    <mergeCell ref="D70:D76"/>
    <mergeCell ref="B70:B76"/>
    <mergeCell ref="B61:B63"/>
    <mergeCell ref="D81:D82"/>
    <mergeCell ref="D61:D63"/>
    <mergeCell ref="C65:C68"/>
    <mergeCell ref="C70:C76"/>
    <mergeCell ref="D49:D55"/>
    <mergeCell ref="B49:B55"/>
    <mergeCell ref="D65:D68"/>
    <mergeCell ref="B32:B34"/>
    <mergeCell ref="D32:D34"/>
    <mergeCell ref="C38:C41"/>
    <mergeCell ref="C43:C45"/>
    <mergeCell ref="C49:C54"/>
    <mergeCell ref="B65:B68"/>
    <mergeCell ref="D38:D41"/>
    <mergeCell ref="B38:B41"/>
    <mergeCell ref="D43:D45"/>
    <mergeCell ref="B43:B45"/>
    <mergeCell ref="C123:C128"/>
    <mergeCell ref="C135:C137"/>
    <mergeCell ref="C93:C99"/>
    <mergeCell ref="C11:C20"/>
    <mergeCell ref="C22:C23"/>
    <mergeCell ref="C25:C30"/>
    <mergeCell ref="C32:C34"/>
    <mergeCell ref="C61:C63"/>
    <mergeCell ref="C104:C106"/>
    <mergeCell ref="B93:B99"/>
    <mergeCell ref="D93:D99"/>
    <mergeCell ref="C101:C102"/>
    <mergeCell ref="C108:C111"/>
    <mergeCell ref="C113:C121"/>
    <mergeCell ref="D108:D111"/>
    <mergeCell ref="B108:B111"/>
    <mergeCell ref="D113:D121"/>
    <mergeCell ref="B113:B121"/>
    <mergeCell ref="B104:B106"/>
    <mergeCell ref="D104:D106"/>
    <mergeCell ref="D101:D102"/>
    <mergeCell ref="B101:B10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"/>
  <sheetViews>
    <sheetView zoomScale="70" zoomScaleNormal="70" workbookViewId="0">
      <selection activeCell="E9" sqref="E9"/>
    </sheetView>
  </sheetViews>
  <sheetFormatPr defaultRowHeight="14.4" x14ac:dyDescent="0.3"/>
  <cols>
    <col min="2" max="2" width="8.88671875" style="130" customWidth="1"/>
    <col min="3" max="3" width="30.33203125" style="130" customWidth="1"/>
    <col min="4" max="4" width="8.88671875" customWidth="1"/>
    <col min="5" max="5" width="8.88671875" style="132"/>
  </cols>
  <sheetData>
    <row r="1" spans="2:5" ht="64.2" thickTop="1" thickBot="1" x14ac:dyDescent="0.35">
      <c r="B1" s="126" t="s">
        <v>223</v>
      </c>
      <c r="C1" s="126" t="s">
        <v>224</v>
      </c>
      <c r="D1" s="11" t="s">
        <v>225</v>
      </c>
      <c r="E1" s="131" t="s">
        <v>267</v>
      </c>
    </row>
    <row r="2" spans="2:5" ht="45.6" customHeight="1" thickTop="1" thickBot="1" x14ac:dyDescent="0.35">
      <c r="B2" s="13">
        <v>82</v>
      </c>
      <c r="C2" s="13" t="s">
        <v>43</v>
      </c>
      <c r="D2" s="12">
        <v>44</v>
      </c>
      <c r="E2" s="108">
        <f>D2/B2</f>
        <v>0.53658536585365857</v>
      </c>
    </row>
    <row r="3" spans="2:5" ht="42" customHeight="1" thickTop="1" thickBot="1" x14ac:dyDescent="0.35">
      <c r="B3" s="197">
        <v>256</v>
      </c>
      <c r="C3" s="13" t="s">
        <v>56</v>
      </c>
      <c r="D3" s="12">
        <v>10</v>
      </c>
      <c r="E3" s="108">
        <f>D3/256</f>
        <v>3.90625E-2</v>
      </c>
    </row>
    <row r="4" spans="2:5" ht="33.6" customHeight="1" thickTop="1" thickBot="1" x14ac:dyDescent="0.35">
      <c r="B4" s="197"/>
      <c r="C4" s="14" t="s">
        <v>55</v>
      </c>
      <c r="D4" s="12">
        <v>3</v>
      </c>
      <c r="E4" s="108">
        <f t="shared" ref="E4:E7" si="0">D4/256</f>
        <v>1.171875E-2</v>
      </c>
    </row>
    <row r="5" spans="2:5" ht="33.6" customHeight="1" thickTop="1" thickBot="1" x14ac:dyDescent="0.35">
      <c r="B5" s="197"/>
      <c r="C5" s="14" t="s">
        <v>25</v>
      </c>
      <c r="D5" s="12">
        <v>5</v>
      </c>
      <c r="E5" s="108">
        <f t="shared" si="0"/>
        <v>1.953125E-2</v>
      </c>
    </row>
    <row r="6" spans="2:5" ht="27.6" customHeight="1" thickTop="1" thickBot="1" x14ac:dyDescent="0.35">
      <c r="B6" s="197"/>
      <c r="C6" s="14" t="s">
        <v>24</v>
      </c>
      <c r="D6" s="12">
        <v>38</v>
      </c>
      <c r="E6" s="108">
        <f t="shared" si="0"/>
        <v>0.1484375</v>
      </c>
    </row>
    <row r="7" spans="2:5" ht="36" customHeight="1" thickTop="1" thickBot="1" x14ac:dyDescent="0.35">
      <c r="B7" s="197"/>
      <c r="C7" s="14" t="s">
        <v>26</v>
      </c>
      <c r="D7" s="12">
        <v>3</v>
      </c>
      <c r="E7" s="108">
        <f t="shared" si="0"/>
        <v>1.171875E-2</v>
      </c>
    </row>
    <row r="8" spans="2:5" ht="36" customHeight="1" thickTop="1" thickBot="1" x14ac:dyDescent="0.35">
      <c r="B8" s="13">
        <v>432</v>
      </c>
      <c r="C8" s="13" t="s">
        <v>76</v>
      </c>
      <c r="D8" s="12">
        <v>20</v>
      </c>
      <c r="E8" s="108">
        <f>D8/B8</f>
        <v>4.6296296296296294E-2</v>
      </c>
    </row>
    <row r="9" spans="2:5" ht="25.2" customHeight="1" thickTop="1" thickBot="1" x14ac:dyDescent="0.35">
      <c r="B9" s="14"/>
      <c r="C9" s="14" t="s">
        <v>46</v>
      </c>
      <c r="D9" s="12">
        <v>17</v>
      </c>
      <c r="E9" s="108"/>
    </row>
    <row r="10" spans="2:5" ht="14.4" customHeight="1" thickTop="1" thickBot="1" x14ac:dyDescent="0.35">
      <c r="B10" s="14"/>
      <c r="C10" s="14" t="s">
        <v>10</v>
      </c>
      <c r="D10" s="12">
        <v>13</v>
      </c>
      <c r="E10" s="108"/>
    </row>
    <row r="11" spans="2:5" ht="29.4" customHeight="1" thickTop="1" thickBot="1" x14ac:dyDescent="0.35">
      <c r="B11" s="13"/>
      <c r="C11" s="13" t="s">
        <v>44</v>
      </c>
      <c r="D11" s="12">
        <v>12</v>
      </c>
      <c r="E11" s="108"/>
    </row>
    <row r="12" spans="2:5" ht="16.2" thickTop="1" thickBot="1" x14ac:dyDescent="0.35">
      <c r="B12" s="71"/>
      <c r="C12" s="71" t="s">
        <v>2</v>
      </c>
      <c r="D12" s="12">
        <v>12</v>
      </c>
      <c r="E12" s="108"/>
    </row>
    <row r="13" spans="2:5" ht="28.2" customHeight="1" thickTop="1" thickBot="1" x14ac:dyDescent="0.35">
      <c r="B13" s="13"/>
      <c r="C13" s="13" t="s">
        <v>74</v>
      </c>
      <c r="D13" s="12">
        <v>11</v>
      </c>
      <c r="E13" s="108"/>
    </row>
    <row r="14" spans="2:5" ht="25.2" customHeight="1" thickTop="1" thickBot="1" x14ac:dyDescent="0.35">
      <c r="B14" s="14"/>
      <c r="C14" s="14" t="s">
        <v>1</v>
      </c>
      <c r="D14" s="12">
        <v>8</v>
      </c>
      <c r="E14" s="108"/>
    </row>
    <row r="15" spans="2:5" ht="48" thickTop="1" thickBot="1" x14ac:dyDescent="0.35">
      <c r="B15" s="13"/>
      <c r="C15" s="13" t="s">
        <v>70</v>
      </c>
      <c r="D15" s="12">
        <v>7</v>
      </c>
      <c r="E15" s="108"/>
    </row>
    <row r="16" spans="2:5" ht="40.799999999999997" customHeight="1" thickTop="1" thickBot="1" x14ac:dyDescent="0.35">
      <c r="B16" s="14"/>
      <c r="C16" s="14" t="s">
        <v>172</v>
      </c>
      <c r="D16" s="12">
        <v>5</v>
      </c>
      <c r="E16" s="108"/>
    </row>
    <row r="17" spans="2:5" ht="16.8" thickTop="1" thickBot="1" x14ac:dyDescent="0.35">
      <c r="B17" s="13"/>
      <c r="C17" s="13"/>
      <c r="D17" s="12">
        <v>5</v>
      </c>
      <c r="E17" s="108"/>
    </row>
    <row r="18" spans="2:5" ht="34.799999999999997" customHeight="1" thickTop="1" thickBot="1" x14ac:dyDescent="0.35">
      <c r="B18" s="13"/>
      <c r="C18" s="13" t="s">
        <v>71</v>
      </c>
      <c r="D18" s="12">
        <v>5</v>
      </c>
      <c r="E18" s="108"/>
    </row>
    <row r="19" spans="2:5" ht="28.8" customHeight="1" thickTop="1" thickBot="1" x14ac:dyDescent="0.35">
      <c r="B19" s="13"/>
      <c r="C19" s="13" t="s">
        <v>167</v>
      </c>
      <c r="D19" s="12">
        <v>5</v>
      </c>
      <c r="E19" s="108"/>
    </row>
    <row r="20" spans="2:5" ht="19.8" customHeight="1" thickTop="1" thickBot="1" x14ac:dyDescent="0.35">
      <c r="B20" s="14"/>
      <c r="C20" s="14" t="s">
        <v>3</v>
      </c>
      <c r="D20" s="12">
        <v>5</v>
      </c>
      <c r="E20" s="108"/>
    </row>
    <row r="21" spans="2:5" ht="37.200000000000003" customHeight="1" thickTop="1" thickBot="1" x14ac:dyDescent="0.35">
      <c r="B21" s="14"/>
      <c r="C21" s="14" t="s">
        <v>268</v>
      </c>
      <c r="D21" s="12">
        <v>3</v>
      </c>
      <c r="E21" s="108"/>
    </row>
    <row r="22" spans="2:5" ht="56.4" customHeight="1" thickTop="1" thickBot="1" x14ac:dyDescent="0.35">
      <c r="B22" s="13"/>
      <c r="C22" s="13" t="s">
        <v>68</v>
      </c>
      <c r="D22" s="12">
        <v>2</v>
      </c>
      <c r="E22" s="108"/>
    </row>
    <row r="23" spans="2:5" ht="33.6" customHeight="1" thickTop="1" thickBot="1" x14ac:dyDescent="0.35">
      <c r="B23" s="14"/>
      <c r="C23" s="14" t="s">
        <v>192</v>
      </c>
      <c r="D23" s="12">
        <v>2</v>
      </c>
      <c r="E23" s="108"/>
    </row>
    <row r="24" spans="2:5" ht="40.799999999999997" customHeight="1" thickTop="1" thickBot="1" x14ac:dyDescent="0.35">
      <c r="B24" s="13"/>
      <c r="C24" s="13" t="s">
        <v>79</v>
      </c>
      <c r="D24" s="12">
        <v>1</v>
      </c>
      <c r="E24" s="108"/>
    </row>
    <row r="25" spans="2:5" ht="44.4" customHeight="1" thickTop="1" thickBot="1" x14ac:dyDescent="0.35">
      <c r="B25" s="14"/>
      <c r="C25" s="14" t="s">
        <v>0</v>
      </c>
      <c r="D25" s="12">
        <v>1</v>
      </c>
      <c r="E25" s="108"/>
    </row>
    <row r="26" spans="2:5" ht="25.8" customHeight="1" thickTop="1" thickBot="1" x14ac:dyDescent="0.35">
      <c r="B26" s="14"/>
      <c r="C26" s="127" t="s">
        <v>205</v>
      </c>
      <c r="D26" s="12">
        <v>1</v>
      </c>
      <c r="E26" s="108"/>
    </row>
    <row r="27" spans="2:5" ht="44.4" customHeight="1" thickTop="1" thickBot="1" x14ac:dyDescent="0.35">
      <c r="B27" s="14"/>
      <c r="C27" s="127" t="s">
        <v>215</v>
      </c>
      <c r="D27" s="12">
        <v>1</v>
      </c>
      <c r="E27" s="108"/>
    </row>
    <row r="28" spans="2:5" ht="34.799999999999997" customHeight="1" thickTop="1" thickBot="1" x14ac:dyDescent="0.35">
      <c r="B28" s="13"/>
      <c r="C28" s="13" t="s">
        <v>72</v>
      </c>
      <c r="D28" s="12">
        <v>1</v>
      </c>
      <c r="E28" s="108"/>
    </row>
    <row r="29" spans="2:5" ht="38.4" customHeight="1" thickTop="1" thickBot="1" x14ac:dyDescent="0.35">
      <c r="B29" s="13"/>
      <c r="C29" s="13" t="s">
        <v>180</v>
      </c>
      <c r="D29" s="12">
        <v>1</v>
      </c>
      <c r="E29" s="108"/>
    </row>
    <row r="30" spans="2:5" ht="45" customHeight="1" thickTop="1" thickBot="1" x14ac:dyDescent="0.35">
      <c r="B30" s="14"/>
      <c r="C30" s="14" t="s">
        <v>202</v>
      </c>
      <c r="D30" s="12">
        <v>1</v>
      </c>
      <c r="E30" s="108"/>
    </row>
    <row r="31" spans="2:5" ht="30.6" customHeight="1" thickTop="1" thickBot="1" x14ac:dyDescent="0.35">
      <c r="B31" s="13"/>
      <c r="C31" s="13" t="s">
        <v>70</v>
      </c>
      <c r="D31" s="12">
        <v>1</v>
      </c>
      <c r="E31" s="108"/>
    </row>
    <row r="32" spans="2:5" ht="22.8" customHeight="1" thickTop="1" thickBot="1" x14ac:dyDescent="0.35">
      <c r="B32" s="13"/>
      <c r="C32" s="13" t="s">
        <v>187</v>
      </c>
      <c r="D32" s="12">
        <v>1</v>
      </c>
      <c r="E32" s="108"/>
    </row>
    <row r="33" spans="2:5" ht="38.4" customHeight="1" thickTop="1" thickBot="1" x14ac:dyDescent="0.35">
      <c r="B33" s="128"/>
      <c r="C33" s="128" t="s">
        <v>178</v>
      </c>
      <c r="D33" s="12">
        <v>1</v>
      </c>
      <c r="E33" s="108"/>
    </row>
    <row r="34" spans="2:5" ht="94.8" thickTop="1" thickBot="1" x14ac:dyDescent="0.35">
      <c r="B34" s="128"/>
      <c r="C34" s="128" t="s">
        <v>179</v>
      </c>
      <c r="D34" s="12">
        <v>1</v>
      </c>
      <c r="E34" s="108"/>
    </row>
    <row r="35" spans="2:5" ht="37.200000000000003" customHeight="1" thickTop="1" thickBot="1" x14ac:dyDescent="0.35">
      <c r="B35" s="13"/>
      <c r="C35" s="13" t="s">
        <v>182</v>
      </c>
      <c r="D35" s="12">
        <v>1</v>
      </c>
      <c r="E35" s="108"/>
    </row>
    <row r="36" spans="2:5" ht="16.8" thickTop="1" thickBot="1" x14ac:dyDescent="0.35">
      <c r="B36" s="13"/>
      <c r="C36" s="13"/>
      <c r="D36" s="12">
        <v>1</v>
      </c>
      <c r="E36" s="108"/>
    </row>
    <row r="37" spans="2:5" ht="31.2" customHeight="1" thickTop="1" thickBot="1" x14ac:dyDescent="0.35">
      <c r="B37" s="13"/>
      <c r="C37" s="13" t="s">
        <v>190</v>
      </c>
      <c r="D37" s="12">
        <v>1</v>
      </c>
      <c r="E37" s="108"/>
    </row>
    <row r="38" spans="2:5" ht="29.4" customHeight="1" thickTop="1" thickBot="1" x14ac:dyDescent="0.35">
      <c r="B38" s="14"/>
      <c r="C38" s="14" t="s">
        <v>205</v>
      </c>
      <c r="D38" s="12">
        <v>1</v>
      </c>
      <c r="E38" s="108"/>
    </row>
    <row r="39" spans="2:5" ht="32.4" customHeight="1" thickTop="1" thickBot="1" x14ac:dyDescent="0.35">
      <c r="B39" s="134"/>
      <c r="C39" s="14"/>
      <c r="D39" s="12"/>
      <c r="E39" s="108"/>
    </row>
    <row r="40" spans="2:5" ht="15.6" thickTop="1" thickBot="1" x14ac:dyDescent="0.35">
      <c r="B40" s="129"/>
      <c r="C40" s="129"/>
      <c r="D40" s="12">
        <f>SUM(D2:D39)</f>
        <v>250</v>
      </c>
      <c r="E40" s="108"/>
    </row>
    <row r="41" spans="2:5" ht="15" thickTop="1" x14ac:dyDescent="0.3"/>
  </sheetData>
  <sortState ref="B9:E39">
    <sortCondition descending="1" ref="D9:D39"/>
  </sortState>
  <mergeCells count="1">
    <mergeCell ref="B3:B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topLeftCell="A13" workbookViewId="0">
      <selection activeCell="E18" sqref="E18"/>
    </sheetView>
  </sheetViews>
  <sheetFormatPr defaultRowHeight="14.4" x14ac:dyDescent="0.3"/>
  <cols>
    <col min="3" max="3" width="37.88671875" customWidth="1"/>
    <col min="4" max="4" width="12.44140625" customWidth="1"/>
    <col min="5" max="5" width="8.88671875" style="132"/>
  </cols>
  <sheetData>
    <row r="1" spans="2:5" ht="72" customHeight="1" thickTop="1" thickBot="1" x14ac:dyDescent="0.35">
      <c r="B1" s="93" t="s">
        <v>223</v>
      </c>
      <c r="C1" s="94" t="s">
        <v>226</v>
      </c>
      <c r="D1" s="94" t="s">
        <v>225</v>
      </c>
      <c r="E1" s="133" t="s">
        <v>267</v>
      </c>
    </row>
    <row r="2" spans="2:5" ht="18.600000000000001" customHeight="1" thickTop="1" thickBot="1" x14ac:dyDescent="0.35">
      <c r="B2" s="12"/>
      <c r="C2" s="14" t="s">
        <v>206</v>
      </c>
      <c r="D2" s="66">
        <v>28</v>
      </c>
      <c r="E2" s="108"/>
    </row>
    <row r="3" spans="2:5" ht="16.8" customHeight="1" thickTop="1" thickBot="1" x14ac:dyDescent="0.35">
      <c r="B3" s="12"/>
      <c r="C3" s="13" t="s">
        <v>96</v>
      </c>
      <c r="D3" s="67">
        <v>15</v>
      </c>
      <c r="E3" s="108"/>
    </row>
    <row r="4" spans="2:5" ht="38.4" customHeight="1" thickTop="1" thickBot="1" x14ac:dyDescent="0.35">
      <c r="B4" s="12">
        <v>37</v>
      </c>
      <c r="C4" s="13" t="s">
        <v>87</v>
      </c>
      <c r="D4" s="66">
        <v>14</v>
      </c>
      <c r="E4" s="108">
        <f>D4/B4</f>
        <v>0.3783783783783784</v>
      </c>
    </row>
    <row r="5" spans="2:5" ht="40.799999999999997" customHeight="1" thickTop="1" thickBot="1" x14ac:dyDescent="0.35">
      <c r="B5" s="12"/>
      <c r="C5" s="14" t="s">
        <v>100</v>
      </c>
      <c r="D5" s="66">
        <v>7</v>
      </c>
      <c r="E5" s="108"/>
    </row>
    <row r="6" spans="2:5" ht="49.8" customHeight="1" thickTop="1" thickBot="1" x14ac:dyDescent="0.35">
      <c r="B6" s="12">
        <v>26</v>
      </c>
      <c r="C6" s="13" t="s">
        <v>85</v>
      </c>
      <c r="D6" s="67">
        <v>5</v>
      </c>
      <c r="E6" s="108">
        <f>D6/B6</f>
        <v>0.19230769230769232</v>
      </c>
    </row>
    <row r="7" spans="2:5" ht="50.4" customHeight="1" thickTop="1" thickBot="1" x14ac:dyDescent="0.35">
      <c r="B7" s="12"/>
      <c r="C7" s="13" t="s">
        <v>97</v>
      </c>
      <c r="D7" s="67">
        <v>5</v>
      </c>
      <c r="E7" s="108"/>
    </row>
    <row r="8" spans="2:5" ht="46.2" customHeight="1" thickTop="1" thickBot="1" x14ac:dyDescent="0.35">
      <c r="B8" s="12"/>
      <c r="C8" s="13" t="s">
        <v>95</v>
      </c>
      <c r="D8" s="67">
        <v>4</v>
      </c>
      <c r="E8" s="108"/>
    </row>
    <row r="9" spans="2:5" ht="66" customHeight="1" thickTop="1" thickBot="1" x14ac:dyDescent="0.35">
      <c r="B9" s="12">
        <v>151</v>
      </c>
      <c r="C9" s="13" t="s">
        <v>83</v>
      </c>
      <c r="D9" s="74">
        <v>3</v>
      </c>
      <c r="E9" s="108">
        <f>D9/B9</f>
        <v>1.9867549668874173E-2</v>
      </c>
    </row>
    <row r="10" spans="2:5" ht="52.8" customHeight="1" thickTop="1" thickBot="1" x14ac:dyDescent="0.35">
      <c r="B10" s="12">
        <v>9</v>
      </c>
      <c r="C10" s="13" t="s">
        <v>86</v>
      </c>
      <c r="D10" s="67">
        <v>3</v>
      </c>
      <c r="E10" s="108">
        <f>D10/B10</f>
        <v>0.33333333333333331</v>
      </c>
    </row>
    <row r="11" spans="2:5" ht="48" thickTop="1" thickBot="1" x14ac:dyDescent="0.35">
      <c r="B11" s="12"/>
      <c r="C11" s="13" t="s">
        <v>92</v>
      </c>
      <c r="D11" s="67">
        <v>3</v>
      </c>
      <c r="E11" s="108"/>
    </row>
    <row r="12" spans="2:5" ht="32.4" thickTop="1" thickBot="1" x14ac:dyDescent="0.35">
      <c r="B12" s="12"/>
      <c r="C12" s="13" t="s">
        <v>94</v>
      </c>
      <c r="D12" s="67">
        <v>3</v>
      </c>
      <c r="E12" s="108"/>
    </row>
    <row r="13" spans="2:5" ht="16.8" thickTop="1" thickBot="1" x14ac:dyDescent="0.35">
      <c r="B13" s="12"/>
      <c r="C13" s="13" t="s">
        <v>98</v>
      </c>
      <c r="D13" s="67">
        <v>3</v>
      </c>
      <c r="E13" s="108"/>
    </row>
    <row r="14" spans="2:5" ht="19.2" customHeight="1" thickTop="1" thickBot="1" x14ac:dyDescent="0.35">
      <c r="B14" s="12">
        <v>37</v>
      </c>
      <c r="C14" s="14" t="s">
        <v>88</v>
      </c>
      <c r="D14" s="67">
        <v>2</v>
      </c>
      <c r="E14" s="108">
        <f>D14/B14</f>
        <v>5.4054054054054057E-2</v>
      </c>
    </row>
    <row r="15" spans="2:5" ht="36.6" customHeight="1" thickTop="1" thickBot="1" x14ac:dyDescent="0.35">
      <c r="B15" s="12"/>
      <c r="C15" s="13" t="s">
        <v>99</v>
      </c>
      <c r="D15" s="66">
        <v>2</v>
      </c>
      <c r="E15" s="108"/>
    </row>
    <row r="16" spans="2:5" ht="24" customHeight="1" thickTop="1" thickBot="1" x14ac:dyDescent="0.35">
      <c r="B16" s="12"/>
      <c r="C16" s="13" t="s">
        <v>84</v>
      </c>
      <c r="D16" s="67">
        <v>1</v>
      </c>
      <c r="E16" s="108"/>
    </row>
    <row r="17" spans="2:5" ht="31.2" customHeight="1" thickTop="1" thickBot="1" x14ac:dyDescent="0.35">
      <c r="B17" s="12">
        <v>5</v>
      </c>
      <c r="C17" s="14" t="s">
        <v>89</v>
      </c>
      <c r="D17" s="66">
        <v>1</v>
      </c>
      <c r="E17" s="108">
        <f>D17/B17</f>
        <v>0.2</v>
      </c>
    </row>
    <row r="18" spans="2:5" ht="29.4" customHeight="1" thickTop="1" thickBot="1" x14ac:dyDescent="0.35">
      <c r="B18" s="12"/>
      <c r="C18" s="13" t="s">
        <v>90</v>
      </c>
      <c r="D18" s="66">
        <v>1</v>
      </c>
      <c r="E18" s="108"/>
    </row>
    <row r="19" spans="2:5" ht="28.2" customHeight="1" thickTop="1" thickBot="1" x14ac:dyDescent="0.35">
      <c r="B19" s="12"/>
      <c r="C19" s="13" t="s">
        <v>91</v>
      </c>
      <c r="D19" s="67">
        <v>1</v>
      </c>
      <c r="E19" s="108"/>
    </row>
    <row r="20" spans="2:5" ht="28.2" customHeight="1" thickTop="1" thickBot="1" x14ac:dyDescent="0.35">
      <c r="B20" s="12"/>
      <c r="C20" s="13" t="s">
        <v>93</v>
      </c>
      <c r="D20" s="67">
        <v>1</v>
      </c>
      <c r="E20" s="108"/>
    </row>
    <row r="21" spans="2:5" ht="32.4" customHeight="1" thickTop="1" thickBot="1" x14ac:dyDescent="0.35">
      <c r="B21" s="12"/>
      <c r="C21" s="14" t="s">
        <v>208</v>
      </c>
      <c r="D21" s="67">
        <v>1</v>
      </c>
      <c r="E21" s="108"/>
    </row>
    <row r="22" spans="2:5" ht="24" customHeight="1" thickTop="1" thickBot="1" x14ac:dyDescent="0.35">
      <c r="B22" s="12"/>
      <c r="C22" s="14" t="s">
        <v>101</v>
      </c>
      <c r="D22" s="66">
        <v>1</v>
      </c>
      <c r="E22" s="108"/>
    </row>
    <row r="23" spans="2:5" ht="15" thickTop="1" x14ac:dyDescent="0.3"/>
  </sheetData>
  <sortState ref="B2:E22">
    <sortCondition descending="1" ref="D2:D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Sheet1</vt:lpstr>
      <vt:lpstr>Sheet2</vt:lpstr>
      <vt:lpstr>Sheet3</vt:lpstr>
      <vt:lpstr>Sheet1!__DdeLink__355_3344034610</vt:lpstr>
      <vt:lpstr>Sheet1!__DdeLink__363_4195966084</vt:lpstr>
      <vt:lpstr>Sheet1!__DdeLink__366_1609274354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2025-05-09T16:13:14Z</dcterms:modified>
</cp:coreProperties>
</file>